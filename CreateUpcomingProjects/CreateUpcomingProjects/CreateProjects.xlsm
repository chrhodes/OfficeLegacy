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2520" windowWidth="18390" windowHeight="7575"/>
  </bookViews>
  <sheets>
    <sheet name="Upcoming Projects" sheetId="1" r:id="rId1"/>
    <sheet name="XML" sheetId="2" r:id="rId2"/>
    <sheet name="Lookups" sheetId="3" r:id="rId3"/>
  </sheets>
  <definedNames>
    <definedName name="IntendedAudience">Lookups!$C$4:$C$8</definedName>
    <definedName name="ProductType">Lookups!$B$4:$B$10</definedName>
    <definedName name="TrueFalse">Lookups!$D$4:$D$5</definedName>
    <definedName name="Users">Lookups!$E$4:$E$22</definedName>
    <definedName name="WorkflowType">Lookups!$A$4:$A$16</definedName>
  </definedNames>
  <calcPr calcId="125725"/>
</workbook>
</file>

<file path=xl/calcChain.xml><?xml version="1.0" encoding="utf-8"?>
<calcChain xmlns="http://schemas.openxmlformats.org/spreadsheetml/2006/main">
  <c r="O11" i="1"/>
  <c r="O12"/>
  <c r="O13"/>
  <c r="O14"/>
  <c r="O15"/>
  <c r="O16"/>
  <c r="O17"/>
  <c r="O18"/>
  <c r="O19"/>
  <c r="O20"/>
  <c r="O21"/>
  <c r="O22"/>
  <c r="O23"/>
  <c r="O24"/>
  <c r="O25"/>
  <c r="O26"/>
  <c r="O27"/>
  <c r="O28"/>
  <c r="O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10"/>
  <c r="B10" s="1"/>
  <c r="E5" i="3"/>
  <c r="E6"/>
  <c r="E7"/>
  <c r="E8"/>
  <c r="E9"/>
  <c r="E10"/>
  <c r="E11"/>
  <c r="E12"/>
  <c r="E13"/>
  <c r="E14"/>
  <c r="E15"/>
  <c r="E16"/>
  <c r="E17"/>
  <c r="E18"/>
  <c r="E19"/>
  <c r="E20"/>
  <c r="E21"/>
  <c r="E22"/>
  <c r="E4"/>
  <c r="B11" i="1"/>
  <c r="B12"/>
  <c r="B13"/>
  <c r="B14"/>
  <c r="B15"/>
  <c r="B16"/>
  <c r="B17"/>
  <c r="B18"/>
  <c r="B19"/>
  <c r="B20"/>
  <c r="B21"/>
  <c r="B22"/>
  <c r="B23"/>
  <c r="B24"/>
  <c r="B25"/>
  <c r="B26"/>
  <c r="B27"/>
  <c r="B28"/>
</calcChain>
</file>

<file path=xl/sharedStrings.xml><?xml version="1.0" encoding="utf-8"?>
<sst xmlns="http://schemas.openxmlformats.org/spreadsheetml/2006/main" count="196" uniqueCount="83">
  <si>
    <t xml:space="preserve">  &lt;project</t>
  </si>
  <si>
    <t xml:space="preserve">   ProjectName="AutoCreate Test Project 2"</t>
  </si>
  <si>
    <t xml:space="preserve">   ProjectCoordinator="9;#Submitter"</t>
  </si>
  <si>
    <t xml:space="preserve">   Submitter="9;#Submitter"</t>
  </si>
  <si>
    <t xml:space="preserve">   AuthorOwner="Kim"</t>
  </si>
  <si>
    <t xml:space="preserve">   WorkflowType="Non-VL Client"</t>
  </si>
  <si>
    <t xml:space="preserve">   ProductType="Universal"</t>
  </si>
  <si>
    <t xml:space="preserve">   IntendedAudience="Client"</t>
  </si>
  <si>
    <t xml:space="preserve">   ProjectDueDate="12/28/2008"</t>
  </si>
  <si>
    <t xml:space="preserve">   PrintForPublication="True"</t>
  </si>
  <si>
    <t xml:space="preserve">   CorporateWebReview="False"</t>
  </si>
  <si>
    <t xml:space="preserve">   LifelineWebReview="False"</t>
  </si>
  <si>
    <t xml:space="preserve">   CorporateWebPublish="False"</t>
  </si>
  <si>
    <t xml:space="preserve">   LifelineWebPublish="False"</t>
  </si>
  <si>
    <t xml:space="preserve">   Comments="AutoCreate Test Project 2 Comments" /&gt;</t>
  </si>
  <si>
    <t>ProjectName</t>
  </si>
  <si>
    <t>ProjectCoordinator</t>
  </si>
  <si>
    <t>Submitter</t>
  </si>
  <si>
    <t>AuthorOwner</t>
  </si>
  <si>
    <t>WorkflowType</t>
  </si>
  <si>
    <t>ProductType</t>
  </si>
  <si>
    <t>IntendedAudience</t>
  </si>
  <si>
    <t>ProjectDueDate</t>
  </si>
  <si>
    <t>PrintForPublication</t>
  </si>
  <si>
    <t>CorporateWebReview</t>
  </si>
  <si>
    <t>LifeLineWebReview</t>
  </si>
  <si>
    <t>CorporateWebPublish</t>
  </si>
  <si>
    <t>LifeLineWebPublish</t>
  </si>
  <si>
    <t>Comments</t>
  </si>
  <si>
    <t>Annuity</t>
  </si>
  <si>
    <t>Variable</t>
  </si>
  <si>
    <t>Equity-Indexed Universal</t>
  </si>
  <si>
    <t>Term</t>
  </si>
  <si>
    <t>Universal</t>
  </si>
  <si>
    <t>Whole Life</t>
  </si>
  <si>
    <t>Non-Product Specific</t>
  </si>
  <si>
    <t>Client</t>
  </si>
  <si>
    <t>Broker Dealer</t>
  </si>
  <si>
    <t>Producer</t>
  </si>
  <si>
    <t>Home Office</t>
  </si>
  <si>
    <t>Field</t>
  </si>
  <si>
    <t>VL Client RPRC</t>
  </si>
  <si>
    <t>VL Client RPRC Exception</t>
  </si>
  <si>
    <t>VL Broker Dealer RPRC</t>
  </si>
  <si>
    <t>VL Broker Dealer</t>
  </si>
  <si>
    <t>Non-VL Client</t>
  </si>
  <si>
    <t>Non-VL Producer</t>
  </si>
  <si>
    <t>VL Illustration Output or Software Committee Review</t>
  </si>
  <si>
    <t>Non-VL Illustration Output or Software Committee Review</t>
  </si>
  <si>
    <t>VL Illustration Output or Software Committee Exception</t>
  </si>
  <si>
    <t>Non-VL Illustration Output or Software Committee Exception</t>
  </si>
  <si>
    <t>Bulletins</t>
  </si>
  <si>
    <t>VL Materials</t>
  </si>
  <si>
    <t>Non-VL/Non-Product Specific Material</t>
  </si>
  <si>
    <t>TrueFalse</t>
  </si>
  <si>
    <t>Users</t>
  </si>
  <si>
    <t>Administrator</t>
  </si>
  <si>
    <t>Compliance</t>
  </si>
  <si>
    <t>Corporate Web Master</t>
  </si>
  <si>
    <t>Law</t>
  </si>
  <si>
    <t>Lifeline Web Master</t>
  </si>
  <si>
    <t>Manager</t>
  </si>
  <si>
    <t>Marketing Communications</t>
  </si>
  <si>
    <t>NT AUTHORITY\local service</t>
  </si>
  <si>
    <t>OnTracUsers</t>
  </si>
  <si>
    <t>Principal</t>
  </si>
  <si>
    <t>Production Merchandise</t>
  </si>
  <si>
    <t>Production Support</t>
  </si>
  <si>
    <t>PSD</t>
  </si>
  <si>
    <t>SPSAdmin</t>
  </si>
  <si>
    <t>State Filer</t>
  </si>
  <si>
    <t>VP Compliance</t>
  </si>
  <si>
    <t>Web Expert</t>
  </si>
  <si>
    <t>Workflow Coordinator</t>
  </si>
  <si>
    <t>20;#Law</t>
  </si>
  <si>
    <t>15;#Production Merchandise</t>
  </si>
  <si>
    <t>24;#Principal</t>
  </si>
  <si>
    <t>Starting Row</t>
  </si>
  <si>
    <t>Ending Row</t>
  </si>
  <si>
    <t>Output File Name</t>
  </si>
  <si>
    <t>C:\temp\CreateProjects.xml</t>
  </si>
  <si>
    <t>Christopher</t>
  </si>
  <si>
    <t>Kim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</si>
</sst>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58E6F55DF507BA54FD05A90B5BDF449CF628E5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387"/>
  <ax:ocxPr ax:name="Sizel_cy" ax:value="1032"/>
  <ax:ocxPr ax:name="IsDynamic" ax:value="0"/>
</ax:ocx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hyperlink" Target="javascript: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7</xdr:col>
      <xdr:colOff>114300</xdr:colOff>
      <xdr:row>3</xdr:row>
      <xdr:rowOff>114300</xdr:rowOff>
    </xdr:to>
    <xdr:pic>
      <xdr:nvPicPr>
        <xdr:cNvPr id="2086" name="imn1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58102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114300</xdr:colOff>
      <xdr:row>4</xdr:row>
      <xdr:rowOff>114300</xdr:rowOff>
    </xdr:to>
    <xdr:pic>
      <xdr:nvPicPr>
        <xdr:cNvPr id="2088" name="imn2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97155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114300</xdr:colOff>
      <xdr:row>5</xdr:row>
      <xdr:rowOff>114300</xdr:rowOff>
    </xdr:to>
    <xdr:pic>
      <xdr:nvPicPr>
        <xdr:cNvPr id="2090" name="imn3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136207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114300</xdr:colOff>
      <xdr:row>6</xdr:row>
      <xdr:rowOff>114300</xdr:rowOff>
    </xdr:to>
    <xdr:pic>
      <xdr:nvPicPr>
        <xdr:cNvPr id="2092" name="imn4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194310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114300</xdr:colOff>
      <xdr:row>7</xdr:row>
      <xdr:rowOff>114300</xdr:rowOff>
    </xdr:to>
    <xdr:pic>
      <xdr:nvPicPr>
        <xdr:cNvPr id="2094" name="imn5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214312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114300</xdr:colOff>
      <xdr:row>8</xdr:row>
      <xdr:rowOff>114300</xdr:rowOff>
    </xdr:to>
    <xdr:pic>
      <xdr:nvPicPr>
        <xdr:cNvPr id="2096" name="imn6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272415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114300</xdr:colOff>
      <xdr:row>9</xdr:row>
      <xdr:rowOff>114300</xdr:rowOff>
    </xdr:to>
    <xdr:pic>
      <xdr:nvPicPr>
        <xdr:cNvPr id="2098" name="imn7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292417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114300</xdr:colOff>
      <xdr:row>10</xdr:row>
      <xdr:rowOff>114300</xdr:rowOff>
    </xdr:to>
    <xdr:pic>
      <xdr:nvPicPr>
        <xdr:cNvPr id="2100" name="Picture 52" descr="No presence information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369570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114300</xdr:colOff>
      <xdr:row>11</xdr:row>
      <xdr:rowOff>114300</xdr:rowOff>
    </xdr:to>
    <xdr:pic>
      <xdr:nvPicPr>
        <xdr:cNvPr id="2102" name="Picture 54" descr="No presence information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446722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114300</xdr:colOff>
      <xdr:row>12</xdr:row>
      <xdr:rowOff>114300</xdr:rowOff>
    </xdr:to>
    <xdr:pic>
      <xdr:nvPicPr>
        <xdr:cNvPr id="2104" name="imn8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485775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114300</xdr:colOff>
      <xdr:row>13</xdr:row>
      <xdr:rowOff>114300</xdr:rowOff>
    </xdr:to>
    <xdr:pic>
      <xdr:nvPicPr>
        <xdr:cNvPr id="2106" name="imn9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505777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114300</xdr:colOff>
      <xdr:row>14</xdr:row>
      <xdr:rowOff>114300</xdr:rowOff>
    </xdr:to>
    <xdr:pic>
      <xdr:nvPicPr>
        <xdr:cNvPr id="2108" name="imn10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582930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114300</xdr:colOff>
      <xdr:row>15</xdr:row>
      <xdr:rowOff>114300</xdr:rowOff>
    </xdr:to>
    <xdr:pic>
      <xdr:nvPicPr>
        <xdr:cNvPr id="2110" name="imn11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641032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114300</xdr:colOff>
      <xdr:row>16</xdr:row>
      <xdr:rowOff>114300</xdr:rowOff>
    </xdr:to>
    <xdr:pic>
      <xdr:nvPicPr>
        <xdr:cNvPr id="2112" name="imn12,type=si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661035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114300</xdr:colOff>
      <xdr:row>17</xdr:row>
      <xdr:rowOff>114300</xdr:rowOff>
    </xdr:to>
    <xdr:pic>
      <xdr:nvPicPr>
        <xdr:cNvPr id="2114" name="imn13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757237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114300</xdr:colOff>
      <xdr:row>18</xdr:row>
      <xdr:rowOff>114300</xdr:rowOff>
    </xdr:to>
    <xdr:pic>
      <xdr:nvPicPr>
        <xdr:cNvPr id="2116" name="imn14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796290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114300</xdr:colOff>
      <xdr:row>19</xdr:row>
      <xdr:rowOff>114300</xdr:rowOff>
    </xdr:to>
    <xdr:pic>
      <xdr:nvPicPr>
        <xdr:cNvPr id="2118" name="imn15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835342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7</xdr:col>
      <xdr:colOff>114300</xdr:colOff>
      <xdr:row>20</xdr:row>
      <xdr:rowOff>114300</xdr:rowOff>
    </xdr:to>
    <xdr:pic>
      <xdr:nvPicPr>
        <xdr:cNvPr id="2120" name="imn16,type=smtp" descr="No presence informati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8934450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114300</xdr:colOff>
      <xdr:row>21</xdr:row>
      <xdr:rowOff>114300</xdr:rowOff>
    </xdr:to>
    <xdr:pic>
      <xdr:nvPicPr>
        <xdr:cNvPr id="2122" name="Picture 74" descr="No presence information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401300" y="9324975"/>
          <a:ext cx="114300" cy="1143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2:O28"/>
  <sheetViews>
    <sheetView tabSelected="1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C10" sqref="C10"/>
    </sheetView>
  </sheetViews>
  <sheetFormatPr defaultRowHeight="15"/>
  <cols>
    <col min="2" max="2" width="21" bestFit="1" customWidth="1"/>
    <col min="3" max="4" width="27.140625" customWidth="1"/>
    <col min="5" max="5" width="14.7109375" bestFit="1" customWidth="1"/>
    <col min="6" max="6" width="18.140625" customWidth="1"/>
    <col min="7" max="7" width="13.7109375" bestFit="1" customWidth="1"/>
    <col min="8" max="8" width="19.28515625" bestFit="1" customWidth="1"/>
    <col min="9" max="9" width="16.5703125" bestFit="1" customWidth="1"/>
    <col min="10" max="10" width="20.42578125" bestFit="1" customWidth="1"/>
    <col min="11" max="11" width="22.85546875" bestFit="1" customWidth="1"/>
    <col min="12" max="12" width="20.28515625" bestFit="1" customWidth="1"/>
    <col min="13" max="13" width="23" bestFit="1" customWidth="1"/>
    <col min="14" max="14" width="20.42578125" bestFit="1" customWidth="1"/>
    <col min="15" max="15" width="31.85546875" customWidth="1"/>
  </cols>
  <sheetData>
    <row r="2" spans="1:15">
      <c r="B2" t="s">
        <v>77</v>
      </c>
      <c r="C2">
        <v>10</v>
      </c>
    </row>
    <row r="3" spans="1:15">
      <c r="B3" t="s">
        <v>78</v>
      </c>
      <c r="C3">
        <v>28</v>
      </c>
    </row>
    <row r="4" spans="1:15">
      <c r="B4" t="s">
        <v>79</v>
      </c>
      <c r="C4" t="s">
        <v>80</v>
      </c>
    </row>
    <row r="9" spans="1:15" ht="15.75">
      <c r="B9" s="3" t="s">
        <v>15</v>
      </c>
      <c r="C9" s="3" t="s">
        <v>16</v>
      </c>
      <c r="D9" s="3" t="s">
        <v>17</v>
      </c>
      <c r="E9" s="3" t="s">
        <v>18</v>
      </c>
      <c r="F9" s="3" t="s">
        <v>19</v>
      </c>
      <c r="G9" s="3" t="s">
        <v>20</v>
      </c>
      <c r="H9" s="3" t="s">
        <v>21</v>
      </c>
      <c r="I9" s="3" t="s">
        <v>22</v>
      </c>
      <c r="J9" s="3" t="s">
        <v>23</v>
      </c>
      <c r="K9" s="3" t="s">
        <v>24</v>
      </c>
      <c r="L9" s="3" t="s">
        <v>25</v>
      </c>
      <c r="M9" s="3" t="s">
        <v>26</v>
      </c>
      <c r="N9" s="3" t="s">
        <v>27</v>
      </c>
      <c r="O9" s="3" t="s">
        <v>28</v>
      </c>
    </row>
    <row r="10" spans="1:15">
      <c r="A10">
        <f>ROW() - $C$2 + 1</f>
        <v>1</v>
      </c>
      <c r="B10" t="str">
        <f>"Auto Create Project " &amp; A10</f>
        <v>Auto Create Project 1</v>
      </c>
      <c r="C10" t="s">
        <v>75</v>
      </c>
      <c r="D10" t="s">
        <v>76</v>
      </c>
      <c r="E10" t="s">
        <v>81</v>
      </c>
      <c r="F10" t="s">
        <v>45</v>
      </c>
      <c r="G10" t="s">
        <v>33</v>
      </c>
      <c r="H10" t="s">
        <v>36</v>
      </c>
      <c r="I10" s="2">
        <v>39504</v>
      </c>
      <c r="J10" t="b">
        <v>1</v>
      </c>
      <c r="K10" t="b">
        <v>1</v>
      </c>
      <c r="L10" t="b">
        <v>1</v>
      </c>
      <c r="M10" t="b">
        <v>1</v>
      </c>
      <c r="N10" t="b">
        <v>1</v>
      </c>
      <c r="O10" t="str">
        <f>B10 &amp; " Comments"</f>
        <v>Auto Create Project 1 Comments</v>
      </c>
    </row>
    <row r="11" spans="1:15">
      <c r="A11">
        <f t="shared" ref="A11:A28" si="0">ROW() - $C$2 + 1</f>
        <v>2</v>
      </c>
      <c r="B11" t="str">
        <f t="shared" ref="B11:B28" si="1">"Auto Create Project " &amp; A11</f>
        <v>Auto Create Project 2</v>
      </c>
      <c r="C11" t="s">
        <v>74</v>
      </c>
      <c r="D11" t="s">
        <v>74</v>
      </c>
      <c r="E11" t="s">
        <v>82</v>
      </c>
      <c r="F11" t="s">
        <v>45</v>
      </c>
      <c r="G11" t="s">
        <v>33</v>
      </c>
      <c r="H11" t="s">
        <v>36</v>
      </c>
      <c r="I11" s="2">
        <v>39505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str">
        <f t="shared" ref="O11:O28" si="2">B11 &amp; " Comments"</f>
        <v>Auto Create Project 2 Comments</v>
      </c>
    </row>
    <row r="12" spans="1:15">
      <c r="A12">
        <f t="shared" si="0"/>
        <v>3</v>
      </c>
      <c r="B12" t="str">
        <f t="shared" si="1"/>
        <v>Auto Create Project 3</v>
      </c>
      <c r="C12" t="s">
        <v>74</v>
      </c>
      <c r="D12" t="s">
        <v>74</v>
      </c>
      <c r="E12" t="s">
        <v>81</v>
      </c>
      <c r="F12" t="s">
        <v>45</v>
      </c>
      <c r="G12" t="s">
        <v>33</v>
      </c>
      <c r="H12" t="s">
        <v>36</v>
      </c>
      <c r="I12" s="2">
        <v>39506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str">
        <f t="shared" si="2"/>
        <v>Auto Create Project 3 Comments</v>
      </c>
    </row>
    <row r="13" spans="1:15">
      <c r="A13">
        <f t="shared" si="0"/>
        <v>4</v>
      </c>
      <c r="B13" t="str">
        <f t="shared" si="1"/>
        <v>Auto Create Project 4</v>
      </c>
      <c r="C13" t="s">
        <v>74</v>
      </c>
      <c r="D13" t="s">
        <v>74</v>
      </c>
      <c r="E13" t="s">
        <v>82</v>
      </c>
      <c r="F13" t="s">
        <v>45</v>
      </c>
      <c r="G13" t="s">
        <v>33</v>
      </c>
      <c r="H13" t="s">
        <v>36</v>
      </c>
      <c r="I13" s="2">
        <v>39507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str">
        <f t="shared" si="2"/>
        <v>Auto Create Project 4 Comments</v>
      </c>
    </row>
    <row r="14" spans="1:15">
      <c r="A14">
        <f t="shared" si="0"/>
        <v>5</v>
      </c>
      <c r="B14" t="str">
        <f t="shared" si="1"/>
        <v>Auto Create Project 5</v>
      </c>
      <c r="C14" t="s">
        <v>74</v>
      </c>
      <c r="D14" t="s">
        <v>74</v>
      </c>
      <c r="E14" t="s">
        <v>81</v>
      </c>
      <c r="F14" t="s">
        <v>45</v>
      </c>
      <c r="G14" t="s">
        <v>33</v>
      </c>
      <c r="H14" t="s">
        <v>36</v>
      </c>
      <c r="I14" s="2">
        <v>39508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str">
        <f t="shared" si="2"/>
        <v>Auto Create Project 5 Comments</v>
      </c>
    </row>
    <row r="15" spans="1:15">
      <c r="A15">
        <f t="shared" si="0"/>
        <v>6</v>
      </c>
      <c r="B15" t="str">
        <f t="shared" si="1"/>
        <v>Auto Create Project 6</v>
      </c>
      <c r="C15" t="s">
        <v>74</v>
      </c>
      <c r="D15" t="s">
        <v>74</v>
      </c>
      <c r="E15" t="s">
        <v>82</v>
      </c>
      <c r="F15" t="s">
        <v>45</v>
      </c>
      <c r="G15" t="s">
        <v>33</v>
      </c>
      <c r="H15" t="s">
        <v>36</v>
      </c>
      <c r="I15" s="2">
        <v>39509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str">
        <f t="shared" si="2"/>
        <v>Auto Create Project 6 Comments</v>
      </c>
    </row>
    <row r="16" spans="1:15">
      <c r="A16">
        <f t="shared" si="0"/>
        <v>7</v>
      </c>
      <c r="B16" t="str">
        <f t="shared" si="1"/>
        <v>Auto Create Project 7</v>
      </c>
      <c r="C16" t="s">
        <v>74</v>
      </c>
      <c r="D16" t="s">
        <v>74</v>
      </c>
      <c r="E16" t="s">
        <v>81</v>
      </c>
      <c r="F16" t="s">
        <v>45</v>
      </c>
      <c r="G16" t="s">
        <v>33</v>
      </c>
      <c r="H16" t="s">
        <v>36</v>
      </c>
      <c r="I16" s="2">
        <v>39510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str">
        <f t="shared" si="2"/>
        <v>Auto Create Project 7 Comments</v>
      </c>
    </row>
    <row r="17" spans="1:15">
      <c r="A17">
        <f t="shared" si="0"/>
        <v>8</v>
      </c>
      <c r="B17" t="str">
        <f t="shared" si="1"/>
        <v>Auto Create Project 8</v>
      </c>
      <c r="C17" t="s">
        <v>74</v>
      </c>
      <c r="D17" t="s">
        <v>74</v>
      </c>
      <c r="E17" t="s">
        <v>82</v>
      </c>
      <c r="F17" t="s">
        <v>45</v>
      </c>
      <c r="G17" t="s">
        <v>33</v>
      </c>
      <c r="H17" t="s">
        <v>36</v>
      </c>
      <c r="I17" s="2">
        <v>39511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str">
        <f t="shared" si="2"/>
        <v>Auto Create Project 8 Comments</v>
      </c>
    </row>
    <row r="18" spans="1:15">
      <c r="A18">
        <f t="shared" si="0"/>
        <v>9</v>
      </c>
      <c r="B18" t="str">
        <f t="shared" si="1"/>
        <v>Auto Create Project 9</v>
      </c>
      <c r="C18" t="s">
        <v>74</v>
      </c>
      <c r="D18" t="s">
        <v>74</v>
      </c>
      <c r="E18" t="s">
        <v>81</v>
      </c>
      <c r="F18" t="s">
        <v>45</v>
      </c>
      <c r="G18" t="s">
        <v>33</v>
      </c>
      <c r="H18" t="s">
        <v>36</v>
      </c>
      <c r="I18" s="2">
        <v>39512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str">
        <f t="shared" si="2"/>
        <v>Auto Create Project 9 Comments</v>
      </c>
    </row>
    <row r="19" spans="1:15">
      <c r="A19">
        <f t="shared" si="0"/>
        <v>10</v>
      </c>
      <c r="B19" t="str">
        <f t="shared" si="1"/>
        <v>Auto Create Project 10</v>
      </c>
      <c r="C19" t="s">
        <v>74</v>
      </c>
      <c r="D19" t="s">
        <v>74</v>
      </c>
      <c r="E19" t="s">
        <v>82</v>
      </c>
      <c r="F19" t="s">
        <v>45</v>
      </c>
      <c r="G19" t="s">
        <v>33</v>
      </c>
      <c r="H19" t="s">
        <v>36</v>
      </c>
      <c r="I19" s="2">
        <v>39513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str">
        <f t="shared" si="2"/>
        <v>Auto Create Project 10 Comments</v>
      </c>
    </row>
    <row r="20" spans="1:15">
      <c r="A20">
        <f t="shared" si="0"/>
        <v>11</v>
      </c>
      <c r="B20" t="str">
        <f t="shared" si="1"/>
        <v>Auto Create Project 11</v>
      </c>
      <c r="C20" t="s">
        <v>74</v>
      </c>
      <c r="D20" t="s">
        <v>74</v>
      </c>
      <c r="E20" t="s">
        <v>81</v>
      </c>
      <c r="F20" t="s">
        <v>45</v>
      </c>
      <c r="G20" t="s">
        <v>33</v>
      </c>
      <c r="H20" t="s">
        <v>36</v>
      </c>
      <c r="I20" s="2">
        <v>39514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str">
        <f t="shared" si="2"/>
        <v>Auto Create Project 11 Comments</v>
      </c>
    </row>
    <row r="21" spans="1:15">
      <c r="A21">
        <f t="shared" si="0"/>
        <v>12</v>
      </c>
      <c r="B21" t="str">
        <f t="shared" si="1"/>
        <v>Auto Create Project 12</v>
      </c>
      <c r="C21" t="s">
        <v>74</v>
      </c>
      <c r="D21" t="s">
        <v>74</v>
      </c>
      <c r="E21" t="s">
        <v>82</v>
      </c>
      <c r="F21" t="s">
        <v>45</v>
      </c>
      <c r="G21" t="s">
        <v>33</v>
      </c>
      <c r="H21" t="s">
        <v>36</v>
      </c>
      <c r="I21" s="2">
        <v>39515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str">
        <f t="shared" si="2"/>
        <v>Auto Create Project 12 Comments</v>
      </c>
    </row>
    <row r="22" spans="1:15">
      <c r="A22">
        <f t="shared" si="0"/>
        <v>13</v>
      </c>
      <c r="B22" t="str">
        <f t="shared" si="1"/>
        <v>Auto Create Project 13</v>
      </c>
      <c r="C22" t="s">
        <v>74</v>
      </c>
      <c r="D22" t="s">
        <v>74</v>
      </c>
      <c r="E22" t="s">
        <v>81</v>
      </c>
      <c r="F22" t="s">
        <v>45</v>
      </c>
      <c r="G22" t="s">
        <v>33</v>
      </c>
      <c r="H22" t="s">
        <v>36</v>
      </c>
      <c r="I22" s="2">
        <v>39516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str">
        <f t="shared" si="2"/>
        <v>Auto Create Project 13 Comments</v>
      </c>
    </row>
    <row r="23" spans="1:15">
      <c r="A23">
        <f t="shared" si="0"/>
        <v>14</v>
      </c>
      <c r="B23" t="str">
        <f t="shared" si="1"/>
        <v>Auto Create Project 14</v>
      </c>
      <c r="C23" t="s">
        <v>74</v>
      </c>
      <c r="D23" t="s">
        <v>74</v>
      </c>
      <c r="E23" t="s">
        <v>82</v>
      </c>
      <c r="F23" t="s">
        <v>45</v>
      </c>
      <c r="G23" t="s">
        <v>33</v>
      </c>
      <c r="H23" t="s">
        <v>36</v>
      </c>
      <c r="I23" s="2">
        <v>39517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str">
        <f t="shared" si="2"/>
        <v>Auto Create Project 14 Comments</v>
      </c>
    </row>
    <row r="24" spans="1:15">
      <c r="A24">
        <f t="shared" si="0"/>
        <v>15</v>
      </c>
      <c r="B24" t="str">
        <f t="shared" si="1"/>
        <v>Auto Create Project 15</v>
      </c>
      <c r="C24" t="s">
        <v>74</v>
      </c>
      <c r="D24" t="s">
        <v>74</v>
      </c>
      <c r="E24" t="s">
        <v>81</v>
      </c>
      <c r="F24" t="s">
        <v>45</v>
      </c>
      <c r="G24" t="s">
        <v>33</v>
      </c>
      <c r="H24" t="s">
        <v>36</v>
      </c>
      <c r="I24" s="2">
        <v>39518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str">
        <f t="shared" si="2"/>
        <v>Auto Create Project 15 Comments</v>
      </c>
    </row>
    <row r="25" spans="1:15">
      <c r="A25">
        <f t="shared" si="0"/>
        <v>16</v>
      </c>
      <c r="B25" t="str">
        <f t="shared" si="1"/>
        <v>Auto Create Project 16</v>
      </c>
      <c r="C25" t="s">
        <v>74</v>
      </c>
      <c r="D25" t="s">
        <v>74</v>
      </c>
      <c r="E25" t="s">
        <v>82</v>
      </c>
      <c r="F25" t="s">
        <v>45</v>
      </c>
      <c r="G25" t="s">
        <v>33</v>
      </c>
      <c r="H25" t="s">
        <v>36</v>
      </c>
      <c r="I25" s="2">
        <v>39519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str">
        <f t="shared" si="2"/>
        <v>Auto Create Project 16 Comments</v>
      </c>
    </row>
    <row r="26" spans="1:15">
      <c r="A26">
        <f t="shared" si="0"/>
        <v>17</v>
      </c>
      <c r="B26" t="str">
        <f t="shared" si="1"/>
        <v>Auto Create Project 17</v>
      </c>
      <c r="C26" t="s">
        <v>74</v>
      </c>
      <c r="D26" t="s">
        <v>74</v>
      </c>
      <c r="E26" t="s">
        <v>81</v>
      </c>
      <c r="F26" t="s">
        <v>45</v>
      </c>
      <c r="G26" t="s">
        <v>33</v>
      </c>
      <c r="H26" t="s">
        <v>36</v>
      </c>
      <c r="I26" s="2">
        <v>39520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str">
        <f t="shared" si="2"/>
        <v>Auto Create Project 17 Comments</v>
      </c>
    </row>
    <row r="27" spans="1:15">
      <c r="A27">
        <f t="shared" si="0"/>
        <v>18</v>
      </c>
      <c r="B27" t="str">
        <f t="shared" si="1"/>
        <v>Auto Create Project 18</v>
      </c>
      <c r="C27" t="s">
        <v>74</v>
      </c>
      <c r="D27" t="s">
        <v>74</v>
      </c>
      <c r="E27" t="s">
        <v>82</v>
      </c>
      <c r="F27" t="s">
        <v>45</v>
      </c>
      <c r="G27" t="s">
        <v>33</v>
      </c>
      <c r="H27" t="s">
        <v>36</v>
      </c>
      <c r="I27" s="2">
        <v>39521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str">
        <f t="shared" si="2"/>
        <v>Auto Create Project 18 Comments</v>
      </c>
    </row>
    <row r="28" spans="1:15">
      <c r="A28">
        <f t="shared" si="0"/>
        <v>19</v>
      </c>
      <c r="B28" t="str">
        <f t="shared" si="1"/>
        <v>Auto Create Project 19</v>
      </c>
      <c r="C28" t="s">
        <v>74</v>
      </c>
      <c r="D28" t="s">
        <v>74</v>
      </c>
      <c r="E28" t="s">
        <v>81</v>
      </c>
      <c r="F28" t="s">
        <v>45</v>
      </c>
      <c r="G28" t="s">
        <v>33</v>
      </c>
      <c r="H28" t="s">
        <v>36</v>
      </c>
      <c r="I28" s="2">
        <v>39522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str">
        <f t="shared" si="2"/>
        <v>Auto Create Project 19 Comments</v>
      </c>
    </row>
  </sheetData>
  <dataConsolidate/>
  <dataValidations count="5">
    <dataValidation type="list" allowBlank="1" showInputMessage="1" showErrorMessage="1" sqref="F10:F28">
      <formula1>WorkflowType</formula1>
    </dataValidation>
    <dataValidation type="list" allowBlank="1" showInputMessage="1" showErrorMessage="1" sqref="G10:G28">
      <formula1>ProductType</formula1>
    </dataValidation>
    <dataValidation type="list" allowBlank="1" showInputMessage="1" showErrorMessage="1" sqref="H10:H28">
      <formula1>IntendedAudience</formula1>
    </dataValidation>
    <dataValidation type="list" allowBlank="1" showInputMessage="1" showErrorMessage="1" sqref="J10:N28">
      <formula1>TrueFalse</formula1>
    </dataValidation>
    <dataValidation type="list" allowBlank="1" showInputMessage="1" showErrorMessage="1" sqref="C10:D28">
      <formula1>Users</formula1>
    </dataValidation>
  </dataValidations>
  <pageMargins left="0.7" right="0.7" top="0.75" bottom="0.75" header="0.3" footer="0.3"/>
  <legacyDrawing r:id="rId1"/>
  <controls>
    <control shapeId="1029" r:id="rId2" name="_ActiveXWrappe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B15"/>
  <sheetViews>
    <sheetView workbookViewId="0">
      <selection activeCell="A18" sqref="A18"/>
    </sheetView>
  </sheetViews>
  <sheetFormatPr defaultRowHeight="15"/>
  <sheetData>
    <row r="1" spans="2:2">
      <c r="B1" t="s">
        <v>0</v>
      </c>
    </row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8</v>
      </c>
    </row>
    <row r="10" spans="2:2">
      <c r="B10" t="s">
        <v>9</v>
      </c>
    </row>
    <row r="11" spans="2:2">
      <c r="B11" t="s">
        <v>10</v>
      </c>
    </row>
    <row r="12" spans="2:2">
      <c r="B12" t="s">
        <v>11</v>
      </c>
    </row>
    <row r="13" spans="2:2">
      <c r="B13" t="s">
        <v>12</v>
      </c>
    </row>
    <row r="14" spans="2:2">
      <c r="B14" t="s">
        <v>13</v>
      </c>
    </row>
    <row r="15" spans="2:2">
      <c r="B15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3:G22"/>
  <sheetViews>
    <sheetView workbookViewId="0">
      <selection activeCell="E4" sqref="E4:E22"/>
    </sheetView>
  </sheetViews>
  <sheetFormatPr defaultRowHeight="15"/>
  <cols>
    <col min="1" max="1" width="55.28515625" customWidth="1"/>
    <col min="2" max="2" width="23.7109375" bestFit="1" customWidth="1"/>
    <col min="3" max="3" width="17.85546875" bestFit="1" customWidth="1"/>
    <col min="4" max="4" width="11.28515625" customWidth="1"/>
    <col min="5" max="5" width="29.85546875" bestFit="1" customWidth="1"/>
    <col min="6" max="6" width="11.28515625" customWidth="1"/>
    <col min="7" max="7" width="26.140625" bestFit="1" customWidth="1"/>
  </cols>
  <sheetData>
    <row r="3" spans="1:7">
      <c r="A3" s="1" t="s">
        <v>19</v>
      </c>
      <c r="B3" s="1" t="s">
        <v>20</v>
      </c>
      <c r="C3" s="1" t="s">
        <v>21</v>
      </c>
      <c r="D3" s="1" t="s">
        <v>54</v>
      </c>
      <c r="E3" s="1" t="s">
        <v>55</v>
      </c>
      <c r="F3" s="1"/>
      <c r="G3" s="1"/>
    </row>
    <row r="4" spans="1:7">
      <c r="A4" s="4" t="s">
        <v>41</v>
      </c>
      <c r="B4" s="4" t="s">
        <v>29</v>
      </c>
      <c r="C4" s="4" t="s">
        <v>36</v>
      </c>
      <c r="D4" s="7" t="b">
        <v>1</v>
      </c>
      <c r="E4" s="4" t="str">
        <f>F4 &amp; ";#" &amp; G4</f>
        <v>8;#Administrator</v>
      </c>
      <c r="F4">
        <v>8</v>
      </c>
      <c r="G4" t="s">
        <v>56</v>
      </c>
    </row>
    <row r="5" spans="1:7">
      <c r="A5" s="5" t="s">
        <v>42</v>
      </c>
      <c r="B5" s="5" t="s">
        <v>30</v>
      </c>
      <c r="C5" s="5" t="s">
        <v>37</v>
      </c>
      <c r="D5" s="8" t="b">
        <v>0</v>
      </c>
      <c r="E5" s="5" t="str">
        <f t="shared" ref="E5:E22" si="0">F5 &amp; ";#" &amp; G5</f>
        <v>18;#Compliance</v>
      </c>
      <c r="F5">
        <v>18</v>
      </c>
      <c r="G5" t="s">
        <v>57</v>
      </c>
    </row>
    <row r="6" spans="1:7">
      <c r="A6" s="5" t="s">
        <v>43</v>
      </c>
      <c r="B6" s="5" t="s">
        <v>31</v>
      </c>
      <c r="C6" s="5" t="s">
        <v>38</v>
      </c>
      <c r="E6" s="5" t="str">
        <f t="shared" si="0"/>
        <v>28;#Corporate Web Master</v>
      </c>
      <c r="F6">
        <v>28</v>
      </c>
      <c r="G6" t="s">
        <v>58</v>
      </c>
    </row>
    <row r="7" spans="1:7">
      <c r="A7" s="5" t="s">
        <v>44</v>
      </c>
      <c r="B7" s="5" t="s">
        <v>32</v>
      </c>
      <c r="C7" s="5" t="s">
        <v>39</v>
      </c>
      <c r="E7" s="5" t="str">
        <f t="shared" si="0"/>
        <v>20;#Law</v>
      </c>
      <c r="F7">
        <v>20</v>
      </c>
      <c r="G7" t="s">
        <v>59</v>
      </c>
    </row>
    <row r="8" spans="1:7">
      <c r="A8" s="5" t="s">
        <v>45</v>
      </c>
      <c r="B8" s="5" t="s">
        <v>33</v>
      </c>
      <c r="C8" s="6" t="s">
        <v>40</v>
      </c>
      <c r="E8" s="5" t="str">
        <f t="shared" si="0"/>
        <v>26;#Lifeline Web Master</v>
      </c>
      <c r="F8">
        <v>26</v>
      </c>
      <c r="G8" t="s">
        <v>60</v>
      </c>
    </row>
    <row r="9" spans="1:7">
      <c r="A9" s="5" t="s">
        <v>46</v>
      </c>
      <c r="B9" s="5" t="s">
        <v>34</v>
      </c>
      <c r="E9" s="5" t="str">
        <f t="shared" si="0"/>
        <v>32;#Manager</v>
      </c>
      <c r="F9">
        <v>32</v>
      </c>
      <c r="G9" t="s">
        <v>61</v>
      </c>
    </row>
    <row r="10" spans="1:7">
      <c r="A10" s="5" t="s">
        <v>47</v>
      </c>
      <c r="B10" s="6" t="s">
        <v>35</v>
      </c>
      <c r="E10" s="5" t="str">
        <f t="shared" si="0"/>
        <v>11;#Marketing Communications</v>
      </c>
      <c r="F10">
        <v>11</v>
      </c>
      <c r="G10" t="s">
        <v>62</v>
      </c>
    </row>
    <row r="11" spans="1:7">
      <c r="A11" s="5" t="s">
        <v>48</v>
      </c>
      <c r="E11" s="5" t="str">
        <f t="shared" si="0"/>
        <v>38;#NT AUTHORITY\local service</v>
      </c>
      <c r="F11">
        <v>38</v>
      </c>
      <c r="G11" t="s">
        <v>63</v>
      </c>
    </row>
    <row r="12" spans="1:7">
      <c r="A12" s="5" t="s">
        <v>49</v>
      </c>
      <c r="E12" s="5" t="str">
        <f t="shared" si="0"/>
        <v>5;#OnTracUsers</v>
      </c>
      <c r="F12">
        <v>5</v>
      </c>
      <c r="G12" t="s">
        <v>64</v>
      </c>
    </row>
    <row r="13" spans="1:7">
      <c r="A13" s="5" t="s">
        <v>50</v>
      </c>
      <c r="E13" s="5" t="str">
        <f t="shared" si="0"/>
        <v>24;#Principal</v>
      </c>
      <c r="F13">
        <v>24</v>
      </c>
      <c r="G13" t="s">
        <v>65</v>
      </c>
    </row>
    <row r="14" spans="1:7">
      <c r="A14" s="5" t="s">
        <v>51</v>
      </c>
      <c r="E14" s="5" t="str">
        <f t="shared" si="0"/>
        <v>15;#Production Merchandise</v>
      </c>
      <c r="F14">
        <v>15</v>
      </c>
      <c r="G14" t="s">
        <v>66</v>
      </c>
    </row>
    <row r="15" spans="1:7">
      <c r="A15" s="5" t="s">
        <v>52</v>
      </c>
      <c r="E15" s="5" t="str">
        <f t="shared" si="0"/>
        <v>13;#Production Support</v>
      </c>
      <c r="F15">
        <v>13</v>
      </c>
      <c r="G15" t="s">
        <v>67</v>
      </c>
    </row>
    <row r="16" spans="1:7">
      <c r="A16" s="6" t="s">
        <v>53</v>
      </c>
      <c r="E16" s="5" t="str">
        <f t="shared" si="0"/>
        <v>22;#PSD</v>
      </c>
      <c r="F16">
        <v>22</v>
      </c>
      <c r="G16" t="s">
        <v>68</v>
      </c>
    </row>
    <row r="17" spans="5:7">
      <c r="E17" s="5" t="str">
        <f t="shared" si="0"/>
        <v>1;#SPSAdmin</v>
      </c>
      <c r="F17">
        <v>1</v>
      </c>
      <c r="G17" t="s">
        <v>69</v>
      </c>
    </row>
    <row r="18" spans="5:7">
      <c r="E18" s="5" t="str">
        <f t="shared" si="0"/>
        <v>36;#State Filer</v>
      </c>
      <c r="F18">
        <v>36</v>
      </c>
      <c r="G18" t="s">
        <v>70</v>
      </c>
    </row>
    <row r="19" spans="5:7">
      <c r="E19" s="5" t="str">
        <f t="shared" si="0"/>
        <v>9;#Submitter</v>
      </c>
      <c r="F19">
        <v>9</v>
      </c>
      <c r="G19" t="s">
        <v>17</v>
      </c>
    </row>
    <row r="20" spans="5:7">
      <c r="E20" s="5" t="str">
        <f t="shared" si="0"/>
        <v>34;#VP Compliance</v>
      </c>
      <c r="F20">
        <v>34</v>
      </c>
      <c r="G20" t="s">
        <v>71</v>
      </c>
    </row>
    <row r="21" spans="5:7">
      <c r="E21" s="5" t="str">
        <f t="shared" si="0"/>
        <v>30;#Web Expert</v>
      </c>
      <c r="F21">
        <v>30</v>
      </c>
      <c r="G21" t="s">
        <v>72</v>
      </c>
    </row>
    <row r="22" spans="5:7">
      <c r="E22" s="6" t="str">
        <f t="shared" si="0"/>
        <v>2;#Workflow Coordinator</v>
      </c>
      <c r="F22">
        <v>2</v>
      </c>
      <c r="G22" t="s">
        <v>73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Upcoming Projects</vt:lpstr>
      <vt:lpstr>XML</vt:lpstr>
      <vt:lpstr>Lookups</vt:lpstr>
      <vt:lpstr>IntendedAudience</vt:lpstr>
      <vt:lpstr>ProductType</vt:lpstr>
      <vt:lpstr>TrueFalse</vt:lpstr>
      <vt:lpstr>Users</vt:lpstr>
      <vt:lpstr>WorkflowType</vt:lpstr>
    </vt:vector>
  </TitlesOfParts>
  <Company>Pacific Life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crhodes</dc:creator>
  <cp:lastModifiedBy>crhodes</cp:lastModifiedBy>
  <dcterms:created xsi:type="dcterms:W3CDTF">2008-02-11T22:43:03Z</dcterms:created>
  <dcterms:modified xsi:type="dcterms:W3CDTF">2008-02-12T16:48:44Z</dcterms:modified>
</cp:coreProperties>
</file>