
<file path=[Content_Types].xml><?xml version="1.0" encoding="utf-8"?>
<Types xmlns="http://schemas.openxmlformats.org/package/2006/content-types">
  <Override PartName="/xl/worksheets/sheet24.xml" ContentType="application/vnd.openxmlformats-officedocument.spreadsheetml.worksheet+xml"/>
  <Override PartName="/xl/tables/table4.xml" ContentType="application/vnd.openxmlformats-officedocument.spreadsheetml.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xml" ContentType="application/xml"/>
  <Override PartName="/xl/drawings/drawing2.xml" ContentType="application/vnd.openxmlformats-officedocument.drawingml.chartshapes+xml"/>
  <Override PartName="/xl/charts/chart49.xml" ContentType="application/vnd.openxmlformats-officedocument.drawingml.chart+xml"/>
  <Override PartName="/xl/worksheets/sheet3.xml" ContentType="application/vnd.openxmlformats-officedocument.spreadsheetml.worksheet+xml"/>
  <Override PartName="/xl/charts/chart27.xml" ContentType="application/vnd.openxmlformats-officedocument.drawingml.chart+xml"/>
  <Override PartName="/xl/charts/chart38.xml" ContentType="application/vnd.openxmlformats-officedocument.drawingml.chart+xml"/>
  <Override PartName="/xl/charts/chart56.xml" ContentType="application/vnd.openxmlformats-officedocument.drawingml.chart+xml"/>
  <Override PartName="/xl/drawings/drawing13.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harts/chart16.xml" ContentType="application/vnd.openxmlformats-officedocument.drawingml.chart+xml"/>
  <Override PartName="/xl/charts/chart25.xml" ContentType="application/vnd.openxmlformats-officedocument.drawingml.chart+xml"/>
  <Override PartName="/xl/charts/chart34.xml" ContentType="application/vnd.openxmlformats-officedocument.drawingml.chart+xml"/>
  <Override PartName="/xl/charts/chart45.xml" ContentType="application/vnd.openxmlformats-officedocument.drawingml.chart+xml"/>
  <Override PartName="/xl/charts/chart54.xml" ContentType="application/vnd.openxmlformats-officedocument.drawingml.chart+xml"/>
  <Override PartName="/xl/drawings/drawing11.xml" ContentType="application/vnd.openxmlformats-officedocument.drawing+xml"/>
  <Override PartName="/xl/sharedStrings.xml" ContentType="application/vnd.openxmlformats-officedocument.spreadsheetml.sharedStrings+xml"/>
  <Override PartName="/xl/charts/chart14.xml" ContentType="application/vnd.openxmlformats-officedocument.drawingml.chart+xml"/>
  <Override PartName="/xl/charts/chart23.xml" ContentType="application/vnd.openxmlformats-officedocument.drawingml.chart+xml"/>
  <Override PartName="/xl/charts/chart32.xml" ContentType="application/vnd.openxmlformats-officedocument.drawingml.chart+xml"/>
  <Override PartName="/xl/charts/chart43.xml" ContentType="application/vnd.openxmlformats-officedocument.drawingml.chart+xml"/>
  <Override PartName="/xl/charts/chart52.xml" ContentType="application/vnd.openxmlformats-officedocument.drawingml.chart+xml"/>
  <Override PartName="/xl/worksheets/sheet18.xml" ContentType="application/vnd.openxmlformats-officedocument.spreadsheetml.worksheet+xml"/>
  <Override PartName="/xl/worksheets/sheet27.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30.xml" ContentType="application/vnd.openxmlformats-officedocument.drawingml.chart+xml"/>
  <Override PartName="/xl/queryTables/queryTable4.xml" ContentType="application/vnd.openxmlformats-officedocument.spreadsheetml.queryTable+xml"/>
  <Override PartName="/xl/charts/chart41.xml" ContentType="application/vnd.openxmlformats-officedocument.drawingml.chart+xml"/>
  <Override PartName="/xl/charts/chart50.xml" ContentType="application/vnd.openxmlformats-officedocument.drawingml.chart+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charts/chart7.xml" ContentType="application/vnd.openxmlformats-officedocument.drawingml.chart+xml"/>
  <Override PartName="/xl/queryTables/queryTable2.xml" ContentType="application/vnd.openxmlformats-officedocument.spreadsheetml.queryTable+xml"/>
  <Override PartName="/xl/charts/chart10.xml" ContentType="application/vnd.openxmlformats-officedocument.drawingml.chart+xml"/>
  <Override PartName="/xl/tables/table3.xml" ContentType="application/vnd.openxmlformats-officedocument.spreadsheetml.table+xml"/>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tables/table1.xml" ContentType="application/vnd.openxmlformats-officedocument.spreadsheetml.table+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harts/chart3.xml" ContentType="application/vnd.openxmlformats-officedocument.drawingml.chart+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charts/chart39.xml" ContentType="application/vnd.openxmlformats-officedocument.drawingml.chart+xml"/>
  <Override PartName="/xl/charts/chart48.xml" ContentType="application/vnd.openxmlformats-officedocument.drawingml.chart+xml"/>
  <Override PartName="/xl/charts/chart57.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Override PartName="/xl/charts/chart46.xml" ContentType="application/vnd.openxmlformats-officedocument.drawingml.chart+xml"/>
  <Override PartName="/xl/charts/chart55.xml" ContentType="application/vnd.openxmlformats-officedocument.drawingml.chart+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charts/chart44.xml" ContentType="application/vnd.openxmlformats-officedocument.drawingml.chart+xml"/>
  <Override PartName="/xl/charts/chart53.xml" ContentType="application/vnd.openxmlformats-officedocument.drawingml.chart+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charts/chart42.xml" ContentType="application/vnd.openxmlformats-officedocument.drawingml.chart+xml"/>
  <Override PartName="/xl/charts/chart51.xml" ContentType="application/vnd.openxmlformats-officedocument.drawingml.chart+xml"/>
  <Override PartName="/xl/drawings/drawing10.xml" ContentType="application/vnd.openxmlformats-officedocument.drawing+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queryTables/queryTable3.xml" ContentType="application/vnd.openxmlformats-officedocument.spreadsheetml.queryTable+xml"/>
  <Override PartName="/xl/charts/chart22.xml" ContentType="application/vnd.openxmlformats-officedocument.drawingml.chart+xml"/>
  <Override PartName="/xl/charts/chart31.xml" ContentType="application/vnd.openxmlformats-officedocument.drawingml.chart+xml"/>
  <Override PartName="/xl/charts/chart40.xml" ContentType="application/vnd.openxmlformats-officedocument.drawingml.chart+xml"/>
  <Override PartName="/docProps/core.xml" ContentType="application/vnd.openxmlformats-package.core-properties+xml"/>
  <Override PartName="/xl/worksheets/sheet15.xml" ContentType="application/vnd.openxmlformats-officedocument.spreadsheetml.worksheet+xml"/>
  <Override PartName="/xl/queryTables/queryTable1.xml" ContentType="application/vnd.openxmlformats-officedocument.spreadsheetml.queryTable+xml"/>
  <Override PartName="/xl/charts/chart6.xml" ContentType="application/vnd.openxmlformats-officedocument.drawingml.chart+xml"/>
  <Override PartName="/xl/charts/chart20.xml" ContentType="application/vnd.openxmlformats-officedocument.drawingml.chart+xml"/>
  <Override PartName="/xl/attachedToolbars.bin" ContentType="application/vnd.ms-excel.attachedToolbars"/>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tables/table2.xml" ContentType="application/vnd.openxmlformats-officedocument.spreadsheetml.table+xml"/>
  <Override PartName="/xl/drawings/drawing8.xml" ContentType="application/vnd.openxmlformats-officedocument.drawing+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charts/chart29.xml" ContentType="application/vnd.openxmlformats-officedocument.drawingml.chart+xml"/>
  <Override PartName="/xl/charts/chart58.xml" ContentType="application/vnd.openxmlformats-officedocument.drawingml.chart+xml"/>
  <Override PartName="/xl/connections.xml" ContentType="application/vnd.openxmlformats-officedocument.spreadsheetml.connections+xml"/>
  <Override PartName="/xl/comments2.xml" ContentType="application/vnd.openxmlformats-officedocument.spreadsheetml.comments+xml"/>
  <Override PartName="/xl/charts/chart18.xml" ContentType="application/vnd.openxmlformats-officedocument.drawingml.chart+xml"/>
  <Override PartName="/xl/charts/chart36.xml" ContentType="application/vnd.openxmlformats-officedocument.drawingml.chart+xml"/>
  <Override PartName="/xl/charts/chart47.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C7D7DFBA-A3E8-793F-BDBE-722D05640CCE}"/>
  <workbookPr codeName="ThisWorkbook" defaultThemeVersion="124226"/>
  <bookViews>
    <workbookView xWindow="6765" yWindow="-15" windowWidth="19320" windowHeight="14550" activeTab="2"/>
  </bookViews>
  <sheets>
    <sheet name="Table of Contents" sheetId="18" r:id="rId1"/>
    <sheet name="Scorecard - Individual Team" sheetId="720" r:id="rId2"/>
    <sheet name="Scorecard - All Teams" sheetId="724" r:id="rId3"/>
    <sheet name="Budget Rollup" sheetId="721" r:id="rId4"/>
    <sheet name="Survey Rollup" sheetId="713" r:id="rId5"/>
    <sheet name="Survey Mapping" sheetId="712" r:id="rId6"/>
    <sheet name="IT Survey - All Teams" sheetId="725" r:id="rId7"/>
    <sheet name="Business Survey - All Teams" sheetId="726" r:id="rId8"/>
    <sheet name="Partner Survey - All Teams" sheetId="727" r:id="rId9"/>
    <sheet name="Lookups" sheetId="10" r:id="rId10"/>
    <sheet name="Partner Survey Questions" sheetId="709" r:id="rId11"/>
    <sheet name="Partner Survey Data" sheetId="722" r:id="rId12"/>
    <sheet name="Partner Survey Data (1)" sheetId="723" r:id="rId13"/>
    <sheet name="Business Survey Questions" sheetId="538" r:id="rId14"/>
    <sheet name="Business Survey Data" sheetId="539" r:id="rId15"/>
    <sheet name="IT Survey Questions" sheetId="245" r:id="rId16"/>
    <sheet name="IT Survey Data" sheetId="247" r:id="rId17"/>
    <sheet name="IT Sales On-Time Data" sheetId="249" r:id="rId18"/>
    <sheet name="eBusiness On-Time Data" sheetId="251" r:id="rId19"/>
    <sheet name="IT Finance On-Time Data" sheetId="255" r:id="rId20"/>
    <sheet name="IT Producer On-Time Delivery" sheetId="269" r:id="rId21"/>
    <sheet name="Product Admin On-Time Delivery" sheetId="266" r:id="rId22"/>
    <sheet name="Workflow On-Time Data" sheetId="253" r:id="rId23"/>
    <sheet name="Viewpoint On-Time Delivery" sheetId="270" r:id="rId24"/>
    <sheet name="IT Service On-Time Delivery" sheetId="272" r:id="rId25"/>
    <sheet name="On-Time Delivery Data" sheetId="240" r:id="rId26"/>
    <sheet name="Budget Variance Data" sheetId="714" r:id="rId27"/>
    <sheet name="ITR Data" sheetId="718" r:id="rId28"/>
  </sheets>
  <externalReferences>
    <externalReference r:id="rId29"/>
  </externalReferences>
  <definedNames>
    <definedName name="_xlnm._FilterDatabase" localSheetId="25" hidden="1">'On-Time Delivery Data'!$A$30:$K$44</definedName>
    <definedName name="ExternalData_1" localSheetId="14" hidden="1">'Business Survey Data'!$A$30:$AI$77</definedName>
    <definedName name="ExternalData_1" localSheetId="16" hidden="1">'IT Survey Data'!$A$30:$AT$186</definedName>
    <definedName name="ExternalData_1" localSheetId="11" hidden="1">'Partner Survey Data'!$A$30:$W$47</definedName>
    <definedName name="ExternalData_1" localSheetId="12" hidden="1">'Partner Survey Data (1)'!$A$30:$W$47</definedName>
    <definedName name="FollowUp_Questions_Location">Lookups!$B$26</definedName>
    <definedName name="Primary_Questions_Location">Lookups!$B$25</definedName>
    <definedName name="_xlnm.Print_Area" localSheetId="2">'Scorecard - All Teams'!$A$2:$T$36</definedName>
    <definedName name="_xlnm.Print_Area" localSheetId="1">'Scorecard - Individual Team'!$A$2:$L$44</definedName>
    <definedName name="Questions_Location">Lookups!$B$22</definedName>
    <definedName name="Row_Width" localSheetId="11">#REF!,#REF!</definedName>
    <definedName name="Row_Width_Location">Lookups!$B$23</definedName>
    <definedName name="Statistics_Location">Lookups!$B$24</definedName>
    <definedName name="Survey_Period" localSheetId="2">'Scorecard - All Teams'!#REF!</definedName>
    <definedName name="Survey_Period">'Scorecard - Individual Team'!$E$2</definedName>
    <definedName name="Team_Manager_Lookup">Lookups!$B$28</definedName>
    <definedName name="Team_Managers">Lookups!$C$5:$C$17</definedName>
    <definedName name="Team_Managers_Extensions">Lookups!$D$5:$D$17</definedName>
    <definedName name="Team_Name" localSheetId="2">'Scorecard - All Teams'!#REF!</definedName>
    <definedName name="Team_Name">'Scorecard - Individual Team'!$B$2</definedName>
    <definedName name="Team_Name_Lookup">Lookups!$B$21</definedName>
    <definedName name="Team_Names">Lookups!$B$5:$B$18</definedName>
    <definedName name="Yes_No_Lookup">Lookups!$A$48:$B$49</definedName>
  </definedNames>
  <calcPr calcId="125725"/>
</workbook>
</file>

<file path=xl/calcChain.xml><?xml version="1.0" encoding="utf-8"?>
<calcChain xmlns="http://schemas.openxmlformats.org/spreadsheetml/2006/main">
  <c r="B2" i="712"/>
  <c r="E2" i="724"/>
  <c r="B42" i="240" l="1"/>
  <c r="AR24" i="247" a="1"/>
  <c r="AR24" s="1"/>
  <c r="AP24" a="1"/>
  <c r="AP24" s="1"/>
  <c r="AN24" a="1"/>
  <c r="AN24" s="1"/>
  <c r="AL24" a="1"/>
  <c r="AL24" s="1"/>
  <c r="AJ24" a="1"/>
  <c r="AJ24" s="1"/>
  <c r="AH24" a="1"/>
  <c r="AH24" s="1"/>
  <c r="AF24" a="1"/>
  <c r="AF24" s="1"/>
  <c r="AD24" a="1"/>
  <c r="AD24" s="1"/>
  <c r="AB24" a="1"/>
  <c r="AB24" s="1"/>
  <c r="Z24" a="1"/>
  <c r="Z24" s="1"/>
  <c r="X24" a="1"/>
  <c r="X24" s="1"/>
  <c r="V24" a="1"/>
  <c r="V24" s="1"/>
  <c r="T24" a="1"/>
  <c r="T24" s="1"/>
  <c r="R24" a="1"/>
  <c r="R24" s="1"/>
  <c r="P24" a="1"/>
  <c r="P24" s="1"/>
  <c r="N24" a="1"/>
  <c r="N24" s="1"/>
  <c r="L24" a="1"/>
  <c r="L24" s="1"/>
  <c r="J24" a="1"/>
  <c r="J24" s="1"/>
  <c r="H24" a="1"/>
  <c r="H24" s="1"/>
  <c r="F24" a="1"/>
  <c r="F24" s="1"/>
  <c r="C24" s="1"/>
  <c r="AF24" i="539" a="1"/>
  <c r="AF24"/>
  <c r="AD24" a="1"/>
  <c r="AD24"/>
  <c r="AB24" a="1"/>
  <c r="AB24"/>
  <c r="Z24" a="1"/>
  <c r="Z24"/>
  <c r="X24" a="1"/>
  <c r="X24"/>
  <c r="V24" a="1"/>
  <c r="V24"/>
  <c r="T24" a="1"/>
  <c r="T24"/>
  <c r="R24" a="1"/>
  <c r="R24"/>
  <c r="P24" a="1"/>
  <c r="P24"/>
  <c r="N24" a="1"/>
  <c r="N24"/>
  <c r="L24" a="1"/>
  <c r="L24"/>
  <c r="J24" a="1"/>
  <c r="J24"/>
  <c r="H24" a="1"/>
  <c r="H24"/>
  <c r="F24" a="1"/>
  <c r="F24"/>
  <c r="C24" s="1"/>
  <c r="T24" i="723" a="1"/>
  <c r="T24" s="1"/>
  <c r="R24" a="1"/>
  <c r="R24" s="1"/>
  <c r="P24" a="1"/>
  <c r="P24" s="1"/>
  <c r="N24" a="1"/>
  <c r="N24" s="1"/>
  <c r="L24" a="1"/>
  <c r="L24" s="1"/>
  <c r="J24" a="1"/>
  <c r="J24" s="1"/>
  <c r="H24" a="1"/>
  <c r="H24" s="1"/>
  <c r="F24" a="1"/>
  <c r="F24" s="1"/>
  <c r="C24" s="1"/>
  <c r="C12"/>
  <c r="C11"/>
  <c r="C10"/>
  <c r="C9"/>
  <c r="C8"/>
  <c r="C7"/>
  <c r="C6"/>
  <c r="C5"/>
  <c r="T24" i="722" a="1"/>
  <c r="T24" s="1"/>
  <c r="R24" a="1"/>
  <c r="R24" s="1"/>
  <c r="P24" a="1"/>
  <c r="P24" s="1"/>
  <c r="N24" a="1"/>
  <c r="N24" s="1"/>
  <c r="L24" a="1"/>
  <c r="L24" s="1"/>
  <c r="J24" a="1"/>
  <c r="J24" s="1"/>
  <c r="H24" a="1"/>
  <c r="H24" s="1"/>
  <c r="F24" a="1"/>
  <c r="F24" s="1"/>
  <c r="C12"/>
  <c r="C11"/>
  <c r="C10"/>
  <c r="C9"/>
  <c r="C8"/>
  <c r="C7"/>
  <c r="C6"/>
  <c r="C5"/>
  <c r="D135" i="247"/>
  <c r="D39"/>
  <c r="D76"/>
  <c r="D50" i="539"/>
  <c r="D49"/>
  <c r="D32" i="722"/>
  <c r="D183" i="247"/>
  <c r="D181"/>
  <c r="D165"/>
  <c r="D56"/>
  <c r="D79"/>
  <c r="D32" i="723"/>
  <c r="D134" i="247"/>
  <c r="D50"/>
  <c r="D123"/>
  <c r="D53" i="539"/>
  <c r="D132" i="247"/>
  <c r="D150"/>
  <c r="D128"/>
  <c r="D62"/>
  <c r="D130"/>
  <c r="D38" i="722"/>
  <c r="D34" i="247"/>
  <c r="D164"/>
  <c r="D156"/>
  <c r="D87"/>
  <c r="D43" i="722"/>
  <c r="D142" i="247"/>
  <c r="D60"/>
  <c r="D58" i="539"/>
  <c r="D86" i="247"/>
  <c r="D52" i="539"/>
  <c r="D151" i="247"/>
  <c r="D53"/>
  <c r="D59"/>
  <c r="D85"/>
  <c r="D168"/>
  <c r="D67" i="539"/>
  <c r="D37"/>
  <c r="D107" i="247"/>
  <c r="D46" i="539"/>
  <c r="D34"/>
  <c r="D163" i="247"/>
  <c r="D57" i="539"/>
  <c r="D37" i="247"/>
  <c r="D91"/>
  <c r="D32" i="539"/>
  <c r="D38" i="247"/>
  <c r="D175"/>
  <c r="D54" i="539"/>
  <c r="D72"/>
  <c r="D74"/>
  <c r="D40" i="247"/>
  <c r="D58"/>
  <c r="D41" i="723"/>
  <c r="D61" i="539"/>
  <c r="D160" i="247"/>
  <c r="D141"/>
  <c r="D182"/>
  <c r="D38" i="723"/>
  <c r="D109" i="247"/>
  <c r="D126"/>
  <c r="D49"/>
  <c r="D39" i="722"/>
  <c r="D51" i="539"/>
  <c r="D34" i="722"/>
  <c r="D93" i="247"/>
  <c r="D103"/>
  <c r="D106"/>
  <c r="D102"/>
  <c r="D63"/>
  <c r="D157"/>
  <c r="D161"/>
  <c r="D119"/>
  <c r="D118"/>
  <c r="D92"/>
  <c r="D147"/>
  <c r="D88"/>
  <c r="D36" i="722"/>
  <c r="D72" i="247"/>
  <c r="D167"/>
  <c r="D178"/>
  <c r="D169"/>
  <c r="D55" i="539"/>
  <c r="D65" i="247"/>
  <c r="D70"/>
  <c r="D146"/>
  <c r="D105"/>
  <c r="D48" i="539"/>
  <c r="D115" i="247"/>
  <c r="D179"/>
  <c r="D97"/>
  <c r="D112"/>
  <c r="D116"/>
  <c r="D153"/>
  <c r="D99"/>
  <c r="D48"/>
  <c r="D78"/>
  <c r="D38" i="539"/>
  <c r="D172" i="247"/>
  <c r="D37" i="723"/>
  <c r="D59" i="539"/>
  <c r="D149" i="247"/>
  <c r="D186"/>
  <c r="D144"/>
  <c r="D42" i="722"/>
  <c r="D73" i="539"/>
  <c r="D45"/>
  <c r="D36" i="723"/>
  <c r="D42" i="247"/>
  <c r="D41" i="539"/>
  <c r="D68" i="247"/>
  <c r="D173"/>
  <c r="D43" i="723"/>
  <c r="D117" i="247"/>
  <c r="D104"/>
  <c r="D46"/>
  <c r="D162"/>
  <c r="D131"/>
  <c r="D75" i="539"/>
  <c r="D74" i="247"/>
  <c r="D35" i="539"/>
  <c r="D100" i="247"/>
  <c r="D31"/>
  <c r="D55"/>
  <c r="D133"/>
  <c r="D41"/>
  <c r="D154"/>
  <c r="D56" i="539"/>
  <c r="D136" i="247"/>
  <c r="D64" i="539"/>
  <c r="D37" i="722"/>
  <c r="D101" i="247"/>
  <c r="D148"/>
  <c r="D80"/>
  <c r="D110"/>
  <c r="D73"/>
  <c r="D124"/>
  <c r="D67"/>
  <c r="D35"/>
  <c r="D90"/>
  <c r="D95"/>
  <c r="D43"/>
  <c r="D82"/>
  <c r="D63" i="539"/>
  <c r="D69" i="247"/>
  <c r="D120"/>
  <c r="D94"/>
  <c r="D98"/>
  <c r="D44"/>
  <c r="D68" i="539"/>
  <c r="D43"/>
  <c r="D54" i="247"/>
  <c r="D96"/>
  <c r="D127"/>
  <c r="D33"/>
  <c r="D89"/>
  <c r="D129"/>
  <c r="D155"/>
  <c r="D125"/>
  <c r="D83"/>
  <c r="D45"/>
  <c r="D66" i="539"/>
  <c r="D140" i="247"/>
  <c r="D113"/>
  <c r="D77"/>
  <c r="D152"/>
  <c r="D39" i="539"/>
  <c r="D36" i="247"/>
  <c r="D44" i="539"/>
  <c r="D145" i="247"/>
  <c r="D143"/>
  <c r="D108"/>
  <c r="D139"/>
  <c r="D122"/>
  <c r="D180"/>
  <c r="D76" i="539"/>
  <c r="D41" i="722"/>
  <c r="D166" i="247"/>
  <c r="D137"/>
  <c r="D177"/>
  <c r="D36" i="539"/>
  <c r="D51" i="247"/>
  <c r="D171"/>
  <c r="D121"/>
  <c r="D185"/>
  <c r="D47" i="539"/>
  <c r="D69"/>
  <c r="D40" i="723"/>
  <c r="D33"/>
  <c r="D57" i="247"/>
  <c r="D84"/>
  <c r="D71" i="539"/>
  <c r="D184" i="247"/>
  <c r="D111"/>
  <c r="D138"/>
  <c r="D174"/>
  <c r="D66"/>
  <c r="D176"/>
  <c r="D40" i="722"/>
  <c r="D114" i="247"/>
  <c r="D52"/>
  <c r="D61"/>
  <c r="D64"/>
  <c r="D159"/>
  <c r="D62" i="539"/>
  <c r="D42"/>
  <c r="D77"/>
  <c r="D70"/>
  <c r="D47" i="247"/>
  <c r="D170"/>
  <c r="D33" i="539"/>
  <c r="D31"/>
  <c r="D158" i="247"/>
  <c r="D42" i="723"/>
  <c r="D65" i="539"/>
  <c r="D32" i="247"/>
  <c r="D39" i="723"/>
  <c r="D75" i="247"/>
  <c r="D71"/>
  <c r="D33" i="722"/>
  <c r="D60" i="539"/>
  <c r="D34" i="723"/>
  <c r="D81" i="247"/>
  <c r="D40" i="539"/>
  <c r="C24" i="722" l="1"/>
  <c r="R22" i="723" a="1"/>
  <c r="R22" s="1"/>
  <c r="H25" a="1"/>
  <c r="H25" s="1"/>
  <c r="H26" a="1"/>
  <c r="H26" s="1"/>
  <c r="H16" a="1"/>
  <c r="H16" s="1"/>
  <c r="H17" a="1"/>
  <c r="H17" s="1"/>
  <c r="H18" a="1"/>
  <c r="H18" s="1"/>
  <c r="H19" a="1"/>
  <c r="H19" s="1"/>
  <c r="H20" a="1"/>
  <c r="H20" s="1"/>
  <c r="H21" a="1"/>
  <c r="H21" s="1"/>
  <c r="H22" a="1"/>
  <c r="H22" s="1"/>
  <c r="L25" a="1"/>
  <c r="L25" s="1"/>
  <c r="L26" a="1"/>
  <c r="L26" s="1"/>
  <c r="L16" a="1"/>
  <c r="L16" s="1"/>
  <c r="L17" a="1"/>
  <c r="L17" s="1"/>
  <c r="L18" a="1"/>
  <c r="L18" s="1"/>
  <c r="L19" a="1"/>
  <c r="L19" s="1"/>
  <c r="L20" a="1"/>
  <c r="L20" s="1"/>
  <c r="L21" a="1"/>
  <c r="L21" s="1"/>
  <c r="L22" a="1"/>
  <c r="L22" s="1"/>
  <c r="P25" a="1"/>
  <c r="P25" s="1"/>
  <c r="P26" a="1"/>
  <c r="P26" s="1"/>
  <c r="P16" a="1"/>
  <c r="P16" s="1"/>
  <c r="P17" a="1"/>
  <c r="P17" s="1"/>
  <c r="P18" a="1"/>
  <c r="P18" s="1"/>
  <c r="P19" a="1"/>
  <c r="P19" s="1"/>
  <c r="P20" a="1"/>
  <c r="P20" s="1"/>
  <c r="P21" a="1"/>
  <c r="P21" s="1"/>
  <c r="P22" a="1"/>
  <c r="P22" s="1"/>
  <c r="T25" a="1"/>
  <c r="T25" s="1"/>
  <c r="T26" a="1"/>
  <c r="T26" s="1"/>
  <c r="T16" a="1"/>
  <c r="T16" s="1"/>
  <c r="T17" a="1"/>
  <c r="T17" s="1"/>
  <c r="T18" a="1"/>
  <c r="T18" s="1"/>
  <c r="T19" a="1"/>
  <c r="T19" s="1"/>
  <c r="T20" a="1"/>
  <c r="T20" s="1"/>
  <c r="T21" a="1"/>
  <c r="T21" s="1"/>
  <c r="T22" a="1"/>
  <c r="T22" s="1"/>
  <c r="T26" i="722" a="1"/>
  <c r="T26" s="1"/>
  <c r="F25" i="723" a="1"/>
  <c r="F25" s="1"/>
  <c r="F26" a="1"/>
  <c r="F26" s="1"/>
  <c r="F16" a="1"/>
  <c r="F16" s="1"/>
  <c r="F17" a="1"/>
  <c r="F17" s="1"/>
  <c r="F18" a="1"/>
  <c r="F18" s="1"/>
  <c r="F19" a="1"/>
  <c r="F19" s="1"/>
  <c r="F20" a="1"/>
  <c r="F20" s="1"/>
  <c r="F21" a="1"/>
  <c r="F21" s="1"/>
  <c r="F22" a="1"/>
  <c r="F22" s="1"/>
  <c r="J25" a="1"/>
  <c r="J25" s="1"/>
  <c r="J26" a="1"/>
  <c r="J26" s="1"/>
  <c r="J16" a="1"/>
  <c r="J16" s="1"/>
  <c r="J17" a="1"/>
  <c r="J17" s="1"/>
  <c r="J18" a="1"/>
  <c r="J18" s="1"/>
  <c r="J19" a="1"/>
  <c r="J19" s="1"/>
  <c r="J20" a="1"/>
  <c r="J20" s="1"/>
  <c r="J21" a="1"/>
  <c r="J21" s="1"/>
  <c r="J22" a="1"/>
  <c r="J22" s="1"/>
  <c r="N25" a="1"/>
  <c r="N25" s="1"/>
  <c r="N26" a="1"/>
  <c r="N26" s="1"/>
  <c r="N16" a="1"/>
  <c r="N16" s="1"/>
  <c r="N17" a="1"/>
  <c r="N17" s="1"/>
  <c r="N18" a="1"/>
  <c r="N18" s="1"/>
  <c r="N19" a="1"/>
  <c r="N19" s="1"/>
  <c r="N20" a="1"/>
  <c r="N20" s="1"/>
  <c r="N21" a="1"/>
  <c r="N21" s="1"/>
  <c r="N22" a="1"/>
  <c r="N22" s="1"/>
  <c r="R25" a="1"/>
  <c r="R25" s="1"/>
  <c r="R26" a="1"/>
  <c r="R26" s="1"/>
  <c r="R16" a="1"/>
  <c r="R16" s="1"/>
  <c r="R17" a="1"/>
  <c r="R17" s="1"/>
  <c r="R18" a="1"/>
  <c r="R18" s="1"/>
  <c r="R19" a="1"/>
  <c r="R19" s="1"/>
  <c r="R20" a="1"/>
  <c r="R20" s="1"/>
  <c r="R21" a="1"/>
  <c r="R21" s="1"/>
  <c r="F16" i="722" a="1"/>
  <c r="F16" s="1"/>
  <c r="H16" a="1"/>
  <c r="H16" s="1"/>
  <c r="J16" a="1"/>
  <c r="J16" s="1"/>
  <c r="L16" a="1"/>
  <c r="L16" s="1"/>
  <c r="N16" a="1"/>
  <c r="N16" s="1"/>
  <c r="P16" a="1"/>
  <c r="P16" s="1"/>
  <c r="R16" a="1"/>
  <c r="R16" s="1"/>
  <c r="T16" a="1"/>
  <c r="T16" s="1"/>
  <c r="F17" a="1"/>
  <c r="F17" s="1"/>
  <c r="H17" a="1"/>
  <c r="H17" s="1"/>
  <c r="J17" a="1"/>
  <c r="J17" s="1"/>
  <c r="L17" a="1"/>
  <c r="L17" s="1"/>
  <c r="N17" a="1"/>
  <c r="N17" s="1"/>
  <c r="P17" a="1"/>
  <c r="P17" s="1"/>
  <c r="R17" a="1"/>
  <c r="R17" s="1"/>
  <c r="T17" a="1"/>
  <c r="T17" s="1"/>
  <c r="F18" a="1"/>
  <c r="F18" s="1"/>
  <c r="H18" a="1"/>
  <c r="H18" s="1"/>
  <c r="J18" a="1"/>
  <c r="J18" s="1"/>
  <c r="L18" a="1"/>
  <c r="L18" s="1"/>
  <c r="N18" a="1"/>
  <c r="N18" s="1"/>
  <c r="P18" a="1"/>
  <c r="P18" s="1"/>
  <c r="R18" a="1"/>
  <c r="R18" s="1"/>
  <c r="T18" a="1"/>
  <c r="T18" s="1"/>
  <c r="F19" a="1"/>
  <c r="F19" s="1"/>
  <c r="H19" a="1"/>
  <c r="H19" s="1"/>
  <c r="J19" a="1"/>
  <c r="J19" s="1"/>
  <c r="L19" a="1"/>
  <c r="L19" s="1"/>
  <c r="N19" a="1"/>
  <c r="N19" s="1"/>
  <c r="P19" a="1"/>
  <c r="P19" s="1"/>
  <c r="R19" a="1"/>
  <c r="R19" s="1"/>
  <c r="T19" a="1"/>
  <c r="T19" s="1"/>
  <c r="F20" a="1"/>
  <c r="F20" s="1"/>
  <c r="H20" a="1"/>
  <c r="H20" s="1"/>
  <c r="J20" a="1"/>
  <c r="J20" s="1"/>
  <c r="L20" a="1"/>
  <c r="L20" s="1"/>
  <c r="N20" a="1"/>
  <c r="N20" s="1"/>
  <c r="P20" a="1"/>
  <c r="P20" s="1"/>
  <c r="R20" a="1"/>
  <c r="R20" s="1"/>
  <c r="T20" a="1"/>
  <c r="T20" s="1"/>
  <c r="F21" a="1"/>
  <c r="F21" s="1"/>
  <c r="H21" a="1"/>
  <c r="H21" s="1"/>
  <c r="J21" a="1"/>
  <c r="J21" s="1"/>
  <c r="L21" a="1"/>
  <c r="L21" s="1"/>
  <c r="N21" a="1"/>
  <c r="N21" s="1"/>
  <c r="P21" a="1"/>
  <c r="P21" s="1"/>
  <c r="R21" a="1"/>
  <c r="R21" s="1"/>
  <c r="T21" a="1"/>
  <c r="T21" s="1"/>
  <c r="F22" a="1"/>
  <c r="F22" s="1"/>
  <c r="H22" a="1"/>
  <c r="H22" s="1"/>
  <c r="J22" a="1"/>
  <c r="J22" s="1"/>
  <c r="L22" a="1"/>
  <c r="L22" s="1"/>
  <c r="N22" a="1"/>
  <c r="N22" s="1"/>
  <c r="P22" a="1"/>
  <c r="P22" s="1"/>
  <c r="R22" a="1"/>
  <c r="R22" s="1"/>
  <c r="T22" a="1"/>
  <c r="T22" s="1"/>
  <c r="F25" a="1"/>
  <c r="F25" s="1"/>
  <c r="H25" a="1"/>
  <c r="H25" s="1"/>
  <c r="J25" a="1"/>
  <c r="J25" s="1"/>
  <c r="L25" a="1"/>
  <c r="L25" s="1"/>
  <c r="N25" a="1"/>
  <c r="N25" s="1"/>
  <c r="P25" a="1"/>
  <c r="P25" s="1"/>
  <c r="R25" a="1"/>
  <c r="R25" s="1"/>
  <c r="T25" a="1"/>
  <c r="T25" s="1"/>
  <c r="F26" a="1"/>
  <c r="F26" s="1"/>
  <c r="H26" a="1"/>
  <c r="H26" s="1"/>
  <c r="J26" a="1"/>
  <c r="J26" s="1"/>
  <c r="L26" a="1"/>
  <c r="L26" s="1"/>
  <c r="N26" a="1"/>
  <c r="N26" s="1"/>
  <c r="P26" a="1"/>
  <c r="P26" s="1"/>
  <c r="R26" a="1"/>
  <c r="R26" s="1"/>
  <c r="B91" i="240"/>
  <c r="B92"/>
  <c r="B93"/>
  <c r="B94"/>
  <c r="B95"/>
  <c r="B96"/>
  <c r="B97"/>
  <c r="B98"/>
  <c r="B99"/>
  <c r="B100"/>
  <c r="B101"/>
  <c r="B108"/>
  <c r="B109"/>
  <c r="B110"/>
  <c r="B111"/>
  <c r="B107"/>
  <c r="B106"/>
  <c r="B176"/>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102"/>
  <c r="B103"/>
  <c r="B104"/>
  <c r="B105"/>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47"/>
  <c r="B32"/>
  <c r="B34"/>
  <c r="B36"/>
  <c r="B40"/>
  <c r="H35" i="272"/>
  <c r="K35"/>
  <c r="H36"/>
  <c r="K36"/>
  <c r="H37"/>
  <c r="K37"/>
  <c r="H38"/>
  <c r="K38"/>
  <c r="H39"/>
  <c r="K39"/>
  <c r="H40"/>
  <c r="K40"/>
  <c r="H41"/>
  <c r="K41"/>
  <c r="H42"/>
  <c r="K42"/>
  <c r="H43"/>
  <c r="K43"/>
  <c r="H44"/>
  <c r="K44"/>
  <c r="H45"/>
  <c r="K45"/>
  <c r="H46"/>
  <c r="K46"/>
  <c r="H47"/>
  <c r="K47"/>
  <c r="H48"/>
  <c r="K48"/>
  <c r="H49"/>
  <c r="K49"/>
  <c r="H50"/>
  <c r="K50"/>
  <c r="H51"/>
  <c r="K51"/>
  <c r="H52"/>
  <c r="K52"/>
  <c r="H53"/>
  <c r="K53"/>
  <c r="H54"/>
  <c r="K54"/>
  <c r="H55"/>
  <c r="K55"/>
  <c r="H56"/>
  <c r="K56"/>
  <c r="H57"/>
  <c r="K57"/>
  <c r="H58"/>
  <c r="K58"/>
  <c r="H59"/>
  <c r="K59"/>
  <c r="H60"/>
  <c r="K60"/>
  <c r="H61"/>
  <c r="K61"/>
  <c r="H62"/>
  <c r="K62"/>
  <c r="H63"/>
  <c r="K63"/>
  <c r="H64"/>
  <c r="K64"/>
  <c r="H65"/>
  <c r="K65"/>
  <c r="H66"/>
  <c r="K66"/>
  <c r="H67"/>
  <c r="K67"/>
  <c r="H68"/>
  <c r="K68"/>
  <c r="H69"/>
  <c r="K69"/>
  <c r="H70"/>
  <c r="K70"/>
  <c r="H71"/>
  <c r="K71"/>
  <c r="H72"/>
  <c r="K72"/>
  <c r="H73"/>
  <c r="K73"/>
  <c r="H74"/>
  <c r="K74"/>
  <c r="K34"/>
  <c r="H34"/>
  <c r="H35" i="270"/>
  <c r="K35"/>
  <c r="H36"/>
  <c r="K36"/>
  <c r="H37"/>
  <c r="K37"/>
  <c r="H38"/>
  <c r="K38"/>
  <c r="H39"/>
  <c r="K39"/>
  <c r="K34"/>
  <c r="H34"/>
  <c r="H34" i="253"/>
  <c r="K34"/>
  <c r="H35"/>
  <c r="K35"/>
  <c r="H36"/>
  <c r="K36"/>
  <c r="H37"/>
  <c r="K37"/>
  <c r="K33"/>
  <c r="H33"/>
  <c r="H43" i="266"/>
  <c r="K43"/>
  <c r="H35"/>
  <c r="K35"/>
  <c r="H36"/>
  <c r="K36"/>
  <c r="H37"/>
  <c r="K37"/>
  <c r="H38"/>
  <c r="K38"/>
  <c r="H39"/>
  <c r="K39"/>
  <c r="H40"/>
  <c r="K40"/>
  <c r="H41"/>
  <c r="K41"/>
  <c r="H42"/>
  <c r="K42"/>
  <c r="K34"/>
  <c r="H34"/>
  <c r="H35" i="255"/>
  <c r="K35"/>
  <c r="H36"/>
  <c r="K36"/>
  <c r="H37"/>
  <c r="K37"/>
  <c r="H38"/>
  <c r="K38"/>
  <c r="H39"/>
  <c r="K39"/>
  <c r="H40"/>
  <c r="K40"/>
  <c r="H41"/>
  <c r="K41"/>
  <c r="H42"/>
  <c r="K42"/>
  <c r="H43"/>
  <c r="K43"/>
  <c r="H44"/>
  <c r="K44"/>
  <c r="H45"/>
  <c r="K45"/>
  <c r="H46"/>
  <c r="K46"/>
  <c r="H47"/>
  <c r="K47"/>
  <c r="H48"/>
  <c r="K48"/>
  <c r="H49"/>
  <c r="K49"/>
  <c r="H50"/>
  <c r="K50"/>
  <c r="H51"/>
  <c r="K51"/>
  <c r="H52"/>
  <c r="K52"/>
  <c r="H53"/>
  <c r="K53"/>
  <c r="H54"/>
  <c r="K54"/>
  <c r="H55"/>
  <c r="K55"/>
  <c r="H56"/>
  <c r="K56"/>
  <c r="H57"/>
  <c r="K57"/>
  <c r="H58"/>
  <c r="K58"/>
  <c r="H59"/>
  <c r="K59"/>
  <c r="H60"/>
  <c r="K60"/>
  <c r="H61"/>
  <c r="K61"/>
  <c r="K34"/>
  <c r="H34"/>
  <c r="H35" i="251"/>
  <c r="K35"/>
  <c r="H36"/>
  <c r="K36"/>
  <c r="H37"/>
  <c r="K37"/>
  <c r="H38"/>
  <c r="K38"/>
  <c r="H39"/>
  <c r="K39"/>
  <c r="H40"/>
  <c r="K40"/>
  <c r="H41"/>
  <c r="K41"/>
  <c r="H42"/>
  <c r="K42"/>
  <c r="H43"/>
  <c r="K43"/>
  <c r="H44"/>
  <c r="K44"/>
  <c r="H45"/>
  <c r="K45"/>
  <c r="H46"/>
  <c r="K46"/>
  <c r="K34"/>
  <c r="H34"/>
  <c r="H41" i="249"/>
  <c r="K41"/>
  <c r="H35"/>
  <c r="K35"/>
  <c r="H36"/>
  <c r="K36"/>
  <c r="H37"/>
  <c r="K37"/>
  <c r="H38"/>
  <c r="K38"/>
  <c r="H39"/>
  <c r="K39"/>
  <c r="H40"/>
  <c r="K40"/>
  <c r="K34"/>
  <c r="H34"/>
  <c r="C23" i="722" a="1"/>
  <c r="C23" i="723" a="1"/>
  <c r="S9" i="712"/>
  <c r="T11"/>
  <c r="R10"/>
  <c r="R7"/>
  <c r="S7"/>
  <c r="T8"/>
  <c r="R5"/>
  <c r="T5"/>
  <c r="R11"/>
  <c r="R6"/>
  <c r="R8"/>
  <c r="T6"/>
  <c r="T9"/>
  <c r="T4"/>
  <c r="S10"/>
  <c r="S8"/>
  <c r="S4"/>
  <c r="C28" i="272"/>
  <c r="R4" i="712"/>
  <c r="S6"/>
  <c r="T7"/>
  <c r="R9"/>
  <c r="S5"/>
  <c r="T10"/>
  <c r="C29" i="272"/>
  <c r="S11" i="712"/>
  <c r="C25" i="723" l="1"/>
  <c r="C26"/>
  <c r="C23"/>
  <c r="T23"/>
  <c r="P23"/>
  <c r="L23"/>
  <c r="H23"/>
  <c r="R23"/>
  <c r="N23"/>
  <c r="J23"/>
  <c r="F23"/>
  <c r="C23" i="722"/>
  <c r="T23"/>
  <c r="P23"/>
  <c r="L23"/>
  <c r="H23"/>
  <c r="R23"/>
  <c r="N23"/>
  <c r="J23"/>
  <c r="F23"/>
  <c r="C26"/>
  <c r="C25"/>
  <c r="L35" i="272"/>
  <c r="L36"/>
  <c r="L37"/>
  <c r="L38"/>
  <c r="L39"/>
  <c r="L40"/>
  <c r="L41"/>
  <c r="L42"/>
  <c r="L43"/>
  <c r="L44"/>
  <c r="L45"/>
  <c r="L46"/>
  <c r="L47"/>
  <c r="L48"/>
  <c r="L49"/>
  <c r="L50"/>
  <c r="L51"/>
  <c r="L52"/>
  <c r="L53"/>
  <c r="L54"/>
  <c r="L55"/>
  <c r="L56"/>
  <c r="L57"/>
  <c r="L58"/>
  <c r="L59"/>
  <c r="L60"/>
  <c r="L61"/>
  <c r="L62"/>
  <c r="L63"/>
  <c r="L64"/>
  <c r="L65"/>
  <c r="L66"/>
  <c r="L67"/>
  <c r="L68"/>
  <c r="L69"/>
  <c r="L70"/>
  <c r="L71"/>
  <c r="L72"/>
  <c r="L73"/>
  <c r="L74"/>
  <c r="I74"/>
  <c r="I73"/>
  <c r="I72"/>
  <c r="I71"/>
  <c r="I70"/>
  <c r="I69"/>
  <c r="I68"/>
  <c r="I67"/>
  <c r="I66"/>
  <c r="I65"/>
  <c r="I64"/>
  <c r="I63"/>
  <c r="I62"/>
  <c r="I61"/>
  <c r="I60"/>
  <c r="I59"/>
  <c r="I58"/>
  <c r="I57"/>
  <c r="I56"/>
  <c r="I55"/>
  <c r="I54"/>
  <c r="I53"/>
  <c r="I52"/>
  <c r="I51"/>
  <c r="I50"/>
  <c r="I49"/>
  <c r="I48"/>
  <c r="I47"/>
  <c r="I46"/>
  <c r="I45"/>
  <c r="I44"/>
  <c r="I43"/>
  <c r="I42"/>
  <c r="I41"/>
  <c r="I40"/>
  <c r="I39"/>
  <c r="I38"/>
  <c r="I37"/>
  <c r="I36"/>
  <c r="I35"/>
  <c r="I34"/>
  <c r="L34"/>
  <c r="C27"/>
  <c r="C29" i="270"/>
  <c r="C28"/>
  <c r="I38" l="1"/>
  <c r="I36"/>
  <c r="I35"/>
  <c r="I39"/>
  <c r="I37"/>
  <c r="L35"/>
  <c r="L36"/>
  <c r="L37"/>
  <c r="L38"/>
  <c r="L39"/>
  <c r="I34"/>
  <c r="L34"/>
  <c r="C27"/>
  <c r="C29" i="253"/>
  <c r="C28"/>
  <c r="I36" l="1"/>
  <c r="I34"/>
  <c r="I37"/>
  <c r="I35"/>
  <c r="L34"/>
  <c r="L35"/>
  <c r="L36"/>
  <c r="L37"/>
  <c r="I33"/>
  <c r="L33"/>
  <c r="C27"/>
  <c r="C29" i="266"/>
  <c r="C28"/>
  <c r="I43" l="1"/>
  <c r="L43"/>
  <c r="I41"/>
  <c r="I37"/>
  <c r="I42"/>
  <c r="I40"/>
  <c r="I38"/>
  <c r="I36"/>
  <c r="I39"/>
  <c r="I35"/>
  <c r="L35"/>
  <c r="L36"/>
  <c r="L37"/>
  <c r="L38"/>
  <c r="L39"/>
  <c r="L40"/>
  <c r="L41"/>
  <c r="L42"/>
  <c r="I34"/>
  <c r="L34"/>
  <c r="C27"/>
  <c r="C28" i="255"/>
  <c r="C29"/>
  <c r="I47" l="1"/>
  <c r="I48"/>
  <c r="I49"/>
  <c r="I50"/>
  <c r="I57"/>
  <c r="I58"/>
  <c r="I59"/>
  <c r="I55"/>
  <c r="I53"/>
  <c r="I51"/>
  <c r="I45"/>
  <c r="I43"/>
  <c r="I41"/>
  <c r="I39"/>
  <c r="I37"/>
  <c r="I35"/>
  <c r="I60"/>
  <c r="I56"/>
  <c r="I54"/>
  <c r="I52"/>
  <c r="I46"/>
  <c r="I44"/>
  <c r="I42"/>
  <c r="I40"/>
  <c r="I38"/>
  <c r="I36"/>
  <c r="I61"/>
  <c r="L35"/>
  <c r="L36"/>
  <c r="L37"/>
  <c r="L38"/>
  <c r="L39"/>
  <c r="L40"/>
  <c r="L41"/>
  <c r="L42"/>
  <c r="L43"/>
  <c r="L44"/>
  <c r="L45"/>
  <c r="L46"/>
  <c r="L50"/>
  <c r="L51"/>
  <c r="L52"/>
  <c r="L53"/>
  <c r="L54"/>
  <c r="L55"/>
  <c r="L56"/>
  <c r="L57"/>
  <c r="L59"/>
  <c r="L60"/>
  <c r="L61"/>
  <c r="L58"/>
  <c r="L48"/>
  <c r="L49"/>
  <c r="L47"/>
  <c r="I34"/>
  <c r="L34"/>
  <c r="C27"/>
  <c r="C29" i="251"/>
  <c r="C28"/>
  <c r="I45" l="1"/>
  <c r="I42"/>
  <c r="I40"/>
  <c r="I38"/>
  <c r="I35"/>
  <c r="I37"/>
  <c r="I46"/>
  <c r="I43"/>
  <c r="I41"/>
  <c r="I39"/>
  <c r="I36"/>
  <c r="I44"/>
  <c r="L35"/>
  <c r="L36"/>
  <c r="L37"/>
  <c r="L38"/>
  <c r="L39"/>
  <c r="L40"/>
  <c r="L41"/>
  <c r="L42"/>
  <c r="L43"/>
  <c r="L44"/>
  <c r="L45"/>
  <c r="L46"/>
  <c r="I34"/>
  <c r="L34"/>
  <c r="C27"/>
  <c r="C28" i="249"/>
  <c r="C29"/>
  <c r="I41" l="1"/>
  <c r="L41"/>
  <c r="I38"/>
  <c r="I35"/>
  <c r="I36"/>
  <c r="I40"/>
  <c r="I37"/>
  <c r="I39"/>
  <c r="L35"/>
  <c r="L36"/>
  <c r="L37"/>
  <c r="L38"/>
  <c r="L39"/>
  <c r="L40"/>
  <c r="I34"/>
  <c r="L34"/>
  <c r="C27"/>
  <c r="K35" i="269" l="1"/>
  <c r="K36"/>
  <c r="K37"/>
  <c r="K38"/>
  <c r="K39"/>
  <c r="K40"/>
  <c r="K41"/>
  <c r="K42"/>
  <c r="K43"/>
  <c r="K44"/>
  <c r="K45"/>
  <c r="K46"/>
  <c r="K47"/>
  <c r="K48"/>
  <c r="K49"/>
  <c r="K50"/>
  <c r="K51"/>
  <c r="K52"/>
  <c r="K53"/>
  <c r="K54"/>
  <c r="K55"/>
  <c r="K56"/>
  <c r="K57"/>
  <c r="K58"/>
  <c r="K59"/>
  <c r="K60"/>
  <c r="K61"/>
  <c r="K62"/>
  <c r="K63"/>
  <c r="K64"/>
  <c r="K65"/>
  <c r="K66"/>
  <c r="K67"/>
  <c r="K68"/>
  <c r="K69"/>
  <c r="K34"/>
  <c r="H69"/>
  <c r="H35"/>
  <c r="H36"/>
  <c r="H37"/>
  <c r="H38"/>
  <c r="H39"/>
  <c r="H40"/>
  <c r="H41"/>
  <c r="H42"/>
  <c r="H43"/>
  <c r="H44"/>
  <c r="H45"/>
  <c r="H46"/>
  <c r="H47"/>
  <c r="H48"/>
  <c r="H49"/>
  <c r="H50"/>
  <c r="H51"/>
  <c r="H52"/>
  <c r="H53"/>
  <c r="H54"/>
  <c r="H55"/>
  <c r="H56"/>
  <c r="H57"/>
  <c r="H58"/>
  <c r="H59"/>
  <c r="H60"/>
  <c r="H61"/>
  <c r="H62"/>
  <c r="H63"/>
  <c r="H64"/>
  <c r="H65"/>
  <c r="H66"/>
  <c r="H67"/>
  <c r="H68"/>
  <c r="H34"/>
  <c r="C28"/>
  <c r="C29"/>
  <c r="L36" l="1"/>
  <c r="L38"/>
  <c r="L40"/>
  <c r="L42"/>
  <c r="L44"/>
  <c r="L46"/>
  <c r="L48"/>
  <c r="L50"/>
  <c r="L52"/>
  <c r="L54"/>
  <c r="L56"/>
  <c r="L58"/>
  <c r="L60"/>
  <c r="L62"/>
  <c r="L64"/>
  <c r="L66"/>
  <c r="L68"/>
  <c r="L35"/>
  <c r="L37"/>
  <c r="L39"/>
  <c r="L41"/>
  <c r="L43"/>
  <c r="L45"/>
  <c r="L47"/>
  <c r="L49"/>
  <c r="L51"/>
  <c r="L53"/>
  <c r="L55"/>
  <c r="L57"/>
  <c r="L59"/>
  <c r="L61"/>
  <c r="L63"/>
  <c r="L65"/>
  <c r="L67"/>
  <c r="L69"/>
  <c r="L34"/>
  <c r="I69"/>
  <c r="I61"/>
  <c r="I63"/>
  <c r="I65"/>
  <c r="I67"/>
  <c r="I36"/>
  <c r="I38"/>
  <c r="I40"/>
  <c r="I42"/>
  <c r="I44"/>
  <c r="I46"/>
  <c r="I48"/>
  <c r="I50"/>
  <c r="I52"/>
  <c r="I54"/>
  <c r="I56"/>
  <c r="I58"/>
  <c r="I57"/>
  <c r="I53"/>
  <c r="I49"/>
  <c r="I47"/>
  <c r="I43"/>
  <c r="I41"/>
  <c r="I39"/>
  <c r="I37"/>
  <c r="I35"/>
  <c r="I59"/>
  <c r="I55"/>
  <c r="I51"/>
  <c r="I45"/>
  <c r="I68"/>
  <c r="I66"/>
  <c r="I64"/>
  <c r="I62"/>
  <c r="I60"/>
  <c r="I34"/>
  <c r="E38" i="721" l="1"/>
  <c r="E39"/>
  <c r="E40"/>
  <c r="E41"/>
  <c r="E42"/>
  <c r="E43"/>
  <c r="E44"/>
  <c r="E45"/>
  <c r="E46"/>
  <c r="E47"/>
  <c r="E48"/>
  <c r="E49"/>
  <c r="E50"/>
  <c r="E51"/>
  <c r="E52"/>
  <c r="E53"/>
  <c r="E54"/>
  <c r="E55"/>
  <c r="E56"/>
  <c r="E57"/>
  <c r="E58"/>
  <c r="E59"/>
  <c r="E60"/>
  <c r="E61"/>
  <c r="E62"/>
  <c r="E63"/>
  <c r="E64"/>
  <c r="E65"/>
  <c r="E66"/>
  <c r="E67"/>
  <c r="E68"/>
  <c r="E69"/>
  <c r="D32"/>
  <c r="D33"/>
  <c r="D34"/>
  <c r="D31"/>
  <c r="D37" s="1"/>
  <c r="F21" i="720"/>
  <c r="F20"/>
  <c r="F19"/>
  <c r="F18"/>
  <c r="F17"/>
  <c r="F16"/>
  <c r="K42"/>
  <c r="I42"/>
  <c r="C25" i="718"/>
  <c r="D25"/>
  <c r="E25"/>
  <c r="F25"/>
  <c r="M25" s="1"/>
  <c r="G25"/>
  <c r="H25"/>
  <c r="I25"/>
  <c r="J25"/>
  <c r="B25"/>
  <c r="N37"/>
  <c r="M37"/>
  <c r="L37"/>
  <c r="N36"/>
  <c r="M36"/>
  <c r="L36"/>
  <c r="N34"/>
  <c r="M34"/>
  <c r="L34"/>
  <c r="N32"/>
  <c r="M32"/>
  <c r="L32"/>
  <c r="N31"/>
  <c r="M31"/>
  <c r="L31"/>
  <c r="N30"/>
  <c r="M30"/>
  <c r="L30"/>
  <c r="N29"/>
  <c r="M29"/>
  <c r="L29"/>
  <c r="N28"/>
  <c r="M28"/>
  <c r="L28"/>
  <c r="N27"/>
  <c r="M27"/>
  <c r="L27"/>
  <c r="N26"/>
  <c r="M26"/>
  <c r="L26"/>
  <c r="N25"/>
  <c r="L25"/>
  <c r="N24"/>
  <c r="C42" i="720" s="1"/>
  <c r="M24" i="718"/>
  <c r="B42" i="720" s="1"/>
  <c r="L24" i="718"/>
  <c r="A42" i="720" s="1"/>
  <c r="L8" i="718"/>
  <c r="M8"/>
  <c r="N8"/>
  <c r="L9"/>
  <c r="M9"/>
  <c r="N9"/>
  <c r="L10"/>
  <c r="M10"/>
  <c r="N10"/>
  <c r="L11"/>
  <c r="M11"/>
  <c r="N11"/>
  <c r="L12"/>
  <c r="M12"/>
  <c r="N12"/>
  <c r="L13"/>
  <c r="M13"/>
  <c r="N13"/>
  <c r="L14"/>
  <c r="M14"/>
  <c r="N14"/>
  <c r="L15"/>
  <c r="M15"/>
  <c r="N15"/>
  <c r="L16"/>
  <c r="M16"/>
  <c r="N16"/>
  <c r="L17"/>
  <c r="M17"/>
  <c r="N17"/>
  <c r="L18"/>
  <c r="M18"/>
  <c r="N18"/>
  <c r="L19"/>
  <c r="M19"/>
  <c r="N19"/>
  <c r="M7"/>
  <c r="N7"/>
  <c r="L7"/>
  <c r="K13" i="714"/>
  <c r="C13"/>
  <c r="C12" i="247"/>
  <c r="C12" i="539"/>
  <c r="R8" i="713" a="1"/>
  <c r="R8" s="1"/>
  <c r="M8" a="1"/>
  <c r="M8" s="1"/>
  <c r="H8" a="1"/>
  <c r="H8" s="1"/>
  <c r="C8" a="1"/>
  <c r="C8" s="1"/>
  <c r="R7" a="1"/>
  <c r="R7" s="1"/>
  <c r="M7" a="1"/>
  <c r="M7" s="1"/>
  <c r="H7" a="1"/>
  <c r="H7" s="1"/>
  <c r="C7" a="1"/>
  <c r="C7" s="1"/>
  <c r="R6" a="1"/>
  <c r="R6" s="1"/>
  <c r="M6" a="1"/>
  <c r="M6" s="1"/>
  <c r="H6" a="1"/>
  <c r="H6" s="1"/>
  <c r="C6" a="1"/>
  <c r="C6" s="1"/>
  <c r="I11" i="709"/>
  <c r="I12"/>
  <c r="I13"/>
  <c r="I14"/>
  <c r="I15"/>
  <c r="I16"/>
  <c r="I17"/>
  <c r="I18"/>
  <c r="I19"/>
  <c r="I20"/>
  <c r="I21"/>
  <c r="I22"/>
  <c r="I23"/>
  <c r="I24"/>
  <c r="I25"/>
  <c r="I26"/>
  <c r="I27"/>
  <c r="I28"/>
  <c r="I29"/>
  <c r="I30"/>
  <c r="B8"/>
  <c r="G11"/>
  <c r="G12"/>
  <c r="G13"/>
  <c r="G14"/>
  <c r="G15"/>
  <c r="G16"/>
  <c r="G17"/>
  <c r="G18"/>
  <c r="G19"/>
  <c r="G20"/>
  <c r="G21"/>
  <c r="G22"/>
  <c r="G23"/>
  <c r="G24"/>
  <c r="G25"/>
  <c r="G26"/>
  <c r="G27"/>
  <c r="G28"/>
  <c r="G29"/>
  <c r="G30"/>
  <c r="B7"/>
  <c r="E11"/>
  <c r="E12"/>
  <c r="E13"/>
  <c r="E14"/>
  <c r="E15"/>
  <c r="E16"/>
  <c r="E17"/>
  <c r="E18"/>
  <c r="E19"/>
  <c r="E20"/>
  <c r="E21"/>
  <c r="E22"/>
  <c r="E23"/>
  <c r="E24"/>
  <c r="E25"/>
  <c r="E26"/>
  <c r="E27"/>
  <c r="E28"/>
  <c r="E29"/>
  <c r="E30"/>
  <c r="B6"/>
  <c r="C11"/>
  <c r="C12"/>
  <c r="C13"/>
  <c r="C14"/>
  <c r="C15"/>
  <c r="C16"/>
  <c r="C17"/>
  <c r="C18"/>
  <c r="C19"/>
  <c r="C20"/>
  <c r="C21"/>
  <c r="C22"/>
  <c r="C23"/>
  <c r="C24"/>
  <c r="C25"/>
  <c r="C26"/>
  <c r="C27"/>
  <c r="C28"/>
  <c r="C29"/>
  <c r="C30"/>
  <c r="B5"/>
  <c r="B4"/>
  <c r="C11" i="539"/>
  <c r="C10"/>
  <c r="C9"/>
  <c r="C8"/>
  <c r="C7"/>
  <c r="C6"/>
  <c r="I11" i="538"/>
  <c r="I12"/>
  <c r="I13"/>
  <c r="I14"/>
  <c r="I15"/>
  <c r="I16"/>
  <c r="I17"/>
  <c r="I18"/>
  <c r="I19"/>
  <c r="I20"/>
  <c r="I21"/>
  <c r="I22"/>
  <c r="I23"/>
  <c r="I24"/>
  <c r="I25"/>
  <c r="I26"/>
  <c r="I27"/>
  <c r="I28"/>
  <c r="I29"/>
  <c r="I30"/>
  <c r="I31"/>
  <c r="I32"/>
  <c r="I33"/>
  <c r="I34"/>
  <c r="I35"/>
  <c r="I36"/>
  <c r="I37"/>
  <c r="I38"/>
  <c r="I39"/>
  <c r="I40"/>
  <c r="I41"/>
  <c r="I42"/>
  <c r="I43"/>
  <c r="B8"/>
  <c r="G11"/>
  <c r="G12"/>
  <c r="G13"/>
  <c r="G14"/>
  <c r="G15"/>
  <c r="G16"/>
  <c r="G17"/>
  <c r="G18"/>
  <c r="G19"/>
  <c r="G20"/>
  <c r="G21"/>
  <c r="G22"/>
  <c r="G23"/>
  <c r="G24"/>
  <c r="G25"/>
  <c r="G26"/>
  <c r="G27"/>
  <c r="G28"/>
  <c r="G29"/>
  <c r="G30"/>
  <c r="G31"/>
  <c r="G32"/>
  <c r="G33"/>
  <c r="G34"/>
  <c r="G35"/>
  <c r="G36"/>
  <c r="G37"/>
  <c r="G38"/>
  <c r="G39"/>
  <c r="G40"/>
  <c r="G41"/>
  <c r="G42"/>
  <c r="G43"/>
  <c r="B7"/>
  <c r="E11"/>
  <c r="E12"/>
  <c r="E13"/>
  <c r="E14"/>
  <c r="E15"/>
  <c r="E16"/>
  <c r="E17"/>
  <c r="E18"/>
  <c r="E19"/>
  <c r="E20"/>
  <c r="E21"/>
  <c r="E22"/>
  <c r="E23"/>
  <c r="E24"/>
  <c r="E25"/>
  <c r="E26"/>
  <c r="E27"/>
  <c r="E28"/>
  <c r="E29"/>
  <c r="E30"/>
  <c r="E31"/>
  <c r="E32"/>
  <c r="E33"/>
  <c r="E34"/>
  <c r="E35"/>
  <c r="E36"/>
  <c r="E37"/>
  <c r="E38"/>
  <c r="E39"/>
  <c r="E40"/>
  <c r="E41"/>
  <c r="E42"/>
  <c r="E43"/>
  <c r="B6"/>
  <c r="C11"/>
  <c r="C12"/>
  <c r="C13"/>
  <c r="C14"/>
  <c r="C15"/>
  <c r="C16"/>
  <c r="C17"/>
  <c r="C18"/>
  <c r="C19"/>
  <c r="C20"/>
  <c r="C21"/>
  <c r="C22"/>
  <c r="C23"/>
  <c r="C24"/>
  <c r="C25"/>
  <c r="C26"/>
  <c r="C27"/>
  <c r="C28"/>
  <c r="C29"/>
  <c r="C30"/>
  <c r="C31"/>
  <c r="C32"/>
  <c r="C33"/>
  <c r="C34"/>
  <c r="C35"/>
  <c r="C36"/>
  <c r="C37"/>
  <c r="C38"/>
  <c r="C39"/>
  <c r="C40"/>
  <c r="C41"/>
  <c r="C42"/>
  <c r="C43"/>
  <c r="B5"/>
  <c r="B4"/>
  <c r="E38" i="240"/>
  <c r="C27" i="269"/>
  <c r="E37" i="240" s="1"/>
  <c r="E41"/>
  <c r="E35"/>
  <c r="E44"/>
  <c r="E33"/>
  <c r="E39"/>
  <c r="E43"/>
  <c r="G34" i="272"/>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34" i="270"/>
  <c r="G35"/>
  <c r="G36"/>
  <c r="G37"/>
  <c r="G38"/>
  <c r="G39"/>
  <c r="Y4" i="539"/>
  <c r="N2"/>
  <c r="N4" i="722"/>
  <c r="S1"/>
  <c r="Q2"/>
  <c r="R2" i="723"/>
  <c r="T2" i="722"/>
  <c r="M1" i="723"/>
  <c r="N28" i="722"/>
  <c r="L3" i="539"/>
  <c r="AE2"/>
  <c r="AA3"/>
  <c r="I2" i="722"/>
  <c r="H3"/>
  <c r="Z3" i="539"/>
  <c r="U2" i="723"/>
  <c r="P2" i="539"/>
  <c r="W28" i="723"/>
  <c r="AG4" i="539"/>
  <c r="I3" i="723"/>
  <c r="H2" i="722"/>
  <c r="AC3" i="539"/>
  <c r="J3"/>
  <c r="Q4"/>
  <c r="N28" i="723"/>
  <c r="U3" i="722"/>
  <c r="O1" i="539"/>
  <c r="AC2"/>
  <c r="M3" i="722"/>
  <c r="P1" i="539"/>
  <c r="I29" i="723"/>
  <c r="F4" i="722"/>
  <c r="K3"/>
  <c r="AA1" i="539"/>
  <c r="AE3"/>
  <c r="K3"/>
  <c r="M4" i="722"/>
  <c r="U2"/>
  <c r="O2" i="539"/>
  <c r="R3"/>
  <c r="Q29" i="723"/>
  <c r="L1" i="722"/>
  <c r="V3"/>
  <c r="O29"/>
  <c r="R3" i="723"/>
  <c r="Q2"/>
  <c r="F4" i="539"/>
  <c r="R4"/>
  <c r="W4" i="723"/>
  <c r="G1"/>
  <c r="AC1" i="539"/>
  <c r="G3"/>
  <c r="F2" i="723"/>
  <c r="L2"/>
  <c r="H3"/>
  <c r="H1"/>
  <c r="T4"/>
  <c r="K1" i="539"/>
  <c r="H4" i="722"/>
  <c r="L2" i="539"/>
  <c r="C26" i="272"/>
  <c r="W28" i="722"/>
  <c r="N4" i="539"/>
  <c r="I4" i="722"/>
  <c r="T4" i="539"/>
  <c r="R28" i="723"/>
  <c r="J1" i="539"/>
  <c r="N4" i="723"/>
  <c r="M2"/>
  <c r="M2" i="722"/>
  <c r="U2" i="539"/>
  <c r="U4" i="723"/>
  <c r="U29" i="722"/>
  <c r="M29" i="723"/>
  <c r="R2" i="722"/>
  <c r="W4"/>
  <c r="G2" i="723"/>
  <c r="X2" i="539"/>
  <c r="P1" i="722"/>
  <c r="V2"/>
  <c r="I2" i="723"/>
  <c r="U1" i="722"/>
  <c r="J28"/>
  <c r="O4" i="723"/>
  <c r="P28"/>
  <c r="N1" i="539"/>
  <c r="F28" i="722"/>
  <c r="AG3" i="539"/>
  <c r="F3" i="723"/>
  <c r="Q4" i="722"/>
  <c r="R2" i="539"/>
  <c r="S29" i="723"/>
  <c r="W1" i="722"/>
  <c r="M29"/>
  <c r="Q1" i="723"/>
  <c r="M1" i="539"/>
  <c r="V28" i="723"/>
  <c r="F2" i="539"/>
  <c r="AI1"/>
  <c r="Q3" i="722"/>
  <c r="I3" i="539"/>
  <c r="AH4"/>
  <c r="V1" i="723"/>
  <c r="S3" i="539"/>
  <c r="X3"/>
  <c r="T28" i="723"/>
  <c r="T3" i="722"/>
  <c r="F4" i="723"/>
  <c r="H1" i="539"/>
  <c r="J4" i="722"/>
  <c r="J4" i="539"/>
  <c r="AD2"/>
  <c r="AB3"/>
  <c r="AD1"/>
  <c r="T3"/>
  <c r="H28" i="722"/>
  <c r="R1" i="539"/>
  <c r="AG1"/>
  <c r="X4"/>
  <c r="G4" i="722"/>
  <c r="O3" i="723"/>
  <c r="O4" i="539"/>
  <c r="K1" i="722"/>
  <c r="H3" i="539"/>
  <c r="W3"/>
  <c r="Z1"/>
  <c r="G29" i="723"/>
  <c r="R4"/>
  <c r="S1"/>
  <c r="N3" i="722"/>
  <c r="K1" i="723"/>
  <c r="O4" i="722"/>
  <c r="J28" i="723"/>
  <c r="AI4" i="539"/>
  <c r="AF2"/>
  <c r="Z2"/>
  <c r="P28" i="722"/>
  <c r="J2" i="723"/>
  <c r="H2"/>
  <c r="Y3" i="539"/>
  <c r="R4" i="722"/>
  <c r="U1" i="539"/>
  <c r="G4" i="723"/>
  <c r="S29" i="722"/>
  <c r="O2"/>
  <c r="N1" i="723"/>
  <c r="M3" i="539"/>
  <c r="W2"/>
  <c r="L4" i="723"/>
  <c r="I3" i="722"/>
  <c r="J4" i="723"/>
  <c r="K29" i="722"/>
  <c r="G2" i="539"/>
  <c r="AD4"/>
  <c r="U29" i="723"/>
  <c r="G1" i="722"/>
  <c r="K29" i="723"/>
  <c r="W3" i="722"/>
  <c r="L4"/>
  <c r="R1" i="723"/>
  <c r="V28" i="722"/>
  <c r="M1"/>
  <c r="S3"/>
  <c r="W1" i="723"/>
  <c r="AG2" i="539"/>
  <c r="P3" i="723"/>
  <c r="V4" i="722"/>
  <c r="N2" i="723"/>
  <c r="W3"/>
  <c r="Q4"/>
  <c r="L1"/>
  <c r="AC4" i="539"/>
  <c r="AI2"/>
  <c r="L4"/>
  <c r="P3"/>
  <c r="S3" i="723"/>
  <c r="O1" i="722"/>
  <c r="W2" i="723"/>
  <c r="T3"/>
  <c r="K4" i="539"/>
  <c r="N2" i="722"/>
  <c r="H4" i="539"/>
  <c r="T1" i="723"/>
  <c r="J3" i="722"/>
  <c r="AI3" i="539"/>
  <c r="K2"/>
  <c r="H28" i="723"/>
  <c r="M3"/>
  <c r="S1" i="539"/>
  <c r="P2" i="723"/>
  <c r="P3" i="722"/>
  <c r="Q1"/>
  <c r="W2"/>
  <c r="H4" i="723"/>
  <c r="M4"/>
  <c r="F2" i="722"/>
  <c r="R3"/>
  <c r="AH2" i="539"/>
  <c r="N3"/>
  <c r="M4"/>
  <c r="AE4"/>
  <c r="G3" i="723"/>
  <c r="I2" i="539"/>
  <c r="AH1"/>
  <c r="Q3"/>
  <c r="G1"/>
  <c r="AB4"/>
  <c r="H1" i="722"/>
  <c r="F3"/>
  <c r="F1"/>
  <c r="V3" i="539"/>
  <c r="L28" i="723"/>
  <c r="Q1" i="539"/>
  <c r="AF1"/>
  <c r="AA2"/>
  <c r="J1" i="723"/>
  <c r="AB1" i="539"/>
  <c r="N1" i="722"/>
  <c r="AF3" i="539"/>
  <c r="X1"/>
  <c r="W4"/>
  <c r="J2" i="722"/>
  <c r="AD3" i="539"/>
  <c r="V2" i="723"/>
  <c r="U4" i="539"/>
  <c r="P4" i="722"/>
  <c r="G2"/>
  <c r="F3" i="539"/>
  <c r="F28" i="723"/>
  <c r="U3" i="539"/>
  <c r="T2" i="723"/>
  <c r="G3" i="722"/>
  <c r="AA4" i="539"/>
  <c r="AH3"/>
  <c r="P4"/>
  <c r="K3" i="723"/>
  <c r="S4"/>
  <c r="K4"/>
  <c r="I1" i="539"/>
  <c r="O2" i="723"/>
  <c r="Q29" i="722"/>
  <c r="T1" i="539"/>
  <c r="V1"/>
  <c r="AE1"/>
  <c r="L1"/>
  <c r="H2"/>
  <c r="L2" i="722"/>
  <c r="S4"/>
  <c r="I1" i="723"/>
  <c r="T2" i="539"/>
  <c r="V2"/>
  <c r="S2" i="723"/>
  <c r="J2" i="539"/>
  <c r="P2" i="722"/>
  <c r="I4" i="539"/>
  <c r="W1"/>
  <c r="V4"/>
  <c r="G29" i="722"/>
  <c r="K4"/>
  <c r="L3" i="723"/>
  <c r="U1"/>
  <c r="R1" i="722"/>
  <c r="S4" i="539"/>
  <c r="V1" i="722"/>
  <c r="O3"/>
  <c r="C26" i="270"/>
  <c r="I29" i="722"/>
  <c r="U4"/>
  <c r="J1"/>
  <c r="F1" i="539"/>
  <c r="K2" i="723"/>
  <c r="O3" i="539"/>
  <c r="K2" i="722"/>
  <c r="O1" i="723"/>
  <c r="AB2" i="539"/>
  <c r="AF4"/>
  <c r="L28" i="722"/>
  <c r="I4" i="723"/>
  <c r="Y2" i="539"/>
  <c r="Z4"/>
  <c r="Q2"/>
  <c r="T1" i="722"/>
  <c r="Y1" i="539"/>
  <c r="S2"/>
  <c r="P1" i="723"/>
  <c r="V4"/>
  <c r="G4" i="539"/>
  <c r="N3" i="723"/>
  <c r="V3"/>
  <c r="Q3"/>
  <c r="P4"/>
  <c r="L3" i="722"/>
  <c r="F1" i="723"/>
  <c r="O29"/>
  <c r="T4" i="722"/>
  <c r="U3" i="723"/>
  <c r="M2" i="539"/>
  <c r="S2" i="722"/>
  <c r="T28"/>
  <c r="R28"/>
  <c r="J3" i="723"/>
  <c r="I1" i="722"/>
  <c r="C32" i="721" l="1"/>
  <c r="E32" s="1"/>
  <c r="F32" s="1"/>
  <c r="L17" i="720"/>
  <c r="C36" i="721"/>
  <c r="E36" s="1"/>
  <c r="F36" s="1"/>
  <c r="L21" i="720"/>
  <c r="C35" i="721"/>
  <c r="E35" s="1"/>
  <c r="F35" s="1"/>
  <c r="L20" i="720"/>
  <c r="C31" i="721"/>
  <c r="E31" s="1"/>
  <c r="F31" s="1"/>
  <c r="L16" i="720"/>
  <c r="C34" i="721"/>
  <c r="E34" s="1"/>
  <c r="F34" s="1"/>
  <c r="L19" i="720"/>
  <c r="C33" i="721"/>
  <c r="E33" s="1"/>
  <c r="F33" s="1"/>
  <c r="L18" i="720"/>
  <c r="AR22" i="247" a="1"/>
  <c r="AR22" s="1"/>
  <c r="AR21" a="1"/>
  <c r="AR21" s="1"/>
  <c r="AR20" a="1"/>
  <c r="AR20" s="1"/>
  <c r="AR19" a="1"/>
  <c r="AR19" s="1"/>
  <c r="AR18" a="1"/>
  <c r="AR18" s="1"/>
  <c r="AR17" a="1"/>
  <c r="AR17" s="1"/>
  <c r="AR16" a="1"/>
  <c r="AR16" s="1"/>
  <c r="AR26" a="1"/>
  <c r="AR26" s="1"/>
  <c r="AR25" a="1"/>
  <c r="AR25" s="1"/>
  <c r="AN22" a="1"/>
  <c r="AN22" s="1"/>
  <c r="AN21" a="1"/>
  <c r="AN21" s="1"/>
  <c r="AN20" a="1"/>
  <c r="AN20" s="1"/>
  <c r="AN19" a="1"/>
  <c r="AN19" s="1"/>
  <c r="AN18" a="1"/>
  <c r="AN18" s="1"/>
  <c r="AN17" a="1"/>
  <c r="AN17" s="1"/>
  <c r="AN16" a="1"/>
  <c r="AN16" s="1"/>
  <c r="AN26" a="1"/>
  <c r="AN26" s="1"/>
  <c r="AN25" a="1"/>
  <c r="AN25" s="1"/>
  <c r="AJ22" a="1"/>
  <c r="AJ22" s="1"/>
  <c r="AJ21" a="1"/>
  <c r="AJ21" s="1"/>
  <c r="AJ20" a="1"/>
  <c r="AJ20" s="1"/>
  <c r="AJ19" a="1"/>
  <c r="AJ19" s="1"/>
  <c r="AJ18" a="1"/>
  <c r="AJ18" s="1"/>
  <c r="AJ17" a="1"/>
  <c r="AJ17" s="1"/>
  <c r="AJ16" a="1"/>
  <c r="AJ16" s="1"/>
  <c r="AJ26" a="1"/>
  <c r="AJ26" s="1"/>
  <c r="AJ25" a="1"/>
  <c r="AJ25" s="1"/>
  <c r="AF22" a="1"/>
  <c r="AF22" s="1"/>
  <c r="AF21" a="1"/>
  <c r="AF21" s="1"/>
  <c r="AF20" a="1"/>
  <c r="AF20" s="1"/>
  <c r="AF19" a="1"/>
  <c r="AF19" s="1"/>
  <c r="AF18" a="1"/>
  <c r="AF18" s="1"/>
  <c r="AF17" a="1"/>
  <c r="AF17" s="1"/>
  <c r="AF16" a="1"/>
  <c r="AF16" s="1"/>
  <c r="AF26" a="1"/>
  <c r="AF26" s="1"/>
  <c r="AF25" a="1"/>
  <c r="AF25" s="1"/>
  <c r="AB22" a="1"/>
  <c r="AB22" s="1"/>
  <c r="AB21" a="1"/>
  <c r="AB21" s="1"/>
  <c r="AB20" a="1"/>
  <c r="AB20" s="1"/>
  <c r="AB19" a="1"/>
  <c r="AB19" s="1"/>
  <c r="AB18" a="1"/>
  <c r="AB18" s="1"/>
  <c r="AB17" a="1"/>
  <c r="AB17" s="1"/>
  <c r="AB16" a="1"/>
  <c r="AB16" s="1"/>
  <c r="AB26" a="1"/>
  <c r="AB26" s="1"/>
  <c r="AB25" a="1"/>
  <c r="AB25" s="1"/>
  <c r="X22" a="1"/>
  <c r="X22" s="1"/>
  <c r="X21" a="1"/>
  <c r="X21" s="1"/>
  <c r="X20" a="1"/>
  <c r="X20" s="1"/>
  <c r="X19" a="1"/>
  <c r="X19" s="1"/>
  <c r="X18" a="1"/>
  <c r="X18" s="1"/>
  <c r="X17" a="1"/>
  <c r="X17" s="1"/>
  <c r="X16" a="1"/>
  <c r="X16" s="1"/>
  <c r="X26" a="1"/>
  <c r="X26" s="1"/>
  <c r="X25" a="1"/>
  <c r="X25" s="1"/>
  <c r="T22" a="1"/>
  <c r="T22" s="1"/>
  <c r="T21" a="1"/>
  <c r="T21" s="1"/>
  <c r="T20" a="1"/>
  <c r="T20" s="1"/>
  <c r="T19" a="1"/>
  <c r="T19" s="1"/>
  <c r="T18" a="1"/>
  <c r="T18" s="1"/>
  <c r="T17" a="1"/>
  <c r="T17" s="1"/>
  <c r="T16" a="1"/>
  <c r="T16" s="1"/>
  <c r="T26" a="1"/>
  <c r="T26" s="1"/>
  <c r="T25" a="1"/>
  <c r="T25" s="1"/>
  <c r="P22" a="1"/>
  <c r="P22" s="1"/>
  <c r="P21" a="1"/>
  <c r="P21" s="1"/>
  <c r="P20" a="1"/>
  <c r="P20" s="1"/>
  <c r="P19" a="1"/>
  <c r="P19" s="1"/>
  <c r="P18" a="1"/>
  <c r="P18" s="1"/>
  <c r="P17" a="1"/>
  <c r="P17" s="1"/>
  <c r="P16" a="1"/>
  <c r="P16" s="1"/>
  <c r="P26" a="1"/>
  <c r="P26" s="1"/>
  <c r="P25" a="1"/>
  <c r="P25" s="1"/>
  <c r="L22" a="1"/>
  <c r="L22" s="1"/>
  <c r="L21" a="1"/>
  <c r="L21" s="1"/>
  <c r="L20" a="1"/>
  <c r="L20" s="1"/>
  <c r="L19" a="1"/>
  <c r="L19" s="1"/>
  <c r="L18" a="1"/>
  <c r="L18" s="1"/>
  <c r="L17" a="1"/>
  <c r="L17" s="1"/>
  <c r="L16" a="1"/>
  <c r="L16" s="1"/>
  <c r="L26" a="1"/>
  <c r="L26" s="1"/>
  <c r="L25" a="1"/>
  <c r="L25" s="1"/>
  <c r="H22" a="1"/>
  <c r="H22" s="1"/>
  <c r="H21" a="1"/>
  <c r="H21" s="1"/>
  <c r="H20" a="1"/>
  <c r="H20" s="1"/>
  <c r="H19" a="1"/>
  <c r="H19" s="1"/>
  <c r="H18" a="1"/>
  <c r="H18" s="1"/>
  <c r="H17" a="1"/>
  <c r="H17" s="1"/>
  <c r="H16" a="1"/>
  <c r="H16" s="1"/>
  <c r="H26" a="1"/>
  <c r="H26" s="1"/>
  <c r="H25" a="1"/>
  <c r="H25" s="1"/>
  <c r="AP22" a="1"/>
  <c r="AP22" s="1"/>
  <c r="AP21" a="1"/>
  <c r="AP21" s="1"/>
  <c r="AP20" a="1"/>
  <c r="AP20" s="1"/>
  <c r="AP19" a="1"/>
  <c r="AP19" s="1"/>
  <c r="AP18" a="1"/>
  <c r="AP18" s="1"/>
  <c r="AP17" a="1"/>
  <c r="AP17" s="1"/>
  <c r="AP16" a="1"/>
  <c r="AP16" s="1"/>
  <c r="AP26" a="1"/>
  <c r="AP26" s="1"/>
  <c r="AP25" a="1"/>
  <c r="AP25" s="1"/>
  <c r="AL22" a="1"/>
  <c r="AL22" s="1"/>
  <c r="AL21" a="1"/>
  <c r="AL21" s="1"/>
  <c r="AL20" a="1"/>
  <c r="AL20" s="1"/>
  <c r="AL19" a="1"/>
  <c r="AL19" s="1"/>
  <c r="AL18" a="1"/>
  <c r="AL18" s="1"/>
  <c r="AL17" a="1"/>
  <c r="AL17" s="1"/>
  <c r="AL16" a="1"/>
  <c r="AL16" s="1"/>
  <c r="AL26" a="1"/>
  <c r="AL26" s="1"/>
  <c r="AL25" a="1"/>
  <c r="AL25" s="1"/>
  <c r="AH22" a="1"/>
  <c r="AH22" s="1"/>
  <c r="AH21" a="1"/>
  <c r="AH21" s="1"/>
  <c r="AH20" a="1"/>
  <c r="AH20" s="1"/>
  <c r="AH19" a="1"/>
  <c r="AH19" s="1"/>
  <c r="AH18" a="1"/>
  <c r="AH18" s="1"/>
  <c r="AH17" a="1"/>
  <c r="AH17" s="1"/>
  <c r="AH16" a="1"/>
  <c r="AH16" s="1"/>
  <c r="AH26" a="1"/>
  <c r="AH26" s="1"/>
  <c r="AH25" a="1"/>
  <c r="AH25" s="1"/>
  <c r="AD22" a="1"/>
  <c r="AD22" s="1"/>
  <c r="AD21" a="1"/>
  <c r="AD21" s="1"/>
  <c r="AD20" a="1"/>
  <c r="AD20" s="1"/>
  <c r="AD19" a="1"/>
  <c r="AD19" s="1"/>
  <c r="AD18" a="1"/>
  <c r="AD18" s="1"/>
  <c r="AD17" a="1"/>
  <c r="AD17" s="1"/>
  <c r="AD16" a="1"/>
  <c r="AD16" s="1"/>
  <c r="AD26" a="1"/>
  <c r="AD26" s="1"/>
  <c r="AD25" a="1"/>
  <c r="AD25" s="1"/>
  <c r="Z22" a="1"/>
  <c r="Z22" s="1"/>
  <c r="Z21" a="1"/>
  <c r="Z21" s="1"/>
  <c r="Z20" a="1"/>
  <c r="Z20" s="1"/>
  <c r="Z19" a="1"/>
  <c r="Z19" s="1"/>
  <c r="Z18" a="1"/>
  <c r="Z18" s="1"/>
  <c r="Z17" a="1"/>
  <c r="Z17" s="1"/>
  <c r="Z16" a="1"/>
  <c r="Z16" s="1"/>
  <c r="Z26" a="1"/>
  <c r="Z26" s="1"/>
  <c r="Z25" a="1"/>
  <c r="Z25" s="1"/>
  <c r="V22" a="1"/>
  <c r="V22" s="1"/>
  <c r="V21" a="1"/>
  <c r="V21" s="1"/>
  <c r="V20" a="1"/>
  <c r="V20" s="1"/>
  <c r="V19" a="1"/>
  <c r="V19" s="1"/>
  <c r="V18" a="1"/>
  <c r="V18" s="1"/>
  <c r="V17" a="1"/>
  <c r="V17" s="1"/>
  <c r="V16" a="1"/>
  <c r="V16" s="1"/>
  <c r="V26" a="1"/>
  <c r="V26" s="1"/>
  <c r="V25" a="1"/>
  <c r="V25" s="1"/>
  <c r="R22" a="1"/>
  <c r="R22" s="1"/>
  <c r="R21" a="1"/>
  <c r="R21" s="1"/>
  <c r="R20" a="1"/>
  <c r="R20" s="1"/>
  <c r="R19" a="1"/>
  <c r="R19" s="1"/>
  <c r="R18" a="1"/>
  <c r="R18" s="1"/>
  <c r="R17" a="1"/>
  <c r="R17" s="1"/>
  <c r="R16" a="1"/>
  <c r="R16" s="1"/>
  <c r="R26" a="1"/>
  <c r="R26" s="1"/>
  <c r="R25" a="1"/>
  <c r="R25" s="1"/>
  <c r="N22" a="1"/>
  <c r="N22" s="1"/>
  <c r="N21" a="1"/>
  <c r="N21" s="1"/>
  <c r="N20" a="1"/>
  <c r="N20" s="1"/>
  <c r="N19" a="1"/>
  <c r="N19" s="1"/>
  <c r="N18" a="1"/>
  <c r="N18" s="1"/>
  <c r="N17" a="1"/>
  <c r="N17" s="1"/>
  <c r="N16" a="1"/>
  <c r="N16" s="1"/>
  <c r="N26" a="1"/>
  <c r="N26" s="1"/>
  <c r="N25" a="1"/>
  <c r="N25" s="1"/>
  <c r="J22" a="1"/>
  <c r="J22" s="1"/>
  <c r="J21" a="1"/>
  <c r="J21" s="1"/>
  <c r="J20" a="1"/>
  <c r="J20" s="1"/>
  <c r="J19" a="1"/>
  <c r="J19" s="1"/>
  <c r="J18" a="1"/>
  <c r="J18" s="1"/>
  <c r="J17" a="1"/>
  <c r="J17" s="1"/>
  <c r="J16" a="1"/>
  <c r="J16" s="1"/>
  <c r="J26" a="1"/>
  <c r="J26" s="1"/>
  <c r="J25" a="1"/>
  <c r="J25" s="1"/>
  <c r="F22" a="1"/>
  <c r="F22" s="1"/>
  <c r="F21" a="1"/>
  <c r="F21" s="1"/>
  <c r="F20" a="1"/>
  <c r="F20" s="1"/>
  <c r="F19" a="1"/>
  <c r="F19" s="1"/>
  <c r="F18" a="1"/>
  <c r="F18" s="1"/>
  <c r="F17" a="1"/>
  <c r="F17" s="1"/>
  <c r="F16" a="1"/>
  <c r="F16" s="1"/>
  <c r="F26" a="1"/>
  <c r="F26" s="1"/>
  <c r="F25" a="1"/>
  <c r="F25" s="1"/>
  <c r="A17" i="539"/>
  <c r="C17" s="1"/>
  <c r="A18"/>
  <c r="C18" s="1"/>
  <c r="AD22" a="1"/>
  <c r="AD22" s="1"/>
  <c r="AD21" a="1"/>
  <c r="AD21" s="1"/>
  <c r="AD20" a="1"/>
  <c r="AD20" s="1"/>
  <c r="AD19" a="1"/>
  <c r="AD19" s="1"/>
  <c r="AD18" a="1"/>
  <c r="AD18" s="1"/>
  <c r="AD17" a="1"/>
  <c r="AD17" s="1"/>
  <c r="AD16" a="1"/>
  <c r="AD16" s="1"/>
  <c r="AD26" a="1"/>
  <c r="AD26" s="1"/>
  <c r="AD25" a="1"/>
  <c r="AD25" s="1"/>
  <c r="Z22" a="1"/>
  <c r="Z22" s="1"/>
  <c r="Z21" a="1"/>
  <c r="Z21" s="1"/>
  <c r="Z20" a="1"/>
  <c r="Z20" s="1"/>
  <c r="Z19" a="1"/>
  <c r="Z19" s="1"/>
  <c r="Z18" a="1"/>
  <c r="Z18" s="1"/>
  <c r="Z17" a="1"/>
  <c r="Z17" s="1"/>
  <c r="Z16" a="1"/>
  <c r="Z16" s="1"/>
  <c r="Z26" a="1"/>
  <c r="Z26" s="1"/>
  <c r="Z25" a="1"/>
  <c r="Z25" s="1"/>
  <c r="V22" a="1"/>
  <c r="V22" s="1"/>
  <c r="V21" a="1"/>
  <c r="V21" s="1"/>
  <c r="V20" a="1"/>
  <c r="V20" s="1"/>
  <c r="V19" a="1"/>
  <c r="V19" s="1"/>
  <c r="V18" a="1"/>
  <c r="V18" s="1"/>
  <c r="V17" a="1"/>
  <c r="V17" s="1"/>
  <c r="V16" a="1"/>
  <c r="V16" s="1"/>
  <c r="V26" a="1"/>
  <c r="V26" s="1"/>
  <c r="V25" a="1"/>
  <c r="V25" s="1"/>
  <c r="R22" a="1"/>
  <c r="R22" s="1"/>
  <c r="R21" a="1"/>
  <c r="R21" s="1"/>
  <c r="R20" a="1"/>
  <c r="R20" s="1"/>
  <c r="R19" a="1"/>
  <c r="R19" s="1"/>
  <c r="R18" a="1"/>
  <c r="R18" s="1"/>
  <c r="R17" a="1"/>
  <c r="R17" s="1"/>
  <c r="R16" a="1"/>
  <c r="R16" s="1"/>
  <c r="R26" a="1"/>
  <c r="R26" s="1"/>
  <c r="R25" a="1"/>
  <c r="R25" s="1"/>
  <c r="N22" a="1"/>
  <c r="N22" s="1"/>
  <c r="N21" a="1"/>
  <c r="N21" s="1"/>
  <c r="N20" a="1"/>
  <c r="N20" s="1"/>
  <c r="N19" a="1"/>
  <c r="N19" s="1"/>
  <c r="N18" a="1"/>
  <c r="N18" s="1"/>
  <c r="N17" a="1"/>
  <c r="N17" s="1"/>
  <c r="N16" a="1"/>
  <c r="N16" s="1"/>
  <c r="N26" a="1"/>
  <c r="N26" s="1"/>
  <c r="N25" a="1"/>
  <c r="N25" s="1"/>
  <c r="J22" a="1"/>
  <c r="J22" s="1"/>
  <c r="J21" a="1"/>
  <c r="J21" s="1"/>
  <c r="J20" a="1"/>
  <c r="J20" s="1"/>
  <c r="J19" a="1"/>
  <c r="J19" s="1"/>
  <c r="J18" a="1"/>
  <c r="J18" s="1"/>
  <c r="J17" a="1"/>
  <c r="J17" s="1"/>
  <c r="J16" a="1"/>
  <c r="J16" s="1"/>
  <c r="J26" a="1"/>
  <c r="J26" s="1"/>
  <c r="J25" a="1"/>
  <c r="J25" s="1"/>
  <c r="F22" a="1"/>
  <c r="F22" s="1"/>
  <c r="F21" a="1"/>
  <c r="F21" s="1"/>
  <c r="F20" a="1"/>
  <c r="F20" s="1"/>
  <c r="F19" a="1"/>
  <c r="F19" s="1"/>
  <c r="F18" a="1"/>
  <c r="F18" s="1"/>
  <c r="F17" a="1"/>
  <c r="F17" s="1"/>
  <c r="F16" a="1"/>
  <c r="F16" s="1"/>
  <c r="F26" a="1"/>
  <c r="F26" s="1"/>
  <c r="F25" a="1"/>
  <c r="F25" s="1"/>
  <c r="AF22" a="1"/>
  <c r="AF22" s="1"/>
  <c r="AF21" a="1"/>
  <c r="AF21" s="1"/>
  <c r="AF20" a="1"/>
  <c r="AF20" s="1"/>
  <c r="AF19" a="1"/>
  <c r="AF19" s="1"/>
  <c r="AF18" a="1"/>
  <c r="AF18" s="1"/>
  <c r="AF17" a="1"/>
  <c r="AF17" s="1"/>
  <c r="AF16" a="1"/>
  <c r="AF16" s="1"/>
  <c r="AF26" a="1"/>
  <c r="AF26" s="1"/>
  <c r="AF25" a="1"/>
  <c r="AF25" s="1"/>
  <c r="AB22" a="1"/>
  <c r="AB22" s="1"/>
  <c r="AB21" a="1"/>
  <c r="AB21" s="1"/>
  <c r="AB20" a="1"/>
  <c r="AB20" s="1"/>
  <c r="AB19" a="1"/>
  <c r="AB19" s="1"/>
  <c r="AB18" a="1"/>
  <c r="AB18" s="1"/>
  <c r="AB17" a="1"/>
  <c r="AB17" s="1"/>
  <c r="AB16" a="1"/>
  <c r="AB16" s="1"/>
  <c r="AB26" a="1"/>
  <c r="AB26" s="1"/>
  <c r="AB25" a="1"/>
  <c r="AB25" s="1"/>
  <c r="X22" a="1"/>
  <c r="X22" s="1"/>
  <c r="X21" a="1"/>
  <c r="X21" s="1"/>
  <c r="X20" a="1"/>
  <c r="X20" s="1"/>
  <c r="X19" a="1"/>
  <c r="X19" s="1"/>
  <c r="X18" a="1"/>
  <c r="X18" s="1"/>
  <c r="X17" a="1"/>
  <c r="X17" s="1"/>
  <c r="X16" a="1"/>
  <c r="X16" s="1"/>
  <c r="X26" a="1"/>
  <c r="X26" s="1"/>
  <c r="X25" a="1"/>
  <c r="X25" s="1"/>
  <c r="T22" a="1"/>
  <c r="T22" s="1"/>
  <c r="T21" a="1"/>
  <c r="T21" s="1"/>
  <c r="T20" a="1"/>
  <c r="T20" s="1"/>
  <c r="T19" a="1"/>
  <c r="T19" s="1"/>
  <c r="T18" a="1"/>
  <c r="T18" s="1"/>
  <c r="T17" a="1"/>
  <c r="T17" s="1"/>
  <c r="T16" a="1"/>
  <c r="T16" s="1"/>
  <c r="T26" a="1"/>
  <c r="T26" s="1"/>
  <c r="T25" a="1"/>
  <c r="T25" s="1"/>
  <c r="P22" a="1"/>
  <c r="P22" s="1"/>
  <c r="P21" a="1"/>
  <c r="P21" s="1"/>
  <c r="P20" a="1"/>
  <c r="P20" s="1"/>
  <c r="P19" a="1"/>
  <c r="P19" s="1"/>
  <c r="P18" a="1"/>
  <c r="P18" s="1"/>
  <c r="P17" a="1"/>
  <c r="P17" s="1"/>
  <c r="P16" a="1"/>
  <c r="P16" s="1"/>
  <c r="P26" a="1"/>
  <c r="P26" s="1"/>
  <c r="P25" a="1"/>
  <c r="P25" s="1"/>
  <c r="L22" a="1"/>
  <c r="L22" s="1"/>
  <c r="L21" a="1"/>
  <c r="L21" s="1"/>
  <c r="L20" a="1"/>
  <c r="L20" s="1"/>
  <c r="L19" a="1"/>
  <c r="L19" s="1"/>
  <c r="L18" a="1"/>
  <c r="L18" s="1"/>
  <c r="L17" a="1"/>
  <c r="L17" s="1"/>
  <c r="L16" a="1"/>
  <c r="L16" s="1"/>
  <c r="L26" a="1"/>
  <c r="L26" s="1"/>
  <c r="L25" a="1"/>
  <c r="L25" s="1"/>
  <c r="H22" a="1"/>
  <c r="H22" s="1"/>
  <c r="H21" a="1"/>
  <c r="H21" s="1"/>
  <c r="H20" a="1"/>
  <c r="H20" s="1"/>
  <c r="H19" a="1"/>
  <c r="H19" s="1"/>
  <c r="H18" a="1"/>
  <c r="H18" s="1"/>
  <c r="H17" a="1"/>
  <c r="H17" s="1"/>
  <c r="H16" a="1"/>
  <c r="H16" s="1"/>
  <c r="H26" a="1"/>
  <c r="H26" s="1"/>
  <c r="H25" a="1"/>
  <c r="H25" s="1"/>
  <c r="A17" i="723"/>
  <c r="C17" s="1"/>
  <c r="A17" i="722"/>
  <c r="C17" s="1"/>
  <c r="A18" i="723"/>
  <c r="C18" s="1"/>
  <c r="A18" i="722"/>
  <c r="C18" s="1"/>
  <c r="M73" i="272"/>
  <c r="J73"/>
  <c r="J71"/>
  <c r="M71"/>
  <c r="M69"/>
  <c r="J69"/>
  <c r="J67"/>
  <c r="M67"/>
  <c r="M65"/>
  <c r="J65"/>
  <c r="J63"/>
  <c r="M63"/>
  <c r="M61"/>
  <c r="J61"/>
  <c r="M74"/>
  <c r="J74"/>
  <c r="J72"/>
  <c r="M72"/>
  <c r="M70"/>
  <c r="J70"/>
  <c r="J68"/>
  <c r="M68"/>
  <c r="M66"/>
  <c r="J66"/>
  <c r="J64"/>
  <c r="M64"/>
  <c r="M62"/>
  <c r="J62"/>
  <c r="M38" i="270"/>
  <c r="J38"/>
  <c r="J36"/>
  <c r="M36"/>
  <c r="M34"/>
  <c r="J34"/>
  <c r="M59" i="272"/>
  <c r="J59"/>
  <c r="M57"/>
  <c r="J57"/>
  <c r="M55"/>
  <c r="J55"/>
  <c r="M53"/>
  <c r="J53"/>
  <c r="M51"/>
  <c r="J51"/>
  <c r="M49"/>
  <c r="J49"/>
  <c r="M47"/>
  <c r="J47"/>
  <c r="M45"/>
  <c r="J45"/>
  <c r="M43"/>
  <c r="J43"/>
  <c r="M41"/>
  <c r="J41"/>
  <c r="M39"/>
  <c r="J39"/>
  <c r="M37"/>
  <c r="J37"/>
  <c r="M35"/>
  <c r="J35"/>
  <c r="M39" i="270"/>
  <c r="J39"/>
  <c r="J37"/>
  <c r="M37"/>
  <c r="M35"/>
  <c r="J35"/>
  <c r="J60" i="272"/>
  <c r="M60"/>
  <c r="J58"/>
  <c r="M58"/>
  <c r="J56"/>
  <c r="M56"/>
  <c r="J54"/>
  <c r="M54"/>
  <c r="J52"/>
  <c r="M52"/>
  <c r="J50"/>
  <c r="M50"/>
  <c r="J48"/>
  <c r="M48"/>
  <c r="J46"/>
  <c r="M46"/>
  <c r="J44"/>
  <c r="M44"/>
  <c r="J42"/>
  <c r="M42"/>
  <c r="J40"/>
  <c r="M40"/>
  <c r="J38"/>
  <c r="M38"/>
  <c r="J36"/>
  <c r="M36"/>
  <c r="M34"/>
  <c r="J34"/>
  <c r="E31" i="240"/>
  <c r="D39"/>
  <c r="D43"/>
  <c r="G34" i="269"/>
  <c r="G35"/>
  <c r="G36"/>
  <c r="G37"/>
  <c r="G38"/>
  <c r="G39"/>
  <c r="G40"/>
  <c r="G41"/>
  <c r="G42"/>
  <c r="G43"/>
  <c r="G44"/>
  <c r="G45"/>
  <c r="G46"/>
  <c r="G47"/>
  <c r="G48"/>
  <c r="G49"/>
  <c r="G50"/>
  <c r="G51"/>
  <c r="G52"/>
  <c r="G53"/>
  <c r="G54"/>
  <c r="G55"/>
  <c r="G56"/>
  <c r="G57"/>
  <c r="G58"/>
  <c r="G59"/>
  <c r="G60"/>
  <c r="G61"/>
  <c r="G62"/>
  <c r="G63"/>
  <c r="G64"/>
  <c r="G65"/>
  <c r="G66"/>
  <c r="G67"/>
  <c r="G68"/>
  <c r="G69"/>
  <c r="I29" i="539"/>
  <c r="J10" i="712"/>
  <c r="K16"/>
  <c r="J11"/>
  <c r="K17"/>
  <c r="C6"/>
  <c r="C4"/>
  <c r="J5"/>
  <c r="W29" i="539"/>
  <c r="M29"/>
  <c r="C25" i="270"/>
  <c r="V28" i="539"/>
  <c r="K10" i="712"/>
  <c r="AC29" i="539"/>
  <c r="K14" i="712"/>
  <c r="J9"/>
  <c r="K13"/>
  <c r="C17"/>
  <c r="C20"/>
  <c r="J7"/>
  <c r="AI28" i="539"/>
  <c r="J16" i="712"/>
  <c r="P28" i="539"/>
  <c r="H28"/>
  <c r="K11" i="712"/>
  <c r="C16"/>
  <c r="C11"/>
  <c r="U29" i="539"/>
  <c r="N28"/>
  <c r="J13" i="712"/>
  <c r="AG29" i="539"/>
  <c r="J28"/>
  <c r="Z28"/>
  <c r="K6" i="712"/>
  <c r="K7"/>
  <c r="S29" i="539"/>
  <c r="C5" i="712"/>
  <c r="T28" i="539"/>
  <c r="C22" i="712"/>
  <c r="J4"/>
  <c r="K4"/>
  <c r="O29" i="539"/>
  <c r="C12" i="712"/>
  <c r="J14"/>
  <c r="C14"/>
  <c r="C24" i="272"/>
  <c r="G29" i="539"/>
  <c r="J12" i="712"/>
  <c r="J8"/>
  <c r="AH28" i="539"/>
  <c r="C15" i="712"/>
  <c r="C13"/>
  <c r="C10"/>
  <c r="AA29" i="539"/>
  <c r="K5" i="712"/>
  <c r="AE29" i="539"/>
  <c r="K29"/>
  <c r="AB28"/>
  <c r="C23" i="712"/>
  <c r="C19"/>
  <c r="C21"/>
  <c r="C24" i="270"/>
  <c r="C18" i="712"/>
  <c r="C8"/>
  <c r="J15"/>
  <c r="Q29" i="539"/>
  <c r="Y29"/>
  <c r="K8" i="712"/>
  <c r="J6"/>
  <c r="R28" i="539"/>
  <c r="C26" i="269"/>
  <c r="J17" i="712"/>
  <c r="C9"/>
  <c r="X28" i="539"/>
  <c r="C25" i="272"/>
  <c r="F28" i="539"/>
  <c r="C7" i="712"/>
  <c r="K15"/>
  <c r="L28" i="539"/>
  <c r="K9" i="712"/>
  <c r="AD28" i="539"/>
  <c r="AF28"/>
  <c r="K12" i="712"/>
  <c r="F29" i="721" l="1"/>
  <c r="C26" i="247"/>
  <c r="C25"/>
  <c r="AP23"/>
  <c r="AL23"/>
  <c r="AH23"/>
  <c r="AD23"/>
  <c r="Z23"/>
  <c r="V23"/>
  <c r="R23"/>
  <c r="N23"/>
  <c r="J23"/>
  <c r="F23"/>
  <c r="AR23"/>
  <c r="AN23"/>
  <c r="AJ23"/>
  <c r="AF23"/>
  <c r="AB23"/>
  <c r="X23"/>
  <c r="T23"/>
  <c r="P23"/>
  <c r="L23"/>
  <c r="H23"/>
  <c r="AF23" i="539"/>
  <c r="AB23"/>
  <c r="X23"/>
  <c r="T23"/>
  <c r="P23"/>
  <c r="L23"/>
  <c r="H23"/>
  <c r="AD23"/>
  <c r="Z23"/>
  <c r="V23"/>
  <c r="R23"/>
  <c r="N23"/>
  <c r="J23"/>
  <c r="F23"/>
  <c r="C25"/>
  <c r="C26"/>
  <c r="C39" i="240"/>
  <c r="C43"/>
  <c r="J69" i="269"/>
  <c r="M69"/>
  <c r="J67"/>
  <c r="M67"/>
  <c r="J65"/>
  <c r="M65"/>
  <c r="J63"/>
  <c r="M63"/>
  <c r="J61"/>
  <c r="M61"/>
  <c r="J59"/>
  <c r="M59"/>
  <c r="J57"/>
  <c r="M57"/>
  <c r="J55"/>
  <c r="M55"/>
  <c r="J53"/>
  <c r="M53"/>
  <c r="J51"/>
  <c r="M51"/>
  <c r="J49"/>
  <c r="M49"/>
  <c r="J47"/>
  <c r="M47"/>
  <c r="J45"/>
  <c r="M45"/>
  <c r="J43"/>
  <c r="M43"/>
  <c r="J41"/>
  <c r="M41"/>
  <c r="J39"/>
  <c r="M39"/>
  <c r="J37"/>
  <c r="M37"/>
  <c r="J35"/>
  <c r="M35"/>
  <c r="J68"/>
  <c r="M68"/>
  <c r="J66"/>
  <c r="M66"/>
  <c r="J64"/>
  <c r="M64"/>
  <c r="J62"/>
  <c r="M62"/>
  <c r="J60"/>
  <c r="M60"/>
  <c r="J58"/>
  <c r="M58"/>
  <c r="J56"/>
  <c r="M56"/>
  <c r="J54"/>
  <c r="M54"/>
  <c r="J52"/>
  <c r="M52"/>
  <c r="J50"/>
  <c r="M50"/>
  <c r="J48"/>
  <c r="M48"/>
  <c r="J46"/>
  <c r="M46"/>
  <c r="J44"/>
  <c r="M44"/>
  <c r="J42"/>
  <c r="M42"/>
  <c r="J40"/>
  <c r="M40"/>
  <c r="J38"/>
  <c r="M38"/>
  <c r="J36"/>
  <c r="M36"/>
  <c r="J34"/>
  <c r="M34"/>
  <c r="D37" i="240"/>
  <c r="G34" i="266"/>
  <c r="G35"/>
  <c r="G36"/>
  <c r="G37"/>
  <c r="G38"/>
  <c r="G39"/>
  <c r="G40"/>
  <c r="G41"/>
  <c r="G42"/>
  <c r="G43"/>
  <c r="C26"/>
  <c r="C24" i="269"/>
  <c r="C25"/>
  <c r="B43" i="240" l="1"/>
  <c r="B39"/>
  <c r="C37"/>
  <c r="B37" s="1"/>
  <c r="M43" i="266"/>
  <c r="J43"/>
  <c r="M41"/>
  <c r="J41"/>
  <c r="J39"/>
  <c r="M39"/>
  <c r="M37"/>
  <c r="J37"/>
  <c r="J35"/>
  <c r="M35"/>
  <c r="M42"/>
  <c r="J42"/>
  <c r="J40"/>
  <c r="M40"/>
  <c r="M38"/>
  <c r="J38"/>
  <c r="M36"/>
  <c r="J36"/>
  <c r="M34"/>
  <c r="J34"/>
  <c r="D41" i="240"/>
  <c r="C25" i="266"/>
  <c r="C24"/>
  <c r="C41" i="240" l="1"/>
  <c r="B41" s="1"/>
  <c r="G34" i="255"/>
  <c r="G35"/>
  <c r="G36"/>
  <c r="G37"/>
  <c r="G38"/>
  <c r="G39"/>
  <c r="G40"/>
  <c r="G41"/>
  <c r="G42"/>
  <c r="G43"/>
  <c r="G44"/>
  <c r="G45"/>
  <c r="G46"/>
  <c r="G47"/>
  <c r="G48"/>
  <c r="G49"/>
  <c r="G50"/>
  <c r="G51"/>
  <c r="G52"/>
  <c r="G53"/>
  <c r="G54"/>
  <c r="G55"/>
  <c r="G56"/>
  <c r="G57"/>
  <c r="G58"/>
  <c r="G59"/>
  <c r="G60"/>
  <c r="G61"/>
  <c r="G33" i="253"/>
  <c r="G34"/>
  <c r="G35"/>
  <c r="G36"/>
  <c r="G37"/>
  <c r="C26"/>
  <c r="C26" i="255"/>
  <c r="J61" l="1"/>
  <c r="M61"/>
  <c r="M59"/>
  <c r="J59"/>
  <c r="M57"/>
  <c r="J57"/>
  <c r="M55"/>
  <c r="J55"/>
  <c r="M53"/>
  <c r="J53"/>
  <c r="J51"/>
  <c r="M51"/>
  <c r="M49"/>
  <c r="J49"/>
  <c r="J47"/>
  <c r="M47"/>
  <c r="J45"/>
  <c r="M45"/>
  <c r="M43"/>
  <c r="J43"/>
  <c r="J41"/>
  <c r="M41"/>
  <c r="M39"/>
  <c r="J39"/>
  <c r="J37"/>
  <c r="M37"/>
  <c r="J60"/>
  <c r="M60"/>
  <c r="M58"/>
  <c r="J58"/>
  <c r="M56"/>
  <c r="J56"/>
  <c r="M54"/>
  <c r="J54"/>
  <c r="J52"/>
  <c r="M52"/>
  <c r="M50"/>
  <c r="J50"/>
  <c r="M48"/>
  <c r="J48"/>
  <c r="M46"/>
  <c r="J46"/>
  <c r="M44"/>
  <c r="J44"/>
  <c r="M42"/>
  <c r="J42"/>
  <c r="J40"/>
  <c r="M40"/>
  <c r="M38"/>
  <c r="J38"/>
  <c r="J35" i="253"/>
  <c r="M35"/>
  <c r="J33"/>
  <c r="M33"/>
  <c r="M36" i="255"/>
  <c r="J36"/>
  <c r="M34"/>
  <c r="J34"/>
  <c r="M37" i="253"/>
  <c r="J37"/>
  <c r="J36"/>
  <c r="M36"/>
  <c r="M34"/>
  <c r="J34"/>
  <c r="M35" i="255"/>
  <c r="J35"/>
  <c r="D35" i="240"/>
  <c r="D44"/>
  <c r="G34" i="251"/>
  <c r="G35"/>
  <c r="G36"/>
  <c r="G37"/>
  <c r="G38"/>
  <c r="G39"/>
  <c r="G40"/>
  <c r="G41"/>
  <c r="G42"/>
  <c r="G43"/>
  <c r="G44"/>
  <c r="G45"/>
  <c r="G46"/>
  <c r="G34" i="249"/>
  <c r="G35"/>
  <c r="G36"/>
  <c r="G37"/>
  <c r="G38"/>
  <c r="G39"/>
  <c r="G40"/>
  <c r="G41"/>
  <c r="C11" i="247"/>
  <c r="C10"/>
  <c r="C9"/>
  <c r="C8"/>
  <c r="C7"/>
  <c r="C6"/>
  <c r="I11" i="245"/>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B8"/>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B7"/>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B6"/>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B5"/>
  <c r="B4"/>
  <c r="G7" i="10"/>
  <c r="G9"/>
  <c r="G11"/>
  <c r="G12"/>
  <c r="G13"/>
  <c r="G14"/>
  <c r="G15"/>
  <c r="G16"/>
  <c r="L1" i="247"/>
  <c r="V1"/>
  <c r="AB4"/>
  <c r="U2"/>
  <c r="X3"/>
  <c r="O4"/>
  <c r="AJ1"/>
  <c r="AA1"/>
  <c r="AO4"/>
  <c r="AL4"/>
  <c r="AS3"/>
  <c r="AN2"/>
  <c r="H1"/>
  <c r="AA3"/>
  <c r="H2"/>
  <c r="AJ4"/>
  <c r="AF2"/>
  <c r="J2"/>
  <c r="AC2"/>
  <c r="T3"/>
  <c r="AI3"/>
  <c r="AC1"/>
  <c r="AI2"/>
  <c r="AH2"/>
  <c r="J1"/>
  <c r="R1"/>
  <c r="C25" i="253"/>
  <c r="S4" i="247"/>
  <c r="AS4"/>
  <c r="X4"/>
  <c r="J3"/>
  <c r="AR3"/>
  <c r="W4"/>
  <c r="I2"/>
  <c r="AM1"/>
  <c r="M4"/>
  <c r="AR1"/>
  <c r="AI1"/>
  <c r="P4"/>
  <c r="AT2"/>
  <c r="AN4"/>
  <c r="V3"/>
  <c r="AK2"/>
  <c r="AF1"/>
  <c r="AE1"/>
  <c r="N3"/>
  <c r="AA2"/>
  <c r="AO3"/>
  <c r="AD3"/>
  <c r="AF3"/>
  <c r="U1"/>
  <c r="Z4"/>
  <c r="Q1"/>
  <c r="AP2"/>
  <c r="S1"/>
  <c r="C26" i="249"/>
  <c r="H4" i="247"/>
  <c r="AM3"/>
  <c r="AO1"/>
  <c r="AS2"/>
  <c r="Z1"/>
  <c r="AN1"/>
  <c r="AB2"/>
  <c r="AP1"/>
  <c r="AQ1"/>
  <c r="O2"/>
  <c r="AF4"/>
  <c r="C26" i="251"/>
  <c r="AJ3" i="247"/>
  <c r="V4"/>
  <c r="X2"/>
  <c r="AK4"/>
  <c r="N4"/>
  <c r="Y3"/>
  <c r="M2"/>
  <c r="AI4"/>
  <c r="Q3"/>
  <c r="AQ4"/>
  <c r="AD1"/>
  <c r="AL2"/>
  <c r="X1"/>
  <c r="W1"/>
  <c r="AH3"/>
  <c r="G3"/>
  <c r="AS1"/>
  <c r="AT1"/>
  <c r="I1"/>
  <c r="AQ2"/>
  <c r="O1"/>
  <c r="AB1"/>
  <c r="H3"/>
  <c r="N2"/>
  <c r="G4"/>
  <c r="Q2"/>
  <c r="K4"/>
  <c r="AE2"/>
  <c r="AC3"/>
  <c r="T4"/>
  <c r="AQ3"/>
  <c r="AP4"/>
  <c r="Y4"/>
  <c r="C24" i="255"/>
  <c r="R3" i="247"/>
  <c r="AK1"/>
  <c r="P3"/>
  <c r="U4"/>
  <c r="L4"/>
  <c r="AD4"/>
  <c r="AD2"/>
  <c r="AG2"/>
  <c r="AE3"/>
  <c r="C25" i="255"/>
  <c r="Q4" i="247"/>
  <c r="O3"/>
  <c r="U3"/>
  <c r="AL3"/>
  <c r="AL1"/>
  <c r="M1"/>
  <c r="AM4"/>
  <c r="Y2"/>
  <c r="AN3"/>
  <c r="AJ2"/>
  <c r="AR4"/>
  <c r="K2"/>
  <c r="AG3"/>
  <c r="I3"/>
  <c r="L3"/>
  <c r="AM2"/>
  <c r="P1"/>
  <c r="F3"/>
  <c r="F4"/>
  <c r="AR2"/>
  <c r="S2"/>
  <c r="C24" i="253"/>
  <c r="T2" i="247"/>
  <c r="AK3"/>
  <c r="AG1"/>
  <c r="F1"/>
  <c r="Z3"/>
  <c r="P2"/>
  <c r="G1"/>
  <c r="AA4"/>
  <c r="V2"/>
  <c r="R4"/>
  <c r="K1"/>
  <c r="L2"/>
  <c r="I4"/>
  <c r="AT3"/>
  <c r="AG4"/>
  <c r="M3"/>
  <c r="AE4"/>
  <c r="AO2"/>
  <c r="AT4"/>
  <c r="Z2"/>
  <c r="Y1"/>
  <c r="AB3"/>
  <c r="G2"/>
  <c r="S3"/>
  <c r="AH4"/>
  <c r="R2"/>
  <c r="K3"/>
  <c r="J4"/>
  <c r="AP3"/>
  <c r="AC4"/>
  <c r="F2"/>
  <c r="W2"/>
  <c r="AH1"/>
  <c r="T1"/>
  <c r="W3"/>
  <c r="N1"/>
  <c r="A18" l="1"/>
  <c r="C18" s="1"/>
  <c r="A17"/>
  <c r="C17" s="1"/>
  <c r="C35" i="240"/>
  <c r="B35" s="1"/>
  <c r="C44"/>
  <c r="B44" s="1"/>
  <c r="J41" i="249"/>
  <c r="M41"/>
  <c r="M39"/>
  <c r="J39"/>
  <c r="M37"/>
  <c r="J37"/>
  <c r="M35"/>
  <c r="J35"/>
  <c r="J46" i="251"/>
  <c r="M46"/>
  <c r="M44"/>
  <c r="J44"/>
  <c r="J42"/>
  <c r="M42"/>
  <c r="J40"/>
  <c r="M40"/>
  <c r="M38"/>
  <c r="J38"/>
  <c r="J36"/>
  <c r="M36"/>
  <c r="M34"/>
  <c r="J34"/>
  <c r="M40" i="249"/>
  <c r="J40"/>
  <c r="J38"/>
  <c r="M38"/>
  <c r="J36"/>
  <c r="M36"/>
  <c r="J34"/>
  <c r="M34"/>
  <c r="M45" i="251"/>
  <c r="J45"/>
  <c r="M43"/>
  <c r="J43"/>
  <c r="M41"/>
  <c r="J41"/>
  <c r="J39"/>
  <c r="M39"/>
  <c r="M37"/>
  <c r="J37"/>
  <c r="M35"/>
  <c r="J35"/>
  <c r="D33" i="240"/>
  <c r="D38"/>
  <c r="I29" i="247"/>
  <c r="R28"/>
  <c r="AJ28"/>
  <c r="B15" i="712"/>
  <c r="AN28" i="247"/>
  <c r="W29"/>
  <c r="AR28"/>
  <c r="B14" i="712"/>
  <c r="L28" i="247"/>
  <c r="V28"/>
  <c r="U29"/>
  <c r="Y29"/>
  <c r="B18" i="712"/>
  <c r="B8"/>
  <c r="C24" i="251"/>
  <c r="AO29" i="247"/>
  <c r="F28"/>
  <c r="B10" i="712"/>
  <c r="T28" i="247"/>
  <c r="AE29"/>
  <c r="J28"/>
  <c r="G29"/>
  <c r="B12" i="712"/>
  <c r="B4"/>
  <c r="O29" i="247"/>
  <c r="AB28"/>
  <c r="AM29"/>
  <c r="AC29"/>
  <c r="AP28"/>
  <c r="C25" i="251"/>
  <c r="B7" i="712"/>
  <c r="C24" i="249"/>
  <c r="C25"/>
  <c r="AG29" i="247"/>
  <c r="B19" i="712"/>
  <c r="AQ29" i="247"/>
  <c r="N28"/>
  <c r="H28"/>
  <c r="X28"/>
  <c r="B23" i="712"/>
  <c r="P28" i="247"/>
  <c r="AI29"/>
  <c r="Z28"/>
  <c r="AA29"/>
  <c r="S29"/>
  <c r="B9" i="712"/>
  <c r="B6"/>
  <c r="B21"/>
  <c r="B16"/>
  <c r="B17"/>
  <c r="B5"/>
  <c r="AS29" i="247"/>
  <c r="AD28"/>
  <c r="AT28"/>
  <c r="K29"/>
  <c r="B13" i="712"/>
  <c r="AL28" i="247"/>
  <c r="AF28"/>
  <c r="AH28"/>
  <c r="M29"/>
  <c r="B20" i="712"/>
  <c r="B11"/>
  <c r="Q29" i="247"/>
  <c r="B22" i="712"/>
  <c r="AK29" i="247"/>
  <c r="S7" i="713" l="1" a="1"/>
  <c r="S7" s="1"/>
  <c r="S8" a="1"/>
  <c r="S8" s="1"/>
  <c r="S6" a="1"/>
  <c r="S6" s="1"/>
  <c r="N7" a="1"/>
  <c r="N7" s="1"/>
  <c r="N6" a="1"/>
  <c r="N6" s="1"/>
  <c r="N8" a="1"/>
  <c r="N8" s="1"/>
  <c r="I6" a="1"/>
  <c r="I6" s="1"/>
  <c r="I7" a="1"/>
  <c r="I7" s="1"/>
  <c r="I8" a="1"/>
  <c r="I8" s="1"/>
  <c r="D6" a="1"/>
  <c r="D6" s="1"/>
  <c r="D7" a="1"/>
  <c r="D7" s="1"/>
  <c r="D8" a="1"/>
  <c r="D8" s="1"/>
  <c r="C33" i="240"/>
  <c r="B33" s="1"/>
  <c r="C38"/>
  <c r="D31"/>
  <c r="C23" i="247" a="1"/>
  <c r="C23" i="539" a="1"/>
  <c r="B38" i="240" l="1"/>
  <c r="C31"/>
  <c r="E6" i="713"/>
  <c r="J6"/>
  <c r="J8"/>
  <c r="O6"/>
  <c r="T6"/>
  <c r="C23" i="539"/>
  <c r="C23" i="247"/>
  <c r="B31" i="240" l="1"/>
  <c r="G13" i="720" s="1"/>
  <c r="F24"/>
  <c r="L24" s="1"/>
  <c r="F30"/>
  <c r="L30" s="1"/>
  <c r="F13"/>
  <c r="L13" s="1"/>
  <c r="F5"/>
  <c r="L5" s="1"/>
  <c r="T8" i="713"/>
  <c r="T7"/>
  <c r="O7"/>
  <c r="O8"/>
  <c r="J7"/>
  <c r="E7"/>
  <c r="E8"/>
  <c r="R4" a="1"/>
  <c r="R4" s="1"/>
  <c r="M4" a="1"/>
  <c r="M4" s="1"/>
  <c r="C4" a="1"/>
  <c r="C4" s="1"/>
  <c r="H4" a="1"/>
  <c r="H4" s="1"/>
  <c r="C5" i="272"/>
  <c r="C5" i="266"/>
  <c r="C5" i="255"/>
  <c r="C5" i="247"/>
  <c r="C5" i="249"/>
  <c r="C5" i="270"/>
  <c r="C5" i="539"/>
  <c r="C5" i="269"/>
  <c r="C5" i="253"/>
  <c r="C5" i="251"/>
  <c r="F23" i="720" l="1"/>
  <c r="L23" s="1"/>
  <c r="F26"/>
  <c r="L26" s="1"/>
  <c r="F29"/>
  <c r="F33"/>
  <c r="L33" s="1"/>
  <c r="F14"/>
  <c r="F9"/>
  <c r="L9" s="1"/>
  <c r="F7"/>
  <c r="L7" s="1"/>
  <c r="F4"/>
  <c r="L4" s="1"/>
  <c r="L29" l="1"/>
  <c r="F12"/>
  <c r="L14"/>
  <c r="F25"/>
  <c r="F32"/>
  <c r="L32" s="1"/>
  <c r="F8"/>
  <c r="L8" s="1"/>
  <c r="F6"/>
  <c r="L6" s="1"/>
  <c r="F28" l="1"/>
  <c r="L28" s="1"/>
  <c r="F10"/>
  <c r="L10" s="1"/>
  <c r="L12"/>
  <c r="F22"/>
  <c r="L22" s="1"/>
  <c r="L25"/>
  <c r="F3"/>
  <c r="L3" s="1"/>
</calcChain>
</file>

<file path=xl/comments1.xml><?xml version="1.0" encoding="utf-8"?>
<comments xmlns="http://schemas.openxmlformats.org/spreadsheetml/2006/main">
  <authors>
    <author>crhodes</author>
  </authors>
  <commentList>
    <comment ref="C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 ref="H4" authorId="0">
      <text>
        <r>
          <rPr>
            <b/>
            <sz val="8"/>
            <color indexed="81"/>
            <rFont val="Tahoma"/>
            <family val="2"/>
          </rPr>
          <t xml:space="preserve">crhodes:
</t>
        </r>
        <r>
          <rPr>
            <sz val="8"/>
            <color indexed="81"/>
            <rFont val="Tahoma"/>
            <family val="2"/>
          </rPr>
          <t xml:space="preserve">This should average (or in the future do a more sophisticated combining) of the results from the specific goals that comprise the KRA.  Where there is not data, the goal (KI) is not included.
</t>
        </r>
      </text>
    </comment>
    <comment ref="M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 ref="R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List>
</comments>
</file>

<file path=xl/comments2.xml><?xml version="1.0" encoding="utf-8"?>
<comments xmlns="http://schemas.openxmlformats.org/spreadsheetml/2006/main">
  <authors>
    <author>crhodes</author>
  </authors>
  <commentList>
    <comment ref="R4" authorId="0">
      <text>
        <r>
          <rPr>
            <b/>
            <sz val="8"/>
            <color indexed="81"/>
            <rFont val="Tahoma"/>
            <family val="2"/>
          </rPr>
          <t>crhodes:</t>
        </r>
        <r>
          <rPr>
            <sz val="8"/>
            <color indexed="81"/>
            <rFont val="Tahoma"/>
            <family val="2"/>
          </rPr>
          <t xml:space="preserve">
NB.  The numbers are for All IT when reported here.  Team specific numbers are available on Partner Survey Data worksheet if needed.  See the Row # used!</t>
        </r>
      </text>
    </comment>
    <comment ref="S4" authorId="0">
      <text>
        <r>
          <rPr>
            <b/>
            <sz val="8"/>
            <color indexed="81"/>
            <rFont val="Tahoma"/>
            <family val="2"/>
          </rPr>
          <t>crhodes:</t>
        </r>
        <r>
          <rPr>
            <sz val="8"/>
            <color indexed="81"/>
            <rFont val="Tahoma"/>
            <family val="2"/>
          </rPr>
          <t xml:space="preserve">
NB.  The numbers are for All IT when reported here.  Team specific numbers are available on Partner Survey Data worksheet if needed.  See the Row # used!</t>
        </r>
      </text>
    </comment>
    <comment ref="T4" authorId="0">
      <text>
        <r>
          <rPr>
            <b/>
            <sz val="8"/>
            <color indexed="81"/>
            <rFont val="Tahoma"/>
            <family val="2"/>
          </rPr>
          <t>crhodes:</t>
        </r>
        <r>
          <rPr>
            <sz val="8"/>
            <color indexed="81"/>
            <rFont val="Tahoma"/>
            <family val="2"/>
          </rPr>
          <t xml:space="preserve">
NB.  The numbers are for All IT when reported here.  Team specific numbers are available on Partner Survey Data worksheet if needed.  See the Row # used!</t>
        </r>
      </text>
    </comment>
  </commentList>
</comments>
</file>

<file path=xl/comments3.xml><?xml version="1.0" encoding="utf-8"?>
<comments xmlns="http://schemas.openxmlformats.org/spreadsheetml/2006/main">
  <authors>
    <author>crhodes</author>
  </authors>
  <commentList>
    <comment ref="A4" authorId="0">
      <text>
        <r>
          <rPr>
            <b/>
            <sz val="8"/>
            <color indexed="81"/>
            <rFont val="Tahoma"/>
            <family val="2"/>
          </rPr>
          <t>crhodes:</t>
        </r>
        <r>
          <rPr>
            <sz val="8"/>
            <color indexed="81"/>
            <rFont val="Tahoma"/>
            <family val="2"/>
          </rPr>
          <t xml:space="preserve">
Team Number and 
Team Name must match
numbers and names from
Scorecard Surveys.</t>
        </r>
      </text>
    </comment>
    <comment ref="B4" authorId="0">
      <text>
        <r>
          <rPr>
            <b/>
            <sz val="8"/>
            <color indexed="81"/>
            <rFont val="Tahoma"/>
            <family val="2"/>
          </rPr>
          <t>crhodes:</t>
        </r>
        <r>
          <rPr>
            <sz val="8"/>
            <color indexed="81"/>
            <rFont val="Tahoma"/>
            <family val="2"/>
          </rPr>
          <t xml:space="preserve">
Team Number and 
Team Name must match
numbers and names from
Scorecard Surveys.</t>
        </r>
      </text>
    </comment>
    <comment ref="C4" authorId="0">
      <text>
        <r>
          <rPr>
            <b/>
            <sz val="8"/>
            <color indexed="81"/>
            <rFont val="Tahoma"/>
            <family val="2"/>
          </rPr>
          <t>crhodes:</t>
        </r>
        <r>
          <rPr>
            <sz val="8"/>
            <color indexed="81"/>
            <rFont val="Tahoma"/>
            <family val="2"/>
          </rPr>
          <t xml:space="preserve">
Managers used as lookup
on other sheets.</t>
        </r>
      </text>
    </comment>
    <comment ref="D4" authorId="0">
      <text>
        <r>
          <rPr>
            <b/>
            <sz val="8"/>
            <color indexed="81"/>
            <rFont val="Tahoma"/>
            <family val="2"/>
          </rPr>
          <t>crhodes:</t>
        </r>
        <r>
          <rPr>
            <sz val="8"/>
            <color indexed="81"/>
            <rFont val="Tahoma"/>
            <family val="2"/>
          </rPr>
          <t xml:space="preserve">
Extension used as lookup
on other sheets
</t>
        </r>
      </text>
    </comment>
  </commentList>
</comments>
</file>

<file path=xl/connections.xml><?xml version="1.0" encoding="utf-8"?>
<connections xmlns="http://schemas.openxmlformats.org/spreadsheetml/2006/main">
  <connection id="1" name="Connection" type="1" refreshedVersion="3" background="1" saveData="1">
    <dbPr connection="DSN=MS Access Database;DBQ=M:\Technology Office\IT Balanced Scorecard\Surveys\V2 Surveys\It Survey 2006 2H.MDB;DefaultDir=M:\Technology Office\IT Balanced Scorecard\Surveys\V2 Surveys;DriverId=25;FIL=MS Access;MaxBufferSize=2048;PageTimeout=5;" command="SELECT * FROM Answers0 Answers0"/>
  </connection>
  <connection id="2" name="Connection1" type="1" refreshedVersion="3" background="1" saveData="1">
    <dbPr connection="DSN=MS Access Database;DBQ=M:\Technology Office\IT Balanced Scorecard\Surveys\V2 Surveys\Business Survey 2006 2H.MDB;DefaultDir=M:\Technology Office\IT Balanced Scorecard\Surveys\V2 Surveys;DriverId=25;FIL=MS Access;MaxBufferSize=2048;PageTimeout=5;" command="SELECT * FROM Answers0 Answers0"/>
  </connection>
  <connection id="3" name="Connection2" type="1" refreshedVersion="3" background="1" saveData="1">
    <dbPr connection="DSN=MS Access Database;DBQ=M:\Technology Office\IT Balanced Scorecard\Surveys\V2 Surveys\2006\Partner Survey 2006 2H.MDB;DefaultDir=M:\Technology Office\IT Balanced Scorecard\Surveys\V2 Surveys\2006;DriverId=25;FIL=MS Access;MaxBufferSize=2048;PageTimeout=5;" command="SELECT * FROM Answers0 Answers0"/>
  </connection>
  <connection id="4" name="Connection21" type="1" refreshedVersion="3" background="1" saveData="1">
    <dbPr connection="DSN=MS Access Database;DBQ=M:\Technology Office\IT Balanced Scorecard\Surveys\V2 Surveys\Partner Survey 2006 2H.MDB;DefaultDir=M:\Technology Office\IT Balanced Scorecard\Surveys\V2 Surveys;DriverId=25;FIL=MS Access;MaxBufferSize=2048;PageTimeout=5;" command="SELECT * FROM Answers0 Answers0"/>
  </connection>
</connections>
</file>

<file path=xl/sharedStrings.xml><?xml version="1.0" encoding="utf-8"?>
<sst xmlns="http://schemas.openxmlformats.org/spreadsheetml/2006/main" count="2723" uniqueCount="1180">
  <si>
    <t>Process</t>
  </si>
  <si>
    <t>Strongly Agree</t>
  </si>
  <si>
    <t>Agree</t>
  </si>
  <si>
    <t>Neutral</t>
  </si>
  <si>
    <t>Disagree</t>
  </si>
  <si>
    <t>Stongly Disagree</t>
  </si>
  <si>
    <t>Not Applicable</t>
  </si>
  <si>
    <t>IT Operations</t>
  </si>
  <si>
    <t>IT Sales</t>
  </si>
  <si>
    <t>IT Service</t>
  </si>
  <si>
    <t>Product Admin</t>
  </si>
  <si>
    <t>Workflow</t>
  </si>
  <si>
    <t>Other</t>
  </si>
  <si>
    <t>Number Business Surveys Sent</t>
  </si>
  <si>
    <t>Number Received</t>
  </si>
  <si>
    <t>Yes</t>
  </si>
  <si>
    <t>Five Scale</t>
  </si>
  <si>
    <t>Yes No</t>
  </si>
  <si>
    <t>Bill Martineau</t>
  </si>
  <si>
    <t>Not Answered</t>
  </si>
  <si>
    <t>Extension</t>
  </si>
  <si>
    <t>Manager</t>
  </si>
  <si>
    <t>$B$8</t>
  </si>
  <si>
    <t>Survey Period</t>
  </si>
  <si>
    <t>eBusiness</t>
  </si>
  <si>
    <t>Help Desk</t>
  </si>
  <si>
    <t>IT Finance</t>
  </si>
  <si>
    <t>No</t>
  </si>
  <si>
    <t>Team Number</t>
  </si>
  <si>
    <t>Team Name</t>
  </si>
  <si>
    <t>Table of Contents</t>
  </si>
  <si>
    <t>Pam Askins</t>
  </si>
  <si>
    <t>Questions Location</t>
  </si>
  <si>
    <t>$B$7</t>
  </si>
  <si>
    <t>x7402 x8858</t>
  </si>
  <si>
    <t>x8752</t>
  </si>
  <si>
    <t>x6510</t>
  </si>
  <si>
    <t>x7673</t>
  </si>
  <si>
    <t>x3624</t>
  </si>
  <si>
    <t>x8681</t>
  </si>
  <si>
    <t>x5044</t>
  </si>
  <si>
    <t>Christine Kellerman</t>
  </si>
  <si>
    <t>Row Width Location</t>
  </si>
  <si>
    <t>Christian Berke</t>
  </si>
  <si>
    <t>Barbara Allan</t>
  </si>
  <si>
    <t>Kayleen Weeks</t>
  </si>
  <si>
    <t>Sonia Alford</t>
  </si>
  <si>
    <t>Working Days</t>
  </si>
  <si>
    <t>Nedra Jerry</t>
  </si>
  <si>
    <t>Karen Hayden</t>
  </si>
  <si>
    <t>Jeff Cranney</t>
  </si>
  <si>
    <t>Matt Hansberger</t>
  </si>
  <si>
    <t>Team</t>
  </si>
  <si>
    <t>Source File (Full Path)</t>
  </si>
  <si>
    <t>SheetName</t>
  </si>
  <si>
    <t>File Errors</t>
  </si>
  <si>
    <t>Data Sheet Name</t>
  </si>
  <si>
    <t>All IT</t>
  </si>
  <si>
    <t>File Valid</t>
  </si>
  <si>
    <t>eBusiness On-Time Data</t>
  </si>
  <si>
    <t>On-Time Delivery Data</t>
  </si>
  <si>
    <t>Statistics Location</t>
  </si>
  <si>
    <t>Primary Questions Location</t>
  </si>
  <si>
    <t>Follow-Up Questions Location</t>
  </si>
  <si>
    <t>$B$4</t>
  </si>
  <si>
    <t>$B$5</t>
  </si>
  <si>
    <t>$B$6</t>
  </si>
  <si>
    <t>Team Name Lookup</t>
  </si>
  <si>
    <t>Viewpoint</t>
  </si>
  <si>
    <t>Team Manager Lookup</t>
  </si>
  <si>
    <t>Lookups!$C$22:$D$32</t>
  </si>
  <si>
    <t>J:\LDM\IT - Workflow\1 - Status Reports\Release Management\Weekly Status Report.xls</t>
  </si>
  <si>
    <t>\\Lifesvr05\projdata5\IT Producer\Admin\Status Reports\IT Producer Status Report 2006-12-08.xls</t>
  </si>
  <si>
    <t>Current Status</t>
  </si>
  <si>
    <t>J:\LDM\IT - Sales\Status Reports\2006 2H IT-Sales On-Time Delivery.xls</t>
  </si>
  <si>
    <t>J:\LDM\IT - eBusiness\1 - Status Reports\eBusiness Status Report (2006 Releases).xls</t>
  </si>
  <si>
    <t>Completed Releases</t>
  </si>
  <si>
    <t>2006 Release Tracking</t>
  </si>
  <si>
    <t>J:\LDM\IT - Finance\1 - Status Reports\IT-Financial Status Report 12-22-06.xls</t>
  </si>
  <si>
    <t>x3123</t>
  </si>
  <si>
    <t>Archive</t>
  </si>
  <si>
    <t>x3373</t>
  </si>
  <si>
    <t>x4484</t>
  </si>
  <si>
    <t>x4823</t>
  </si>
  <si>
    <t xml:space="preserve">    IT-Sales</t>
  </si>
  <si>
    <t>Need additional info regarding a project?
Click below to see the PMO's weekly status reports.</t>
  </si>
  <si>
    <t xml:space="preserve">    Kayleen Weeks</t>
  </si>
  <si>
    <t xml:space="preserve">    'Active Release Status as of 07/28/06</t>
  </si>
  <si>
    <t>PMO Status Report Directory</t>
  </si>
  <si>
    <t>ID</t>
  </si>
  <si>
    <t>Release Name</t>
  </si>
  <si>
    <t>Description</t>
  </si>
  <si>
    <t>Release Actual Start Date</t>
  </si>
  <si>
    <t>Release Scheduled Impl Date</t>
  </si>
  <si>
    <t>Release Actual Impl Date</t>
  </si>
  <si>
    <t>PEP II Inforce on Navigator</t>
  </si>
  <si>
    <t>Add the ability to illustrate PEP II inforce on Navigator</t>
  </si>
  <si>
    <t>TAMRA - SE2/MVP Inforce Simplified Guarfund</t>
  </si>
  <si>
    <t xml:space="preserve">Modify SE2/MVP to use the Simplified Guarfund approach rather than the 7x7-Pay Premium short-cut method.
</t>
  </si>
  <si>
    <t>VF VI</t>
  </si>
  <si>
    <t>See PMO weekly status report (link at top right) for more information.</t>
  </si>
  <si>
    <t>PIA II</t>
  </si>
  <si>
    <t>Flex 14</t>
  </si>
  <si>
    <t>Premium Tax Enhancement Method 2 ISL SYMON Products</t>
  </si>
  <si>
    <t>Premium Tax Enhancement - Method 3 Navigator products</t>
  </si>
  <si>
    <t>New Risk Classes and Repricing - SEII/M'VP</t>
  </si>
  <si>
    <t>Input File</t>
  </si>
  <si>
    <t>Input Sheet</t>
  </si>
  <si>
    <t>Average On Time Delivery</t>
  </si>
  <si>
    <t>Start Data Row</t>
  </si>
  <si>
    <t>Start Data Column</t>
  </si>
  <si>
    <t>End Data Row</t>
  </si>
  <si>
    <t>End Data Column</t>
  </si>
  <si>
    <t>IT Sales On-Time Data</t>
  </si>
  <si>
    <t>Questions</t>
  </si>
  <si>
    <t>Row Width</t>
  </si>
  <si>
    <t>Statistics</t>
  </si>
  <si>
    <t>Primary Questions</t>
  </si>
  <si>
    <t>Follow-Up Questions</t>
  </si>
  <si>
    <t>Question #</t>
  </si>
  <si>
    <t>Question Text</t>
  </si>
  <si>
    <t>Width</t>
  </si>
  <si>
    <t>Primary Question</t>
  </si>
  <si>
    <t>Follow-Up Question</t>
  </si>
  <si>
    <t>QSurveyPeriod</t>
  </si>
  <si>
    <t>Please select the timeframe this survey applies to (typically the most recent):</t>
  </si>
  <si>
    <t>QTeamName</t>
  </si>
  <si>
    <t>Q1</t>
  </si>
  <si>
    <t>The recognition I receive is appropriate for the contributions that I make.</t>
  </si>
  <si>
    <t>Q1b</t>
  </si>
  <si>
    <t>If you disagree, please describe the kind of recognition you would like to receive:</t>
  </si>
  <si>
    <t>Q2</t>
  </si>
  <si>
    <t>Q2b</t>
  </si>
  <si>
    <t>If you disagree, please describe:</t>
  </si>
  <si>
    <t>Q3</t>
  </si>
  <si>
    <t>I am adequately trained to do my job.</t>
  </si>
  <si>
    <t>Q3b</t>
  </si>
  <si>
    <t xml:space="preserve">If you disagree, please describe the training you would like to receive: </t>
  </si>
  <si>
    <t>Q4</t>
  </si>
  <si>
    <t>Q4b</t>
  </si>
  <si>
    <t>If you disagree, please describe what specific training would you like to receive:</t>
  </si>
  <si>
    <t>Q5</t>
  </si>
  <si>
    <t>I have the tools, materials and equipment to accomplish my job.</t>
  </si>
  <si>
    <t>Q5b</t>
  </si>
  <si>
    <t>If you disagree, please describe what you need:</t>
  </si>
  <si>
    <t>Q6</t>
  </si>
  <si>
    <t>I understand and support the Life IT Vision and Mission.</t>
  </si>
  <si>
    <t>Q6b</t>
  </si>
  <si>
    <t>If not, please describe:</t>
  </si>
  <si>
    <t>Q7</t>
  </si>
  <si>
    <t>I understand my customers and their expectations of me and my team.</t>
  </si>
  <si>
    <t>Q7b</t>
  </si>
  <si>
    <t>Q8</t>
  </si>
  <si>
    <t>I understand my job responsibilities and work related roles.</t>
  </si>
  <si>
    <t>Q8b</t>
  </si>
  <si>
    <t>Q9</t>
  </si>
  <si>
    <t>I understand how I am being evaluated.</t>
  </si>
  <si>
    <t>Q9b</t>
  </si>
  <si>
    <t>Q10</t>
  </si>
  <si>
    <t>I feel that I meet frequently enough with my supervisor to discuss and review my performance.</t>
  </si>
  <si>
    <t>Q10b</t>
  </si>
  <si>
    <t>Q11</t>
  </si>
  <si>
    <t>My supervisor communicates effectively with me.</t>
  </si>
  <si>
    <t>Q11b</t>
  </si>
  <si>
    <t>If you disagree, please describe what would like to see done differently:</t>
  </si>
  <si>
    <t>Q12</t>
  </si>
  <si>
    <t>I have sufficient access to my supervisor to meet my needs.</t>
  </si>
  <si>
    <t>Q12b</t>
  </si>
  <si>
    <t>Q13</t>
  </si>
  <si>
    <t>My team is able to appropriately size and tailor the LDM for the kinds of work we do.</t>
  </si>
  <si>
    <t>Q13b</t>
  </si>
  <si>
    <t>Q14</t>
  </si>
  <si>
    <t>The LDM enables me and my team be more effective in the work we perform.</t>
  </si>
  <si>
    <t>Q14b</t>
  </si>
  <si>
    <t>If not, please describe what would be helpful:</t>
  </si>
  <si>
    <t>Q15</t>
  </si>
  <si>
    <t>My work products are regularly reviewed by others.</t>
  </si>
  <si>
    <t>Q15b</t>
  </si>
  <si>
    <t>Q16</t>
  </si>
  <si>
    <t>Q16b</t>
  </si>
  <si>
    <t>Q17</t>
  </si>
  <si>
    <t>Q17b</t>
  </si>
  <si>
    <t>If you not, please describe what would help your understanding:</t>
  </si>
  <si>
    <t>Q18</t>
  </si>
  <si>
    <t>I feel other members of my team are working diligently and effectively.</t>
  </si>
  <si>
    <t>Q18b</t>
  </si>
  <si>
    <t>If not, please describe</t>
  </si>
  <si>
    <t>Q19</t>
  </si>
  <si>
    <t>I feel other IT teams are working diligently and effectively.</t>
  </si>
  <si>
    <t>Q19b</t>
  </si>
  <si>
    <t>Q20</t>
  </si>
  <si>
    <t>When we have been dependent on work from other teams (in the last 6 months), it was delivered on time, and as committed.</t>
  </si>
  <si>
    <t>Q20b</t>
  </si>
  <si>
    <t>Q21</t>
  </si>
  <si>
    <t>Are there any other comments you would like to share?</t>
  </si>
  <si>
    <t>RecordId</t>
  </si>
  <si>
    <t>Specs were late and were revised many times</t>
  </si>
  <si>
    <t>Everyone is very busy.  No time has been allocated for performance evaluation throuout the year.</t>
  </si>
  <si>
    <t>I don't feel like these survey's make a difference or see a difference as a result of these surveys.  Do they?</t>
  </si>
  <si>
    <t>I strongly believe in "individual" recognition, directly from Supervisor, rather than "public" recognition in any form.</t>
  </si>
  <si>
    <t>I am not aware of a team scorecard</t>
  </si>
  <si>
    <t>Java, XML</t>
  </si>
  <si>
    <t>I was out on leave at the time the classes were held.  Perhaps there are enough new associates that didn't have the tranning, so another class could be held.</t>
  </si>
  <si>
    <t>I'm not sure if our business clients are consulted prior to schedules being published which doesn't always supply sufficiant time for them to review and sign off prior to moving IT changes into production.</t>
  </si>
  <si>
    <t>It would have been better to get this after receiving our review to be able to answer this question accurately.</t>
  </si>
  <si>
    <t>Sometimes it is difficult to express your opinion.</t>
  </si>
  <si>
    <t>I have taken many eAcadmeny classes that have been helpful but when overwhelmed it is difficult to think clear and react appropriately.</t>
  </si>
  <si>
    <t>Just don't always see that there is really enough time.</t>
  </si>
  <si>
    <t>Just feel that sometimes the expectations are unrealistic.</t>
  </si>
  <si>
    <t>I find that I am sometimes overwhelmed with the amount of work that is expected of me.</t>
  </si>
  <si>
    <t>My supervisor is very busy and is not always available when I have issues.</t>
  </si>
  <si>
    <t>My team is small and the team members are required to multitask on many project at one time when other team do not need to multitask.  I becomes exhausting to support all the work required for the LDM.  Processes have been improved but then more project are added with the same deadlines.</t>
  </si>
  <si>
    <t>If we had more time to effectively complete all the LDM paper work then we would be more effective.  Sometimes it is difficult to complete everything.</t>
  </si>
  <si>
    <t>As well as to be expected based on their work load.</t>
  </si>
  <si>
    <t>Work is always delivered on time, it just depends on the cost and how much additional work may be required.</t>
  </si>
  <si>
    <t>I don't disagree, but I think the ability to have two TSO sessions running concurrently would make all mainframe developers more productive...</t>
  </si>
  <si>
    <t>I would like to reiterate the hope that as developers, someday we could use two TSO sessions concurrently.</t>
  </si>
  <si>
    <t>I would like a review of the LDM training with an increased focus on completing an AR and an ADS</t>
  </si>
  <si>
    <t>I do not feel that my knowledge and understanding of the LDM is strong enough to apply it effectively.</t>
  </si>
  <si>
    <t>I have never seen any information on how a scorecard if created.</t>
  </si>
  <si>
    <t>I think that coding standards and peer level code reviews could help improve the quality of work efforts, however with the legacy CK4 system, efficient and structured coding standards may complicate and increase the difficulty of incorporating vendor supplied software release upgrades.</t>
  </si>
  <si>
    <t>For the most part, yes, however some teams may have an individual employee who just does the bare minimum to get by and does not put in the same efforts as the rest of the team members.</t>
  </si>
  <si>
    <t>Something along the lines of confidential peer level input for review purposes may help to more accurately evaluate individual performance, however approaches like this can tend to be very tricky situations and could be mis-used.</t>
  </si>
  <si>
    <t>no code review being done due to all developers having projects to work on during all releases.</t>
  </si>
  <si>
    <t>He has no people skills in order to communicate effectively.</t>
  </si>
  <si>
    <t>We do ADS's for everything which is a incorrect.</t>
  </si>
  <si>
    <t>Spend more time writing about the effort then doing the effort.</t>
  </si>
  <si>
    <t>Most times the customer does not know what they want. More times than not I have to redo some work because the customer left out business requirements or mis-wrote them.</t>
  </si>
  <si>
    <t>I don't believe that the evaluations are based on work merit, but on political ones.</t>
  </si>
  <si>
    <t>This has never been explained to me.</t>
  </si>
  <si>
    <t>In most cases the teams are working against each other. The teams do not seem to be working toward a common goal. Each team tries to do what is best for themselves, ignoring any good sense in design, so they can have it their way.</t>
  </si>
  <si>
    <t>This has not been the case since I have been here. If it was delivered on time it was cut down in features from what was originally promised.</t>
  </si>
  <si>
    <t>We tend build lots of software solutions that could have been more easily developed in house. And in most cases the solutions do not live up to what the solution was bought. For example, DCM is going to be a money pit. Here is a solution that is not living up to what its intended purpose was bought for. The product features have been reduced to it being a very expensive calculator. Make better decisions when looking at build or buy: let the technology people research the product before a buy decision is made.</t>
  </si>
  <si>
    <t>The computers we use really need to be upgraded to allow us to do our work in a timely manner.  The computers we have now really slow down our productivity.</t>
  </si>
  <si>
    <t>Our need was not fully understood causing us to constantly state why we late on our deliverables.  Deployment date was not impacted by this.</t>
  </si>
  <si>
    <t>The survey was too long.  Please consider shortening.</t>
  </si>
  <si>
    <t>I selected "Agree" but I still like to describe.  We  review our work products as a team.</t>
  </si>
  <si>
    <t>I selected "Agree" but I still like to describe.  Most of the team members are working diligently and effectively.</t>
  </si>
  <si>
    <t>Congrats Cameron on your 25 years of service with PL!</t>
  </si>
  <si>
    <t>I'd like to take more classes to expand my skills.</t>
  </si>
  <si>
    <t>My entire team, including our Operation Analyst, gets more work done than the Cyberlife teams yet our contributions go unrecognized.</t>
  </si>
  <si>
    <t>In spite of all of my years of experience and my knowledge of our systems, my opinions are largely ignored my department management.</t>
  </si>
  <si>
    <t>I find Citrix a real burden to deal with.  There are days when the frustration level becomes quite accute.  Since I must work from home I have no other options.</t>
  </si>
  <si>
    <t>Our team was quite effective prior to LDM.  The addition of all of the "paperwork" for LDM has only made us less effective.  This is especially true since we have no business analysts to prepare the documents that are normally done by the analysts so that the programmers end up preparing all of the documents.  This leaves less time for programming tasks.</t>
  </si>
  <si>
    <t>The LDM needs to be more flexible - it needs a small project template that wouldn't require all the documents to be completed -</t>
  </si>
  <si>
    <t>Again, we frequently need to modify approach to make things fit</t>
  </si>
  <si>
    <t>I think our area is still trying to make some of the LDM documents useful or do away with them all together.</t>
  </si>
  <si>
    <t>I don't know if the LDM is any better than the way that we used to work and sometimes it creates more work that necessary.</t>
  </si>
  <si>
    <t>Sometimes it feels like other areas don't communicate well and don't always know what is gonig on.</t>
  </si>
  <si>
    <t>Deadlines are often pushed back by other areas.  Usually it doesn't affect my area because we plan ahead and anticpate teh delays, but it would be nice if agreed upon dates were met.</t>
  </si>
  <si>
    <t>All teams work diligently and effectively.  Some teams' effectiveness would improve significantly with more relevant training.</t>
  </si>
  <si>
    <t>Some string test files were never passed on so some testing that should have occurred in string test were deferred until system test.  This caused the system test to take longer than originally scheduled.</t>
  </si>
  <si>
    <t>IT hsa lost a lot of experience, particularly in the new products area.  Many replacements appear very intelligent.  Supervisors must be extra diligent to spot check the new associates' work products because the inexperience could result in mistakes despite their best intentions.</t>
  </si>
  <si>
    <t>It so vague</t>
  </si>
  <si>
    <t>Product Specs are usually publish late and with many TBD items.  In addition, Product Specs point to older Product Specs which point to even older Product Specs to explain the how certain functions are done.  This slows the Analysis process since you need to go to up three different specs to find what you need.  For instance, SE3-NY specs points to regular SE3 which points to SE2.</t>
  </si>
  <si>
    <t>Process in which Product Specs are written by Product Design needs to be re-evaluated.  If Product Design can come up with a read-friendly version where everything is found on the specs, it will save analysis time to other IT Teams.  It'll be helpful if Product Specs provide a Functional matrix showing main differences when compared to previous family of products.  For example, if there is ever a PEP IV then, a Functional matrix should outlined from PEP-I through PEP-IV for other IT Teams to quickly find differences, instead of reading over 90+ spec pages or having to go to older specs versions to find answers.</t>
  </si>
  <si>
    <t>promotions, increases</t>
  </si>
  <si>
    <t>Don't see the point of many company metrics.</t>
  </si>
  <si>
    <t>There are too many people that have little system knowledge</t>
  </si>
  <si>
    <t>the IT marketband re-structure seems bad</t>
  </si>
  <si>
    <t>It is not uniformly and consistently applied across all teams and when it is not convienient it is ignored in favor of hitting the target date.</t>
  </si>
  <si>
    <t>They are working diligently, but have not been trained so they are not as effective as they need to and WANT TO be.</t>
  </si>
  <si>
    <t>We do not get product specs on time and they keep changing after we receive them.  The rates also keep changing.</t>
  </si>
  <si>
    <t>Our effectiveness is affected by turnover and no structured training for the new hires. This affects their ability to produce at the level they want and need. Throwing them to the wolves is not an effective or efficient way to train people and contributes to turnover.</t>
  </si>
  <si>
    <t>We still need to finish the intagrations of the ITO group into the LDM.</t>
  </si>
  <si>
    <t>Dont have a score card.</t>
  </si>
  <si>
    <t>My PC is slow so to work on multiple spreadsheets and keep multiple emails or notes up, sometimes can be very trying.Our IT contact person has looked into it and sees it as a memory issue.</t>
  </si>
  <si>
    <t>I agree I have the tools but there is a learning curve to using the newer tools.  In a live environment, learning to use new tool(s) could impact timelines negatively.  Our project plans are so tight there isn't time for learning curves; consequently, one falls back to old ways to accomplish tasks.  Granted, learning new tools might help us speed up future deployments and completion of projects, but we're judged on current projects and delays due to whatever reason are not looked on favorably and reflects on performance appraisals.</t>
  </si>
  <si>
    <t>more than "good job"    gift card (something like Visa that could be used anywhere)    rewards points are good but the album is filled with things you would never have enough points to get.</t>
  </si>
  <si>
    <t>my immediate supervisors do take my opinion into account but upper management does not when it sets deadlines, our opinions are bascially worthless</t>
  </si>
  <si>
    <t>the deadlines set for new products do not allow sufficient time for the LDM process to be done as it was intended (or taught to me).  All the paperwork, meetings, etc. required by LDM cut into the time we need to be coding.  I think the LDM process needs to be tailored to fit new product deadlines.</t>
  </si>
  <si>
    <t>work load is not evenly distributed due to lack of experience in some team members.  Agressive deadlines to not allow for good training.</t>
  </si>
  <si>
    <t>Compliance has not delivered on time in several projects.    Prod. design has had to change specs during the project which may not be helped.</t>
  </si>
  <si>
    <t>I don't feel comfortable giving my comments because I don't really belive this survey is anonymous.</t>
  </si>
  <si>
    <t>Can't say due to Retaliation practice.</t>
  </si>
  <si>
    <t>Requested trainning but was shot down with no acceptable reason.  Ie. No budget!</t>
  </si>
  <si>
    <t>I don't even know what LDM is.</t>
  </si>
  <si>
    <t>Anyone can accomplished any job, but it is more effecience with the proper tools.</t>
  </si>
  <si>
    <t>I understand mine but not some others.</t>
  </si>
  <si>
    <t>See 4b.</t>
  </si>
  <si>
    <t>I don't know.</t>
  </si>
  <si>
    <t>Never.</t>
  </si>
  <si>
    <t>Never heard of any discussion on this.</t>
  </si>
  <si>
    <t>Some.</t>
  </si>
  <si>
    <t>Have not seen it</t>
  </si>
  <si>
    <t>Expectations do not match band descriptions or job requirements.</t>
  </si>
  <si>
    <t>Short on resources.</t>
  </si>
  <si>
    <t>See question 2.</t>
  </si>
  <si>
    <t>We have a morale problem with issues which need to be addressed.  Fear of reprisal, fear of disinterest, special cliques, "available by Nextel" (what does this mean?), working from home, distrust of these surveys, communication, non communication, special interests, fear of change, fear of no change.  We have a great group of people but we lack leadership. "Although your position as a manager, supervisor, lead, etc. gives you the authority to accomplish certain tasks and objectives in the organization, this power does not make you a leader...it simply makes you the boss. Leadership differs in that it makes the followers want to achieve high goals, rather than simply bossing people around." http://www.nwlink.com/~donclark/leader/leadcon.html</t>
  </si>
  <si>
    <t>I think the LDM has too much redundancy in it.  There is a lot of crossover between the BR/AR/ADS.  Also, I think creating all this paper and attending so many meetings/walk-throughs has increased our timelines and substantially increased our stress levels as we work many, many extra hours to finish these documents.  It would be nice to know if someone is measuring whether or not we are getting a good return for the amount of time and effort we are spending on the LDM process.  Are projects moving to production that much cleaner to justify the LDM process?  Have new Production Support ITR's dropped significantly since we implemented LDM?  It would be nice for someone in the PMO to be able to track this and share it with us.</t>
  </si>
  <si>
    <t>I'm new in this department and require more training.</t>
  </si>
  <si>
    <t>I enjoy working on the Product Admin team and already see improvements being made during my short timeframe here.</t>
  </si>
  <si>
    <t>I don't know. Everything I would really "like" would probably be considered unreasonable.</t>
  </si>
  <si>
    <t>DARTs can be a frustrating tool to use when it is experiencing record updating delays or other technical problems that cause re-work. Also, the tool does not meet other application uses that I would desire for tracking information specific to that ITR (from start to finish - Q&amp;A issues, UAT issues, requirement updates, etc.)</t>
  </si>
  <si>
    <t>We follow the LDM but there are still pieces missing</t>
  </si>
  <si>
    <t>The LDM still requires additional development for our area</t>
  </si>
  <si>
    <t>we have not seen a score card for ITO</t>
  </si>
  <si>
    <t>over the last 3 or 4 year I have made several major contribution which were never recognised</t>
  </si>
  <si>
    <t>Rates and Product Specs are not always delivered on time.</t>
  </si>
  <si>
    <t>being able to bring my desktop with me would be helpful since I am not at my desk all the time</t>
  </si>
  <si>
    <t>Not consistent with one on one meetings. When we do meet, performance is seldom discussed.</t>
  </si>
  <si>
    <t>More cross-training is needed</t>
  </si>
  <si>
    <t>Some aspects of the LDM are more time consuming than benficial. Mainly regarding some of the documentation we need to write. If the BRs were good enough to begin with, then we could spend less time on writing so many othe LDM docs, this would increase effectiveness and efficiency.</t>
  </si>
  <si>
    <t>It's hard to tell, I don't usually know much about what other IT teams are working on and how they accomplish it. But I do hear about a lot of large projects taking twice as long than originally planned. This leads me to belive improvements can be made.</t>
  </si>
  <si>
    <t>When depending on teams from outside IT, the work we're dependent on has started to come in on-time more often, but the downside is the requirements are most times incomplete and require several updates. So although we're getting the requirements on-time, it's not really helping.</t>
  </si>
  <si>
    <t>I can't tell if question 20 is asking me to about other teams in IT, or other teams in general. It would make a big difference in my answer if it was one versus the other.</t>
  </si>
  <si>
    <t>Business analysis has been always an issue.  There seems to be no deadline for business analysis.  The analysis often continues till the end of project, which causes some last-minute changes.  But IT team was often wrongfully blamed for such delay.</t>
  </si>
  <si>
    <t>ViewPoint system is a great system that can meet any business needs quickly.  From the previous projects, we can often see that design and build take 1 to 2 months while analysis takes over 1 year.  Often we need to make some last-minute changes because business cannot make up their minds.  But ViewPoint team has always completed the tasks on time.</t>
  </si>
  <si>
    <t>I don't necessarily disagree, I don't know how other IT teams perform.</t>
  </si>
  <si>
    <t>its not me being evaluated, its a position, a job requisition</t>
  </si>
  <si>
    <t>its not me and my performance, its a deadline for a project, how can this project get done, etc.</t>
  </si>
  <si>
    <t>not until its too late; a extra pair of eyes or two come into the picture wayyy to late.</t>
  </si>
  <si>
    <t>nope</t>
  </si>
  <si>
    <t>I don't know what the Team Scorecard is.  I was unaware that my team was being evaluated.  Is this question referring to VIP?</t>
  </si>
  <si>
    <t>Reward points, gift certificates, bonus, team luncheon, team breakfast.</t>
  </si>
  <si>
    <t>We are expected to perform supports for many tech areas and the hands-on trainings are essential.  This takes time, experience and supports from others.</t>
  </si>
  <si>
    <t>Maybe quarterly, each area can give an hour training of their expertise will be helpful.</t>
  </si>
  <si>
    <t>More documentations, such as troubleshoting, inventory, access documents will help.</t>
  </si>
  <si>
    <t>I feel that we need more help.</t>
  </si>
  <si>
    <t>I don't.</t>
  </si>
  <si>
    <t>Not sure how that works.</t>
  </si>
  <si>
    <t>I don't feel comfortable answering surveys since it is acceptable at PL for supervisors to retaliate against anything but positive comments.</t>
  </si>
  <si>
    <t>The LDM process has some useful aspects.  The process has become to time consuming and repetitive between documents.  The LDM process needs to be streamlined to be more efficient.</t>
  </si>
  <si>
    <t>I am not always sure who my customers are</t>
  </si>
  <si>
    <t>I'm not really sure how I am being evaluated.</t>
  </si>
  <si>
    <t>I don't regularly partiicpate in the review of other people's work product.</t>
  </si>
  <si>
    <t>I've never seen my team's Scorecard. I'm not sure what makes up a team. Is is my little team of 2 or 5 that reports to a lead or supervisor, or a group of little teams that report to a manager.</t>
  </si>
  <si>
    <t>Sometimes hard to reach my supervisor because of being remote and trying to reach her between meetings.</t>
  </si>
  <si>
    <t>Seems that some members are not effectively doing there jobs.</t>
  </si>
  <si>
    <t>no</t>
  </si>
  <si>
    <t>Get verbal input, but have not had a written review or objectives for 2 years</t>
  </si>
  <si>
    <t>I don't know how it was created.  I see that it was created.  I'm not sure that a multiple choice questionaire can adequately judge what is going on in an area or how it can really expect to learn how to improve it, but I understand it can be a first step.</t>
  </si>
  <si>
    <t>I would hope everyone is trying to work as diligently and effectively as they can.  And why do I have to disagree to be able to describe an answer?</t>
  </si>
  <si>
    <t>If I would choose one area to first work on in our area, it would be effective communication between management and nonmanagement.  I believe there is a lot of assumptions being made without any real communication to back up those assumptions.</t>
  </si>
  <si>
    <t>I need hands-on .NET training and the opportunity to use it on the job.</t>
  </si>
  <si>
    <t>Currently I do, but for most, if not all, of the evaluation period, I did not have access to a build server.</t>
  </si>
  <si>
    <t>I waited for the build server to be configured for over 6 months.</t>
  </si>
  <si>
    <t>Only at my request is my work reviewed by a peer.  There is no process in place for review.</t>
  </si>
  <si>
    <t>Peer review is not mandatory and appropriate time is not allotted so it is a part of the process that is dependent upon the willingness and interest of the individuals involved.</t>
  </si>
  <si>
    <t>I don't know what my team's scorecard looks like.</t>
  </si>
  <si>
    <t>Delays in requirements from downstream users and delays and / or changes from product design have occurred in projects throughout this past year.</t>
  </si>
  <si>
    <t>The deadlines to complete reviews appear to be much earlier than other departments and put a strain on our ability to effective meet our customer's needs during that timeframe.  This is a huge amount of undue strain on the department's management staff as a result of the aggressive deadlines.</t>
  </si>
  <si>
    <t>one does not understand how one person can be reviewed as doing AE work in the first two quarters and then end up with a ME in their review. Please note that no bad thing has been said about their work all year.</t>
  </si>
  <si>
    <t>delivered on time doesn't always necessarily mean complete. getting a complete spec when it's two days late is better than receiving a non-complete spec on time and waiting for weeks until it is complete.</t>
  </si>
  <si>
    <t>I have not had a pay increase as I've moved up in my various roles and positions.  The "cost of living" pay increases have not kept up with inflation.</t>
  </si>
  <si>
    <t>Favoritism (over ability and achievement) is rampant in IT and I feel it is not safe to express my opinion.</t>
  </si>
  <si>
    <t>Classes that I've participated in have not furthered my training in my job.  Online "It's my Responsibility" lessons do not help me very much.</t>
  </si>
  <si>
    <t>LDM doesn't apply to help desk positions.</t>
  </si>
  <si>
    <t>I try to support it but it would help if upper management would support it also.</t>
  </si>
  <si>
    <t>It seems somewhat arbituary as my JPP is so generalized that one year I might be Above Expecations and another year Meeting Expectations.  I feel like I'm being graded on a curve instead of on my own merits.</t>
  </si>
  <si>
    <t>He's many times too busy.</t>
  </si>
  <si>
    <t>We are still most a reactive help desk although it has gotten better this past year.  However, we are seriously weighed down by the bureaucracy of security.</t>
  </si>
  <si>
    <t>Doesn't seem to apply much to the help desk.</t>
  </si>
  <si>
    <t>Most things are need to know only.  Most times, I'm clueless about the bigger picture.</t>
  </si>
  <si>
    <t>Not a clue.</t>
  </si>
  <si>
    <t>I feel that my teammates work diligently, but that we could all work more effectively.  We've made some great improvements, but we still have opportunities to improve.</t>
  </si>
  <si>
    <t>There are definitely other teams in IT, which could be working more effectively.</t>
  </si>
  <si>
    <t>I love the re-org!!</t>
  </si>
  <si>
    <t>Recognition of contributions are almost never done.</t>
  </si>
  <si>
    <t>Roles are not clear</t>
  </si>
  <si>
    <t>There are not one to one meeting with supervisor</t>
  </si>
  <si>
    <t>Adequate but it has been long enough since I've had Cyberlife training that it would be beneficial to go through this as a refresher and to get caught up on changes.</t>
  </si>
  <si>
    <t>Feel like a lot has to be relearned at the start of a new project as certain aspects seem to be a moving target.  Enough time has passed that now might be a good time to have sessions to reinforce the process and to share best practices.</t>
  </si>
  <si>
    <t>Schedules don't typically allow enough time for adequate peer review and there doesn't seem to be a good checkpoint for when this should occur and who should participate.</t>
  </si>
  <si>
    <t>See 15b.</t>
  </si>
  <si>
    <t>Have a general idea but it has faded into the background.</t>
  </si>
  <si>
    <t>There have been recent instances where it seems we invested a lot of time and effort on a project only to have it dropped.</t>
  </si>
  <si>
    <t>See 18b.</t>
  </si>
  <si>
    <t>Too much nonsense paperwork/documentation and not useful.</t>
  </si>
  <si>
    <t>Again, too much nonsense paperwork/documentation and not useful.</t>
  </si>
  <si>
    <t>I'm more of a detail oriented and contingency planning type of developer.  My superiors often view this approach as too conservative, negative and time consuming.</t>
  </si>
  <si>
    <t>This is a fast paced team.  It's often a challenge to come up to speed on new technology.  However, management has good grasp on time it takes developers to get comfortable with new tools.</t>
  </si>
  <si>
    <t>A summary roadmap of necessary documents, for a given complexity and scope of a project, would be useful.</t>
  </si>
  <si>
    <t>Inadequate disk space poses a real challenge to getting database projects completed.  It's been 2 years + trying to get disk space for iDev and iTest - - - it still hasn't been delivered.  Disk space in this organization seems to be associated with some type of gold standard and yet the costs for reliable disk space continue to drop.  Maybe we should be rethinking what types of disk we utilize for developmental environments.</t>
  </si>
  <si>
    <t>These days, supervisors and managers often translate the customer expectations into marching orders for the developers to follow.  Often times, somthing is lost in the translation.  Again, here's another good opportunity to utilize LDM to better bridge the gap between customer and developer.</t>
  </si>
  <si>
    <t>Always striving to be verstile and flexible.  :-))</t>
  </si>
  <si>
    <t>It's probably as good as it can be.</t>
  </si>
  <si>
    <t>A monthly one-on-one meet is scheduled to allow dialogue between myself and supervisor.</t>
  </si>
  <si>
    <t>My supervisor is a very effective communicator but not always a good listener.</t>
  </si>
  <si>
    <t>My supervisor is always available - - i don't recall ever a time when a timely reply was not forthcoming.</t>
  </si>
  <si>
    <t>On my last bigger project, LDM docs were not utilized.   In future, I'll use LDM, even though it might not be necessary, to gain more familiarity.</t>
  </si>
  <si>
    <t>Unfortunately, there's a perception that LDM takes too much time to complete.  Also a perception, that it's faster to 'just do it' rather than documenting it first.   Much of IT Staff has worked at PL for many year - -  this also works against LDM. We often incorrectly assume that how things worked a few years ago is the same as how it works now.</t>
  </si>
  <si>
    <t>Unfortunately, peer to peer review or walk thrus are seldom performed.  Very little is known about what other developers are doing.</t>
  </si>
  <si>
    <t>I have no idea.</t>
  </si>
  <si>
    <t>Very hard working team.</t>
  </si>
  <si>
    <t>With very few exceptions, all folks i work with are very dedicated employees.</t>
  </si>
  <si>
    <t>My time at PL continues to be a postive experience.   I'm excited about the new organizational structure and upcoming projects for 2007 and beyond.</t>
  </si>
  <si>
    <t>Help Desk participation in LDM probably needs more training and insight into LDM.</t>
  </si>
  <si>
    <t>I agree in general, but Blackberries for the Desktop Support team might help them do their job better since they are out on the floor most of the time.</t>
  </si>
  <si>
    <t>We do tailor the LDM for the kind of work we do, but we need to define better the Help Desk role in projects.</t>
  </si>
  <si>
    <t>Only for project work.  The majority of our work is support.</t>
  </si>
  <si>
    <t>Not sure which scorecard this is referring to.  Help Desk scorecard on LIDI shows IT Survey results and Call Volumes.  Not sure that is a "scorecard" for the Help Desk.</t>
  </si>
  <si>
    <t>At the Help Desk, many times we get things last minute and are expected to drop everything to meet other teams' needs without consideration of impact on us.</t>
  </si>
  <si>
    <t>Large projects have a huge impact on Help Desk support resources.  It gives the staff opportunities to learn new technologies, which is good, but sometimes our support to the end-users suffers.  A "development" team for Help Desk type projects that work like the other App Dev areas could help the business with new capabilities they are looking for.  The Call Center, Remote Support and Destkop Support areas do not have much, if any, extra time for in-depth projects.</t>
  </si>
  <si>
    <t>I think LDM is a great thing but I think it needs to be tailored for new products.  The deadlines given for new products do not allow for us to follow LDM as it was taught to us.</t>
  </si>
  <si>
    <t>some members contribute more than others.</t>
  </si>
  <si>
    <t>did not always receive requirements from Compliance which had an impact on my deadline.</t>
  </si>
  <si>
    <t>Not all documents received from Marketing are on time.  Many times, the documents received have errors that seem to be avoidable (with more diligence on Marketing's part).</t>
  </si>
  <si>
    <t>I think not all PMO projects really need an AR, Test Approach and ADS. Unnecessary/repetitive documentation hinders progress on some projects.</t>
  </si>
  <si>
    <t>I think members of my team in IT-Sales work really well. But certain members of other teams in IT-Sales need to be written up for not doing their job properly. When a person doesn't do their job properly and nothing is done about it, it sends the message to other employees that it's ok to do a bad job since nothing bad will happen to them.</t>
  </si>
  <si>
    <t>I think Marketing has greatly improved since last quarter on getting UI and output specs out to IT-Sales on time when they're promised.  But now Product Design needs to get their act together and get *complete* specs out to IT-Sales instead of "working"/skeleton specs with a lot of "to be determined" variables to avoid re-work on LDM documents.</t>
  </si>
  <si>
    <t>There are no experienced analysts on site in PA to train, therefore the person to person training I would like may not be possible.</t>
  </si>
  <si>
    <t>For the most part I would agree, however there are times when overly strict adherence to the minutia of the LDM can be an obstacle to actually getting the work done.</t>
  </si>
  <si>
    <t>The relationships between coworkers on the analyst and developer level seem quite good within and among the various teams in the area.  However, at the supervisor level there are a couple instances of personal grudges becoming a hindrance to both productivity and morale.  I hope the recent restructuring has a positive effect on this.</t>
  </si>
  <si>
    <t>I have not seen the scorecard yet</t>
  </si>
  <si>
    <t>More verbal recognition from business clients.</t>
  </si>
  <si>
    <t>Their expectations change frequently.</t>
  </si>
  <si>
    <t>Some kind of feedback currently there is no feedback good or bad</t>
  </si>
  <si>
    <t>My opinion is heard but no responses</t>
  </si>
  <si>
    <t>Have never had a one on one.  Only mistakes are pointed out</t>
  </si>
  <si>
    <t>Never meet to discuss my performance</t>
  </si>
  <si>
    <t>No feedback</t>
  </si>
  <si>
    <t>Team members bring down other team members.  We do not work as a team.  Some team members seem to over power their supervisor</t>
  </si>
  <si>
    <t>They do not work together.  Managers and supervisors are don't even smile.</t>
  </si>
  <si>
    <t>The MSDN subscription we got is helpful and I considered this as training support because we can utilize the MSDN subscription to do research.    However, this doesn't cover the basic fundamental difference between VF6 coding and VB.Net coding.  I believe this basic knowledge is needed for the Navigator.Net project and we can't gain this knowledge by simply jump into the project and discover the basic ourselves.      I understand the VB.Net class provided by Academy doesn't custom fit our needs, but I would like to see Management encourage us to research into VB.Net and get ourselves prepare ahead of time.</t>
  </si>
  <si>
    <t>The new monitor helps make my job easier.  Thank you.</t>
  </si>
  <si>
    <t>The end product of my work is tested.    We decided not to do code review, and I doubt we review other people code unless we are put in a project to enhance the existing code.</t>
  </si>
  <si>
    <t xml:space="preserve">If I come across anything wrong, I point it out to the person who work on it.  It's up to the person to improve it or not.    I just want to point out that I am not actively reviewing other people's work.  </t>
  </si>
  <si>
    <t>Sometime I wonder why it takes so long to accomplish something in other IT department, but I don't know what exactly they went through, so I can't really comment that they are effective or not.</t>
  </si>
  <si>
    <t>&lt;blank&gt;</t>
  </si>
  <si>
    <t>Survey Name</t>
  </si>
  <si>
    <t>IT Survey</t>
  </si>
  <si>
    <t>Questions Sheet</t>
  </si>
  <si>
    <t>FollowUp Questions Location</t>
  </si>
  <si>
    <t>Chart Count</t>
  </si>
  <si>
    <t>Question Count</t>
  </si>
  <si>
    <t>Response Count</t>
  </si>
  <si>
    <t>Secondary Question</t>
  </si>
  <si>
    <t>Strongly Disagree</t>
  </si>
  <si>
    <t>StdDevP</t>
  </si>
  <si>
    <t>Average</t>
  </si>
  <si>
    <t>Average Hack</t>
  </si>
  <si>
    <t>Question</t>
  </si>
  <si>
    <t>Follow-up Question</t>
  </si>
  <si>
    <t>Overall Average</t>
  </si>
  <si>
    <t>I understand how my team's Scorecard is created and the impact I can have on it.</t>
  </si>
  <si>
    <t>I am aware of the options available to express my opinion and feel it is taken into account.</t>
  </si>
  <si>
    <t>Please select the team you belong to. This is used only to help us create team-level scorecards.</t>
  </si>
  <si>
    <t>I feel I am adequately trained to apply the LDM to my work.</t>
  </si>
  <si>
    <t>IT Survey Data</t>
  </si>
  <si>
    <t>I regularly participate in the review of other people's work products.</t>
  </si>
  <si>
    <t>On-Time Delivery</t>
  </si>
  <si>
    <t>Completed Releases as of 12-31-2006</t>
  </si>
  <si>
    <t>Prospectus on CD</t>
  </si>
  <si>
    <t>Provide prospectuses and selected supplements via CD during product review and at the points of sale, policy delivery, and yearly prospectus mailings. Provide yearly fund annual and semi-annual reports via CD.</t>
  </si>
  <si>
    <t xml:space="preserve">Lifeline Release (July 2006) </t>
  </si>
  <si>
    <r>
      <t>Lifeline Release (July 2006)</t>
    </r>
    <r>
      <rPr>
        <sz val="10"/>
        <rFont val="Verdana"/>
        <family val="2"/>
      </rPr>
      <t xml:space="preserve"> - Change the Right Nav template colors, Redo the colors of Navigation Menus, Add Channel/Optional Name Field to Product Page Templates, Add Home Page Thumbnail Graphics, Change ECOM Display Results Template, Subsections in ECOM Admin Tool</t>
    </r>
  </si>
  <si>
    <t>Enable use of 99 Funds</t>
  </si>
  <si>
    <t>Implement ability use and report on 99 funds within Cyberlife. This includes displaying them on eStat, POW, all CK4 correspondence (Confirms, statements, etc.), reporting (MCR, etc.) and CFAD (if needed).</t>
  </si>
  <si>
    <t>Commission Audits Phase I</t>
  </si>
  <si>
    <t>This project will enable Home Office associates to obtain commission audits in a more time effective/flexible manner</t>
  </si>
  <si>
    <t>Statement Redesign - Vendor Development</t>
  </si>
  <si>
    <t>Redesign policy statements for VUL, UL &amp; EIUL policies in Cyberlife; and implement a solution to generate the redesigned statements. This project includes development &amp; testing of statement logic and business rules at the vendor site only.</t>
  </si>
  <si>
    <t>CVR for VF VI &amp; PIA II</t>
  </si>
  <si>
    <t>Reprice mortality and expenses and introduce new risk classes and a new Cash Value Enhancement Rider for new business on VF VI and PIA II.</t>
  </si>
  <si>
    <t>Inlign-McCabe Insurance Fund</t>
  </si>
  <si>
    <t>Add the Inlign-McCabe Insurance Fund (hedge fund) and Legal Separate Account to the Cyberlife System.</t>
  </si>
  <si>
    <t>Merrill Lynch/BlackRock Fund Merge</t>
  </si>
  <si>
    <t>Update systems and process to account for the 3Q 2006 merger of BlackRock funds and Merrill Lynch Investment.</t>
  </si>
  <si>
    <t>Content Syndication (Lifeline)</t>
  </si>
  <si>
    <t>Provide the ability for our distribution partners to host Lifeline content onto their websites and for us to retain the control to select and update the content displayed on their websites</t>
  </si>
  <si>
    <t xml:space="preserve">Data Delivery - AgencyWorks </t>
  </si>
  <si>
    <t>Develop capability to send pending business and requirements status data to AgencyWorks.</t>
  </si>
  <si>
    <t>Data Delivery - E-Z Data</t>
  </si>
  <si>
    <t>Develop capability to send pending business and requirements status data to E-Z Data.</t>
  </si>
  <si>
    <t xml:space="preserve">Lifeline Release (December 2006) </t>
  </si>
  <si>
    <r>
      <t>Lifeline Release (December 2006)</t>
    </r>
    <r>
      <rPr>
        <sz val="10"/>
        <rFont val="Verdana"/>
        <family val="2"/>
      </rPr>
      <t xml:space="preserve"> - Company Holiday DUV's, CMS Template Landing Page, CMS Port Opt / Navigator Link, eCom Form "One Instance", CMS Search Page Field Order Change, Revision History Compare Issue, Revision Date Fix, Expand eCom Character Limit</t>
    </r>
  </si>
  <si>
    <t xml:space="preserve">2006 Business Continuity / Disaster Recovery Planning </t>
  </si>
  <si>
    <t>Demonstrate the capability to recover prioritized Tier 1 Business Processes within 24 hours. Revise Business Resumption Plan to reflect changes in recovery methods and solutions. Conduct Business Resumption (for Tier 1 processes) and Disaster Recovery Testing</t>
  </si>
  <si>
    <t>Life IT Workflow - Completed Releases</t>
  </si>
  <si>
    <t>App Dev Manager: Nedra Jerry</t>
  </si>
  <si>
    <t>IPD6.1.2</t>
  </si>
  <si>
    <t>Auto Correspondence Phase I  Warranty</t>
  </si>
  <si>
    <t>DC 6.1.0</t>
  </si>
  <si>
    <t>Doc Center Maintenance Release</t>
  </si>
  <si>
    <t>WF 6.1.0</t>
  </si>
  <si>
    <t>Migration of NTI to Cluster</t>
  </si>
  <si>
    <t>IPD 6.2.0</t>
  </si>
  <si>
    <t>Agency Works Pending Data</t>
  </si>
  <si>
    <t xml:space="preserve">Auto Correspondence Phase 2a: Underwriting Requirements Chart Changes                            </t>
  </si>
  <si>
    <t>Workflow On-Time Data</t>
  </si>
  <si>
    <t>2. Archive</t>
  </si>
  <si>
    <t>IT-Finance</t>
  </si>
  <si>
    <t>Complete Releases as of 12/22/2006</t>
  </si>
  <si>
    <t>MEM 6.12.28</t>
  </si>
  <si>
    <t>No Secondary Name for IPAY records on ADCRPEXD/M
Owner code 'H' is not MBR
Modify job ADMCMFUP to update VCMF-POLICY-ISSUE-STATE on AD.@BMC.ADCMF10D
Update CMF-POLICY-ISSUE-STATE on AD.ADCRPEXD/M
Update CMF-TIN-TYPE-CODE on AD.ADCRPEXD/M
Modify job ADMCMFUP to update VCMF-TIN-TYPE-CODE and VCMF-E-MAIL-ADDRESS on AD.@BMC.ADCMF10D
Modify job ADMCMFUP to update VCMF-PREV-TERM-DATE for Reinstatements</t>
  </si>
  <si>
    <t>IT Finance 6.12.28</t>
  </si>
  <si>
    <t xml:space="preserve">VUL(VLOW) Account Values overridden
TAX Reports; Polysystems/Valuation
Disabled Lives Process
Run Full Set of Valuation Jobs for Poly/VAL
Polysystems/Valuation Integration
STAT Reports; Polysystem/Valuation
Create Polysystems merge steps for FV
Run Full set of Valuation jobs for Poly/VAL
Run and Valid Jobs VLQQI100/VLQQK100
Remove ACCTVAL logic from Valuation prg
Create Polysystems merge steps 
Add subseg code to the Plan AC755DLQ
Upload 2006 Pricing Mortality Tables
Modify AC7555DCQ to include 2006 Pricing Basis
</t>
  </si>
  <si>
    <t>TAI 6.12.28</t>
  </si>
  <si>
    <t>Support of correcting Joint Quota Share
SOX: TAI Compare Report
TAI Reinsurance Mortality Rating changes
Analysis:  RGA Audit:More Counts
Setup Data Trans For new reinsurer XL RE
Setup Data Trans. For new reinsurer ACE</t>
  </si>
  <si>
    <t>TAX 6.12.28</t>
  </si>
  <si>
    <t>PS58 Program Test Using 9/30/06 Values
Tax Interface Manual chgs - Table Add
Tax Interface Manual chgs - Screens
Tax Calculator 0703 Not Processing Properly</t>
  </si>
  <si>
    <t>IPAY 6.11.28</t>
  </si>
  <si>
    <t xml:space="preserve">
Add new TIN Type Codes to on-line entries
TIN Type Codes
IPAY/Superset Interface: new codes
Convert TIN Types Codes on IPAY Master 
List of all status 1 (active) IPAY records
Taxpayer ID must contain nine numerics
SOC-SEC-CONFIRM_CODE
Conversion to update INAIDNO_Type to 0</t>
  </si>
  <si>
    <t>IT Finance 6.11.28</t>
  </si>
  <si>
    <t>Run Full set of Valuation jobs for Poly/VAL
Run and Valid Jobs VLQQI100/VLQQK100
Poly Closed Block Reports
GAAP Reports; Polysystems/Valuation Int.
Adjust Model Benefit Reserve for PULAAA
Remove ACCTVAL logic from Valuation prg
PP Closed Block policy is being bypassed
VLP47 Not Using closed block
Create Polysystems merge steps 
Policy Rate File Changes
VLQQK100:  VL1Q000Q Persist. Bonus
Tabular Net Premium, Gross Premium
Populate VSUM portion of Valuation ext
VLQQH100: Persistancy Bonus
Poly Closed Block Reports
Adjust Model Benefit Reserve for PUL AAA
Add new Reinsurer 'MX' to Valuation
Add two new Reinsurers to Valuation
Verify Reserve CLIST prog for POLY
Add subseg code to the Plan AC755DLQ
Add subseg code to th Plan AC750FL
Incorrect Plans in EM Report</t>
  </si>
  <si>
    <t>TAI 6.11.28</t>
  </si>
  <si>
    <r>
      <t>Possible MLIFE Recapture due to chg in Ret</t>
    </r>
    <r>
      <rPr>
        <sz val="8"/>
        <rFont val="Arial"/>
        <family val="2"/>
      </rPr>
      <t xml:space="preserve">
Chg Rounding Calc for Flat Extras
Research TEMP Flat Extras
Accounting worksheet: Chg in Field Seq.
Correct Accounting for PW for FY and RY
Setup Data Trans for ACE Tempest Life RE
Setup Data Trans for XL Re Life America
Saar Reporting/Express Delivery Reports
Add'l logic mod required for new single life
Analysis:  RGA Audit More Counts, Distrib</t>
    </r>
  </si>
  <si>
    <t>TAX 6.11.28</t>
  </si>
  <si>
    <r>
      <t>US38 - Create SAS</t>
    </r>
    <r>
      <rPr>
        <sz val="8"/>
        <rFont val="Arial"/>
        <family val="2"/>
      </rPr>
      <t xml:space="preserve">
PS58 chg ada01e58 for 2006
TM - CR 6065 on 0702 Trans.
Filenet Landscape Image Create
0702 Alis Trans to Error Reports
PS58-Prepare Annual Downloadable File</t>
    </r>
  </si>
  <si>
    <t>MEM 6.11.29</t>
  </si>
  <si>
    <t>Create new Owner Activity Detail Report
VP65637690 should have C in Owner Activity Type with206243 ibn date on AD.@BMC.ADCMF10D
V50566300V lost date carried in Inactive Date
ADT.@BMC.ALT6648.ADCMF10D has T as Owner Activity Type when exclusion code = 0
V56390500V lost Inactive date and R in Owner Activity Type
Owner Activity Type s/b R, not T, when VCMF-EXCLUSION-CODE = 0
VF51529300 should have N206181 in Owner Activity on CMF
Update Owner Activity fields on AD.@BMC.ADCMF10D from April 2006 thru August 2006.</t>
  </si>
  <si>
    <t>IPAY 6.10.30</t>
  </si>
  <si>
    <r>
      <t>Update IBI-Last Reporting Year</t>
    </r>
    <r>
      <rPr>
        <sz val="8"/>
        <rFont val="Arial"/>
        <family val="2"/>
      </rPr>
      <t xml:space="preserve">
Add new TIN Type Codes to on-line entries
TIN Type Codes
IPAY/Superset Interface: new codes
Convert TIN Types Codes on IPAY Master 
List of all status 1 (active) IPAY records</t>
    </r>
  </si>
  <si>
    <t>IT Finance 6.10.30</t>
  </si>
  <si>
    <t>Run Full set of Valuation jobs for Poly/VAL
Run and Valid Jobs VLQQI100/VLQQK100
Poly Closed Block Reports
GAAP Reports; Polysystems/Valuation Int.
Polysystems/Valuation Integration
Adjust Model Benefit Reserve for PULAAA
STAT Reports; Polysystems/Valuation Int.
Add 'P' to Polysystems plan codes</t>
  </si>
  <si>
    <t>TAI 6.10.30</t>
  </si>
  <si>
    <r>
      <t>Possible MLIFE Recapture due to chg in Ret</t>
    </r>
    <r>
      <rPr>
        <sz val="8"/>
        <rFont val="Arial"/>
        <family val="2"/>
      </rPr>
      <t xml:space="preserve">
TAI is limited to on 20 cessions
Chg Rounding Calc for Flat Extras
Add logic processing for Aug. 2006 prod.
Research TEMP Flat Extras
Accounting worksheet: Chg in Field Seq.
Correct Accounting for PW for FY and RY</t>
    </r>
  </si>
  <si>
    <t>TAX 6.10.30</t>
  </si>
  <si>
    <r>
      <t xml:space="preserve">Quarterly With - 3rd Qtr. 2006 - test
Quarterly With - 3rd Qtr. 2006 - prod
</t>
    </r>
    <r>
      <rPr>
        <strike/>
        <sz val="8"/>
        <rFont val="Arial"/>
        <family val="2"/>
      </rPr>
      <t>US38 - Create SAS</t>
    </r>
    <r>
      <rPr>
        <sz val="8"/>
        <rFont val="Arial"/>
        <family val="2"/>
      </rPr>
      <t xml:space="preserve">
Chg Process that uses IPO file
ALIS status 06 Ann. Not Process - prog ch.
ALIS status 06 Ann. Not Process - Con
</t>
    </r>
    <r>
      <rPr>
        <strike/>
        <sz val="8"/>
        <rFont val="Arial"/>
        <family val="2"/>
      </rPr>
      <t>PS58 chg ada01e58 for 2006</t>
    </r>
    <r>
      <rPr>
        <sz val="8"/>
        <rFont val="Arial"/>
        <family val="2"/>
      </rPr>
      <t xml:space="preserve">
ALIS status 06 Ann. Not Proccess - Anal.
Change Processing the uses IPO File</t>
    </r>
  </si>
  <si>
    <t>MEM 6.10.30</t>
  </si>
  <si>
    <t>Add new field, VCMF-1997-Member to AD.@BMC.ADCMF10D    
AD.@BMC.ADCMF10D - enhance to carry proxy cycle date    
Expand ADCMF10D to carry yea/nay votes for Directors and Proposals    
Expand ADCMFFLE/ADCMFVSM to carry TIN Type Code and e-mail address    
Add new field, Policy Issue State to ADCMFFLE and ADCMF10D    
Add new field, VMCF-PREV-TERM-DATE to AD.@BMC.ADCMF10D    
Expand ADCRPEXD/M to 1250 bytes    
Update copybooks with 88 levels for Contract-Type Code    
Group won't use enhanced ADCMFFLE layout
Expand ADPRXSEQ to carry yea/nay votes for Directors &amp; Proposals
Expand ADCIBEXM from 1000 bytes to 1250 bytes</t>
  </si>
  <si>
    <t>TAI 6.9.28</t>
  </si>
  <si>
    <r>
      <t xml:space="preserve">TAI is limited to only 20 cessions per cov
Adj. To Accounting Sheet; Split PW for FY
</t>
    </r>
    <r>
      <rPr>
        <strike/>
        <sz val="8"/>
        <rFont val="Arial"/>
        <family val="2"/>
      </rPr>
      <t>Change rounding calc. For Flat Extra
Research Temp Flat Extras</t>
    </r>
    <r>
      <rPr>
        <sz val="8"/>
        <rFont val="Arial"/>
        <family val="2"/>
      </rPr>
      <t xml:space="preserve">
Additional logic processing for Aug. 2006
Analysis:  Premature Trivial (TRV) Term 
Testing for the RACF Conversion </t>
    </r>
  </si>
  <si>
    <t>TAX 6.9.28</t>
  </si>
  <si>
    <r>
      <t xml:space="preserve">US38 - Automate Process AR
US38 - Create A.D.S
Tax job ADMALQTE abend in prod
Testing for the RACF Conversion
TC - Not Processing Maturities
Alis Tax Qualified Processing
Add 1099 Suffix for 461 - online
</t>
    </r>
    <r>
      <rPr>
        <strike/>
        <sz val="8"/>
        <rFont val="Arial"/>
        <family val="2"/>
      </rPr>
      <t>Add 1099 Suffix for 461 - batch</t>
    </r>
  </si>
  <si>
    <t>MEM 6.9.28</t>
  </si>
  <si>
    <t>Synch proxy/annual fields for terminated policies with company code = '1'
ADRCMF32 - remove Increase/Decrease line
ADRCMFMM - move zero, not policy # to CM-SHAREHOLDER-POLICY
Check Company Code when reporting terminated owners on ADRCMF32-RHC
No street address for 038491400M on AD.@BMC.ADMBR10D
Create EXT-ADMBR10D file each quarter-end
ADRCMFMM trucates foreign addresses on output file</t>
  </si>
  <si>
    <t>TAX 6.8.30</t>
  </si>
  <si>
    <r>
      <t xml:space="preserve"> </t>
    </r>
    <r>
      <rPr>
        <strike/>
        <sz val="8"/>
        <rFont val="Arial"/>
        <family val="2"/>
      </rPr>
      <t>ALIS Tax Qualified Processing</t>
    </r>
    <r>
      <rPr>
        <sz val="8"/>
        <rFont val="Arial"/>
        <family val="2"/>
      </rPr>
      <t xml:space="preserve">
VANTAGE Balancing Report - add sorts
PS58 Reports - Round Off Numbers
PS58 Screens - Round Off Numbers
PS58 Letter Correction
Analyze - Copybook Changes to Support Source Code 572 - 1099LTC
Review and Correct Security Levels
DYL - Create a list of Active Alis Policies
PS58 Letters - Round off numbers</t>
    </r>
  </si>
  <si>
    <t>IPAY 6.7.31</t>
  </si>
  <si>
    <t xml:space="preserve">IPAY 5498 File                                                                      Perform IPAY ZOS 1.6 Upgrade                                    </t>
  </si>
  <si>
    <t>IT Finance 6.7.31</t>
  </si>
  <si>
    <r>
      <t>Differences on VL975 report investigation                      Add PL&amp;A Tax Reports to PL Year-end 
Adjust Model Benefit Reserve for PUL AAA</t>
    </r>
    <r>
      <rPr>
        <sz val="8"/>
        <rFont val="Arial"/>
        <family val="2"/>
      </rPr>
      <t xml:space="preserve">
Poly Production Financial Values Reports
</t>
    </r>
    <r>
      <rPr>
        <strike/>
        <sz val="8"/>
        <rFont val="Arial"/>
        <family val="2"/>
      </rPr>
      <t>Stat Reports; Polysystems/Valuation
GAAP Reports Polysystems/Valuation</t>
    </r>
    <r>
      <rPr>
        <sz val="8"/>
        <rFont val="Arial"/>
        <family val="2"/>
      </rPr>
      <t xml:space="preserve">
Reformat IBNR Report
                               </t>
    </r>
  </si>
  <si>
    <t>TAI 6.7.31</t>
  </si>
  <si>
    <r>
      <t xml:space="preserve">TAI online fix needed to logic of Client Alias
Load new Reinsurance Joint and Single 
Install process to allow "SI" Simplified Issue
</t>
    </r>
    <r>
      <rPr>
        <strike/>
        <sz val="8"/>
        <rFont val="Arial"/>
        <family val="2"/>
      </rPr>
      <t xml:space="preserve">Analysis - Correct all TAI policies/coverage
Capacity File should not have Waiver
Capacitiy File - Fix the incorrect Cap. File
CF Ceding/Ret in Co 100, 200 and 600
TAI is limited to only 20 cessions per cov           </t>
    </r>
  </si>
  <si>
    <t>TAX 6.7.31</t>
  </si>
  <si>
    <r>
      <t xml:space="preserve">TM-Reinstate from Vanish to PR-PAY                         TM-Tax Release Code 5                                             5498's Correct the owner name/tin
Perform TAX application testing for Z\OS
Quarterly Withholding - 2nd Qtr 2006 - test
Quarterly Withholding - 2nd Qtr 2006 - prod
</t>
    </r>
    <r>
      <rPr>
        <strike/>
        <sz val="8"/>
        <rFont val="Arial"/>
        <family val="2"/>
      </rPr>
      <t>Review and correct security levels</t>
    </r>
    <r>
      <rPr>
        <sz val="8"/>
        <rFont val="Arial"/>
        <family val="2"/>
      </rPr>
      <t xml:space="preserve">
TM-Tax Qualified Transfer
Tax job ADMALQTE abend in production
PS58 - Cleanup 2005 OLRSRTD file
TM - Reinstate from Vanish to PR-Pay</t>
    </r>
  </si>
  <si>
    <t>MEM 6.7.31</t>
  </si>
  <si>
    <t>New Job/Reports for NE Redomestication                     Modify Members to use Superset for IPAY                          ADMCMFUP:  Reinitialize Proxy/Annual field</t>
  </si>
  <si>
    <t>TAI 6.6.29</t>
  </si>
  <si>
    <t>Analyze RGA Lives 3/6/06 Auto Retro
DYL needed to verify MGI ceding process
Modify TAI logic to allow Mlife FAC BAP
Extract data for Monthly ceded YRT 
Correct 6 screen edit for CO 101 business</t>
  </si>
  <si>
    <t>TAX 6.6.29</t>
  </si>
  <si>
    <t>Complete ADMS Interface Inventory                                                                      PS58-fix ADNARLBL file                                        PS58-fix ADNARPOL file                                                TC - Automate Check for Negative CB                       TM-0501 Update Release Code                                       5498 Program - New Processing for Quest</t>
  </si>
  <si>
    <t>MP 6.6.29</t>
  </si>
  <si>
    <t xml:space="preserve">IT: New Product VF6
IT: New Product PIA2
MKT: FVP Territory Changes (National Accounts)
MKT: FVP Territory Changes (Select Markets)
FIN: Modify LIMRA Report to reflect new distribution channel groupings-product arrangement/groupings 
Correct year used for prior year reporting                                                                                       </t>
  </si>
  <si>
    <t>MEM 6.6.29</t>
  </si>
  <si>
    <t>ADRCMFMS: update all policies per Record ID                                                                                  ADCMF10D has wrong Policy type for records on IPAY                                 AD.ADCMF10D.PRINTXS - create generation group                                                   ADRMAPUR - modify to create PRINTXS                                                                       AD113S30 - change order it should be exectued; add more Add Ind codes                                                                       ADMCMFUP: update Selected Record Ind for terminated members</t>
  </si>
  <si>
    <t>DART                 6.6.29</t>
  </si>
  <si>
    <t>New Operations Engineer Role for ITO Group
Add New Application for "Life Business"
No e-Mail Notification For Data Services
Make Entered By &amp; On Fields Read Only</t>
  </si>
  <si>
    <t>IT Finance On-Time Data</t>
  </si>
  <si>
    <t>IT Producer</t>
  </si>
  <si>
    <t>Closed Releases</t>
  </si>
  <si>
    <t>Non-Release</t>
  </si>
  <si>
    <t>Change Producer Group Production ACA's to point to new expense allowance rates</t>
  </si>
  <si>
    <t>To implement the VPN/FTP (Virtual Private Network, FTP Protocol) to replace SQL Mail</t>
  </si>
  <si>
    <t>Resolve External Adjustment issue for Commission users</t>
  </si>
  <si>
    <t>Collection Workflow Update</t>
  </si>
  <si>
    <t>Release 06.08.0</t>
  </si>
  <si>
    <t>Support z/OS 1.6 Testing</t>
  </si>
  <si>
    <t>FA05 vs. Marketing Allowance (Programming)</t>
  </si>
  <si>
    <t>IPD Producer Load</t>
  </si>
  <si>
    <t>Work with ITS to correct DTCC email notification issue</t>
  </si>
  <si>
    <t>Release 06.09.0</t>
  </si>
  <si>
    <t>Discontinuance of direct pay reps for MSC (Mutual Service Corp) - P101 &amp; P135</t>
  </si>
  <si>
    <t>Implement VF6 and FDNLG2 on VF6</t>
  </si>
  <si>
    <t>Implement PIA2</t>
  </si>
  <si>
    <t>Wirehouse FVP Territory Changes</t>
  </si>
  <si>
    <t>Add new FFR Hierarchy Role "MANAGER40FFR" to the Tables for the Viewpoint feed and the M&amp;P cross-reference files</t>
  </si>
  <si>
    <t>Remove the [Ratio] field from the Term ACP reports.</t>
  </si>
  <si>
    <t xml:space="preserve">Investigate abeyance information created by Collection Loader does not match ADMS </t>
  </si>
  <si>
    <t>Discontinue Process to Email Electronic Commission Data to Partners(NFP)</t>
  </si>
  <si>
    <t>Release 06.10.0</t>
  </si>
  <si>
    <t>SEPTEMBER 2006 REQUIREMENT-NATURAL VS UNNATURAL</t>
  </si>
  <si>
    <t>Support the conversion of ACF2 to RACF</t>
  </si>
  <si>
    <t>Agent Licensing and Appointment</t>
  </si>
  <si>
    <t xml:space="preserve">Create new agreement for CMS National Services, LLC </t>
  </si>
  <si>
    <t>Vesting rate incorrect on Pacific Performer.</t>
  </si>
  <si>
    <t>SCID for policy 1A22497000</t>
  </si>
  <si>
    <t>Release 06.11.0</t>
  </si>
  <si>
    <t>Implement FLEX 14</t>
  </si>
  <si>
    <t>Implement new product SE3</t>
  </si>
  <si>
    <t>Implement new product - MVP6</t>
  </si>
  <si>
    <t>Clean Up Producers Telephone and Fax numbers</t>
  </si>
  <si>
    <t>Implement new Custom COLI ZAD2.</t>
  </si>
  <si>
    <t>Select Markets Territory Change</t>
  </si>
  <si>
    <t>Implement Replacement Products for Employee Life Insurance Purchase Program (ELIPP).</t>
  </si>
  <si>
    <t>Correct ELIPP defect</t>
  </si>
  <si>
    <t>Add Broker Dealer Address for General Agents to Agent Address File</t>
  </si>
  <si>
    <t>Correct calculation issues with the totaling numbers in Negative Abeyance reports</t>
  </si>
  <si>
    <t>Release 06.12.0</t>
  </si>
  <si>
    <t>Participate in the Life Divisions Disaster Recovery test in November 2006</t>
  </si>
  <si>
    <t>Create an Over 25K Report</t>
  </si>
  <si>
    <t>Modify WFZ33LB to generate unique sequence numbers for Marketing Allowance External Adjustments.</t>
  </si>
  <si>
    <t>IT Producer On-Time Delivery</t>
  </si>
  <si>
    <t>Viewpoint On-Time Delivery</t>
  </si>
  <si>
    <t>J:\LDM\IT - Product\1 - Status Reports\2H2006 IT-Product On-Time Delivery.xls</t>
  </si>
  <si>
    <t xml:space="preserve">                                                                                                                                               IT-Product Admin </t>
  </si>
  <si>
    <t>Need additional info regarding a project?
Click below to see the PM's detailed reports.</t>
  </si>
  <si>
    <t xml:space="preserve">                                                                                                                                                                                                                    Bill Martineau</t>
  </si>
  <si>
    <t xml:space="preserve">                                                                                                                                                                                                                    Historical Status for 2nd Half of 2006</t>
  </si>
  <si>
    <t>N</t>
  </si>
  <si>
    <t>Indie</t>
  </si>
  <si>
    <t>PEP II FDNLG II -- Issue</t>
  </si>
  <si>
    <t>August, 2006</t>
  </si>
  <si>
    <t xml:space="preserve">ITR 31874
VF VI &amp; PIA II: 
Adjust NAR on 
 - Mortality Charge
 - FD NLG
 - Guidelines
</t>
  </si>
  <si>
    <t>VF VI: New Risk classes &amp; FDNLG II -- Issue</t>
  </si>
  <si>
    <t>PIA II: New Risk Classes &amp; New CVER -- Issue</t>
  </si>
  <si>
    <t>Add new Inlign-McCabe fund to Magnastar</t>
  </si>
  <si>
    <t>ITR 31877
VF V '04, PIA, &amp; PIA-NY: 
Adjust NAR on 
 - Mortality Charge
 - FD NLG
 - Guidelines</t>
  </si>
  <si>
    <t>November, 2006</t>
  </si>
  <si>
    <t>Flex XIV -- Issue</t>
  </si>
  <si>
    <t>SE3/MVP6 -- New Risk Classes and Repricing - Issue</t>
  </si>
  <si>
    <t>VF3 Guideline Premium Update</t>
  </si>
  <si>
    <t>PIA &amp; PIA-NY -- Anniversary</t>
  </si>
  <si>
    <t>Product Admin On-Time Delivery</t>
  </si>
  <si>
    <t>J:\LDM\IT - Producer\1 - Status Reports\Prior Reports\IT Producer Status Report 2006-12-08.xls</t>
  </si>
  <si>
    <t>E&amp;O Project - Phase 2:  Reporting and mail merge functionality</t>
  </si>
  <si>
    <t>Release 06.4.0</t>
  </si>
  <si>
    <t>Maintenance &amp; contact IntelliSync</t>
  </si>
  <si>
    <t>Release 2: Phase 2</t>
  </si>
  <si>
    <t>Release 06.4.1</t>
  </si>
  <si>
    <t>Modify several highly used user reports to improve system performance.</t>
  </si>
  <si>
    <t>Production Hardware Upgrade release</t>
  </si>
  <si>
    <t>Replace all existing production hardware servers (3) with updated, faster equipment.</t>
  </si>
  <si>
    <t>Release 06.5.0</t>
  </si>
  <si>
    <t>Primarily the Illustration Integration Project with some maintenance ITRs</t>
  </si>
  <si>
    <t>Release 06.5.1</t>
  </si>
  <si>
    <t>Update system reports for RLO's, Home Office, NALO, and M Financial from Illustration Integration project.</t>
  </si>
  <si>
    <t>J:\LDM\IT - Service\1 - Status Reports\2006 2H IT Service On-Time Delivery.xls</t>
  </si>
  <si>
    <t>In Force Service</t>
  </si>
  <si>
    <t>Michelle Kinney</t>
  </si>
  <si>
    <t>Archive Record as of 2/1/07</t>
  </si>
  <si>
    <t>CKSI0606M01 - June System Integration Release</t>
  </si>
  <si>
    <r>
      <t>Superset and Accounting support for project.</t>
    </r>
    <r>
      <rPr>
        <i/>
        <sz val="10"/>
        <color indexed="12"/>
        <rFont val="Arial"/>
        <family val="2"/>
      </rPr>
      <t xml:space="preserve">
See PMO weekly status report (link at top) for more information.</t>
    </r>
  </si>
  <si>
    <t>CKIS0606M01 - June In-Force Service Maintenance Release</t>
  </si>
  <si>
    <r>
      <t>A</t>
    </r>
    <r>
      <rPr>
        <sz val="8"/>
        <rFont val="Arial"/>
        <family val="2"/>
      </rPr>
      <t>ddition of an edit to force a minimum of $1,000 base face amount when processing withdrawals or option changes; correction of the free-look surrender calculation for SD, NV, and DC.</t>
    </r>
  </si>
  <si>
    <t>CKSI0608M01 - August System Integration Release</t>
  </si>
  <si>
    <t>Support for PPT, 05-01 Release Upgrade, Risk Classes for VF VI &amp; PIA II and deferral from PIA 2.0.  Filled release with additional prioritized ITRs. for EFT drafting from any account, EI/APO display, adding Entry Operator.</t>
  </si>
  <si>
    <t>Statement Redesign - Define Vendor Extract and populate EIUL Extract</t>
  </si>
  <si>
    <t>See PMO weekly status report (link at top) for more information.</t>
  </si>
  <si>
    <t>CKIS0606M01 - August In-Force Service Maintenance Release</t>
  </si>
  <si>
    <t>Correction of loan and surrender processing for the Flex XII family of products; correction of Survivor Life max withdrawals; correction of the Flex XII maximum loan calculation.</t>
  </si>
  <si>
    <t>CKIS0609M01 - September In-Force Service Maintenance Release</t>
  </si>
  <si>
    <t>Prioritized release ITRs are to correct last payment date field, surrender of term products, death claim quote on RPU, edit for missing billing control segments, adding fund transfer override indicator on 69 segment, correct pro-rated premium refund on Flex 12 surrender quote.</t>
  </si>
  <si>
    <t>CKSI0609M01 - Address Change Data Download</t>
  </si>
  <si>
    <t>Produce file of data to support manual creation of Address Change Notification on Cyberlife Policies.</t>
  </si>
  <si>
    <t>CKSI0609M02 - Fund Manager Change</t>
  </si>
  <si>
    <t>Change Fund Manager to BlackRock for Mercury Global Allocation V.I. &amp; Basic Value V.I. funds effective 1/1/06.</t>
  </si>
  <si>
    <t>CKSI0609M03 - Accounting</t>
  </si>
  <si>
    <t>Add missing entries to PTULTTAX table to correct breakdown of premium load for accounting.  Update Accounting Table.</t>
  </si>
  <si>
    <t>CKSI0609M04 - September Superset/CFAD Release</t>
  </si>
  <si>
    <t>PMO 692 PPT Support for TPA Term and Magnastar.  Support for additional business requirement for face amount field for Cyberlife.  Add frequent trading field to CFAD.  Correct NFO Option Translation for Flex I GPO product.</t>
  </si>
  <si>
    <t>P-804 Statement Redesign - VUL Extract</t>
  </si>
  <si>
    <t>CKIS0610M01 - October In-Force Service Maintenance Release</t>
  </si>
  <si>
    <t>Prioritized release ITRs are to correct modal premium display on Term products, correct wording on Flex 12 pending AVF option edit, stop EFT draft when it will violate guidelines, correct file parameters for EFT &amp; Lock box on ISL suspended loan payments, SEII NY face reduction on option B.</t>
  </si>
  <si>
    <t>CKSI0610M02 - Accounting</t>
  </si>
  <si>
    <t>Corrections for pseudo accounting out of balances on surrenders, reinstatements and reversal transactions.  Also correct pseudo accounting out of balances for PIA &amp; PIA 2.  Added an Account Table update to this release.
Needed to remove the Custom COLI COI adjustments from this release for further analysis.</t>
  </si>
  <si>
    <t>CKT 6069 - Commissions Special Rush</t>
  </si>
  <si>
    <t>Cyberlife sent incorrect commission bands on a policy</t>
  </si>
  <si>
    <t>P-820 Flex XIV Commission</t>
  </si>
  <si>
    <t>CKSI0610M01 - October Superset/CFAD Release
P-781 Warranty for durations on GUARFUND on superset
P-805 UL Annual Statement Superset
P-820 Flex XIV Superset
P823 SEIII / MVP6 SQL changes</t>
  </si>
  <si>
    <t>CKIS0611M01 - November In-Force Service Maintenance Release</t>
  </si>
  <si>
    <t xml:space="preserve">Prioritized release ITRs are to correct interest rate display for override rates, add MEC Election Form Received Indicator, add Date of Disability field to Cyberlife and Superset, Telephone Authorization enhancement, enhance the free look surrender table for LA for SEII/MVP and retain the agent SAID code on reissue. </t>
  </si>
  <si>
    <t>CKSI0610S01 - October SQL Release</t>
  </si>
  <si>
    <t>SQL Table Updates for Maturity Extension Rider and Exchange of Insured Rider, correct invalid sub group name and product category for R0612L and shortening the Fund Manager Name for Annual Statements.</t>
  </si>
  <si>
    <t>CKSI0611S01 - November SQL Release</t>
  </si>
  <si>
    <t>SQL Table Updates for Custom COLI ZAE, Solomon Brothers fund manager name change, Cat Status code to match NTI &amp; SuperSQL and Duplicate Series Code.  Corrections also made to add missing Product Names in look up table and spelling corrections for rider names.  
Removed from this release:  The Telephone Authorization translation values needs a new table added by Data Services which can not be created for the Nov Release.
MEC Election Form changes are needed in the Superset, no SQL changes are required.</t>
  </si>
  <si>
    <t>P-805 Statement Redesign - UL Extract</t>
  </si>
  <si>
    <t>CKIS0612M01 - December In-Force Service Maintenance Release</t>
  </si>
  <si>
    <t>Prioritized release ITRs are to extend disability past age 60 when on waiver and correct the next year's div amount on superset and a policy loop.</t>
  </si>
  <si>
    <t>CKIS0612M02 - December In-Force Service Maintenance Release</t>
  </si>
  <si>
    <t>Do not product paper for the agent copy of the Mayo List Bill Annual Statements.  Revise the dividend scale for PacPro and PEP effective 2/1/07.</t>
  </si>
  <si>
    <t>PMO 769
VF VUI: New Risk Classes &amp; FDNLGII -- Issue
PMO 831
PIA II: New Risk Classes &amp; New CVER -- Issue</t>
  </si>
  <si>
    <t>Policy Pages
Policy Pages</t>
  </si>
  <si>
    <t>CKPA0609P01 - August Document Management Release</t>
  </si>
  <si>
    <t>Documaker Correct DAL's VF5
Documaker Extract Clean Up
Documaker Needs to Print Guaranteed Issue on ABR Pages
Documaker Forms and Alignment Clean Up
Documaker Edit for ABR for PIA
Documaker OLP Age 59 Correction VF5/PIA</t>
  </si>
  <si>
    <t>CKDM0608M02 - September Document Management Release</t>
  </si>
  <si>
    <t>Documerge Media Code Incorrect on Tear Sheet
Warranty-PIA II 'Rated' Not Printing for Insured</t>
  </si>
  <si>
    <t>CKDM0609M01 - September Document Management Release</t>
  </si>
  <si>
    <t>Warranty-Documaker Underwriter Worksheets
Warranty-Documaker FileNet Garbage</t>
  </si>
  <si>
    <t xml:space="preserve">Policy Pages
Disclose the Number of Years for Temp Flat Extra 3.0 
</t>
  </si>
  <si>
    <t>SEII/MV6</t>
  </si>
  <si>
    <t xml:space="preserve">Policy Pages
Premium Load Text 3.0
</t>
  </si>
  <si>
    <t>CKPA0611P01 - November Document Management Release</t>
  </si>
  <si>
    <r>
      <t xml:space="preserve">Documaker-Include Prospectus on CD Flyer With Policy Pages
Documaker-PIA Policy Page 3.0 Need Form Number
Documaker-VF5 S (04 version), VF6 No Lapse Accum Factors Pages &amp; SSC
Documaker-Common DAL Change
Documaker-R03ALB Contract Pages Need Alignment
Documaker-Create Free Look Endorsement VUL
Documaker-Risk Class Table Changes Pages &amp; SSC
Documerge-Pacific Life Policy Delivery Receipt
Documaker-Pacific Life &amp; Annuity Policy Delivery Receipt
Documaker-Pacific Life Policy Delivery Receipt
Documerge-Pacific Life &amp; Annuity Policy Delivery Receipt
</t>
    </r>
    <r>
      <rPr>
        <strike/>
        <sz val="8"/>
        <rFont val="Arial"/>
        <family val="2"/>
      </rPr>
      <t>Documerge-NB Application 22 Pages
Documaker-NB Application 22 Pages</t>
    </r>
    <r>
      <rPr>
        <sz val="8"/>
        <rFont val="Arial"/>
        <family val="2"/>
      </rPr>
      <t xml:space="preserve">
Documaker-Assembly Notes for VF5  MD
DocuMERGE - PEPS, PEP2S No Lapse Accumulation Factors-Policy Pages &amp; Corresp
</t>
    </r>
  </si>
  <si>
    <t>November New Product Warranty Release</t>
  </si>
  <si>
    <r>
      <t>Flex XIV Pg 3.2 ETI Values OR,TN,VA</t>
    </r>
    <r>
      <rPr>
        <sz val="8"/>
        <rFont val="Arial"/>
        <family val="2"/>
      </rPr>
      <t xml:space="preserve">
Replace R84-AD-MA2 with R84-AD-MA3
Flex XIV State Approvals IN, VT</t>
    </r>
  </si>
  <si>
    <t>DM Maintenance Release</t>
  </si>
  <si>
    <t>CK4 Stmts Notice to Members
Alis Stmts Notice to Members
Vantage Notice to Members</t>
  </si>
  <si>
    <t>ALIS August  Release 2
Release #ALTK0608M02 (Supersets)</t>
  </si>
  <si>
    <t>Create New Superset Feed and Modify PMWHL MEC</t>
  </si>
  <si>
    <t>ALIS September Release
Release #ALTK0609M01 (Waivers)</t>
  </si>
  <si>
    <t>Waiver-Penny differences in loans processes v.s. quotes.</t>
  </si>
  <si>
    <t>ALIS August  Release
Release #ALTK0608M01 (IDC-Eliminations)</t>
  </si>
  <si>
    <t>IDC-Elimination</t>
  </si>
  <si>
    <t>Middle Tier &amp; First XML Transaction 
Release #CKTK0604P01</t>
  </si>
  <si>
    <t xml:space="preserve">Establish the web service infrastructure on Cyberlife in support of the Life IT's strategic service-orientated architecture direction. </t>
  </si>
  <si>
    <t>ALIS November Release
Release #ALTK0611M01</t>
  </si>
  <si>
    <t>IDC Elimination Day2 : Allow listbill loan interest</t>
  </si>
  <si>
    <t>IT Service On-Time Delivery</t>
  </si>
  <si>
    <t>Number of Releases</t>
  </si>
  <si>
    <t># Releases</t>
  </si>
  <si>
    <t>Data Services</t>
  </si>
  <si>
    <t>Please select the timeframe this survey applies to (typically the most recent).</t>
  </si>
  <si>
    <t>QYourName</t>
  </si>
  <si>
    <t>Please enter your name:</t>
  </si>
  <si>
    <t>QITTeamName</t>
  </si>
  <si>
    <t>IT took appropriate time to understand my problem or need before solving or meeting it.</t>
  </si>
  <si>
    <t>Did you have any other expectations:</t>
  </si>
  <si>
    <t>I had adequate opportunity to review the work effort at the end of Analyze and Design stage, and was given an opportunity to accept, change, or reject it.</t>
  </si>
  <si>
    <t>The quality of the solutions delivered by IT met my expectations.</t>
  </si>
  <si>
    <t>If you disagree, please describe what you expected:</t>
  </si>
  <si>
    <t>Overall, I feel the LDM processes are effective in helping IT to deliver solutions.</t>
  </si>
  <si>
    <t>If you disagree, please describe what you would like to see changed:</t>
  </si>
  <si>
    <t>Overall, I feel IT effectively used the LDM processes to deliver solutions.</t>
  </si>
  <si>
    <t>Please provide any comments:</t>
  </si>
  <si>
    <t>I am satisfied with the speed and efficiency that issues were resolved by IT.</t>
  </si>
  <si>
    <t>I am satisfied with the speed and efficiency that outages (times when production is down) were resolved.</t>
  </si>
  <si>
    <t>IT performed adequate research and performed effective and timely follow up when requested.</t>
  </si>
  <si>
    <t>If you disagree, please describe what you would have liked to have happen:</t>
  </si>
  <si>
    <t>IT staff provided support in a professional and courteous manner and considered input and suggestions from others.</t>
  </si>
  <si>
    <t>IT staff members are knowledgeable about my business and the applications I depend on, and they understood the impact issues can have on my business.</t>
  </si>
  <si>
    <t>Overall, IT communicated adequate, clear, timely and useful information to me.</t>
  </si>
  <si>
    <t>Overall, IT did a good job managing their resources and ensuring follow-through on commitments.</t>
  </si>
  <si>
    <t>Please describe:</t>
  </si>
  <si>
    <t>IT properly managed deployments, including deployments that were dependent on other App Team deployments.</t>
  </si>
  <si>
    <t>Please describe any other expectations of IT that you would like to express:</t>
  </si>
  <si>
    <t>Please provide any additional comments you have:</t>
  </si>
  <si>
    <t>Please select the team for which you are responding:</t>
  </si>
  <si>
    <t>If you disagree, please describe what you would've liked to have happen:</t>
  </si>
  <si>
    <t>Susan Andrews</t>
  </si>
  <si>
    <t>Marilyn Colby</t>
  </si>
  <si>
    <t>speed is lagging due to cost restraints and staffing</t>
  </si>
  <si>
    <t>MICHAEL ISOM</t>
  </si>
  <si>
    <t>Overall responsivness is very good, however, experiencing a continual problem of Viewpoint crashing on a daily basis with no apparent ability to solve the problem save replacing my computer (yet to be done).</t>
  </si>
  <si>
    <t>Glen Nelson; Derek Chinn and Ken Lin in particular - always there and always helpful, and in all - a very good staff.</t>
  </si>
  <si>
    <t>I would like to single out Matthew Huecker for being exemplary in his responsibilities concerning the transmission of files between Viewpoint and the Bowne system.</t>
  </si>
  <si>
    <t>IT has a good staff and they are a pleasure to work with.</t>
  </si>
  <si>
    <t>Cynthia Miller</t>
  </si>
  <si>
    <t>Daniel F. Bass</t>
  </si>
  <si>
    <t>James Cast</t>
  </si>
  <si>
    <t>Joanne Banner</t>
  </si>
  <si>
    <t>Laurie Eng</t>
  </si>
  <si>
    <t>Adrianne Georgantas</t>
  </si>
  <si>
    <t>Chris Janowiak</t>
  </si>
  <si>
    <t>IT has always been good at understanding my needs...and helping me document them as business requirements.</t>
  </si>
  <si>
    <t>Being outside of the Life division, I don't feel as though I understand the LD methodology well enough to know how it has truly impacted IT's ability to deliver solutions.</t>
  </si>
  <si>
    <t>The Web Production team has been extremely accommodating and  very fast!  However, when my business needs require a developer, things tend to take much longer than anticipated.  With that said, I am very appreciative of the fact that your division supports us and understand that my needs often compete with your division's own needs...all while development resources are over utilized.  Bringing in subcontractors to fill in the gap has been a big help.</t>
  </si>
  <si>
    <t>Although developer time is scarce, your IT team has always been very accommodating, professional, understanding, and a great pleasure to work with.</t>
  </si>
  <si>
    <t>Paul Suh</t>
  </si>
  <si>
    <t>100% of expectations were met. Henry Oneil's team had an open door policy when it came to accepting system issues from the production standpoint.</t>
  </si>
  <si>
    <t>Definitely. The LDM process seems at first to be long and tedious, however at the end of the project the participants have a peace of mind regarding the final output due to the comprehensive coverage of all issues and perspectives regarding the project. Basically there arent any loose ends.</t>
  </si>
  <si>
    <t>Henry Oneil and his crew were more than helpful in providing quick and efficient resolutions to system issues to the best of their abilities in regards to time, resources, and situation at hand.</t>
  </si>
  <si>
    <t>All expectations were met.</t>
  </si>
  <si>
    <t>It has been a pleasure working with Henry Oneil and his team here in Omaha with the numerous system issues that surfaced throughout 2006. Also appreciated is Michelle Kinney's role in all the issues that required upper-management support and backup. I look forward to another outstanding year.</t>
  </si>
  <si>
    <t>Angela Flair</t>
  </si>
  <si>
    <t>I have only been working with Warren since I took over this position in Aug. '06.  He has been a tremendous help to both me and my team and is great to work with.</t>
  </si>
  <si>
    <t>I would like to see IT Sales staff increased so that we can package more into each Navigator release.  With all of the products that we have to program for over the next few years as well as PPT, I Pipeline and Smart Office, any additional Navigator functionality will suffer due to resource issues.  I am very concerned that we will be limited to product only in our releases and will not be able to deliver in Navigator what is critical to help meet marketing goals and field expectations.</t>
  </si>
  <si>
    <t>Tami Wroblewski</t>
  </si>
  <si>
    <t>Could have been strongly agree, however, marketing spends to much time defending why we need certain things done.</t>
  </si>
  <si>
    <t>this might not be an IT issue, it seems that decisions are made without considering all the various distributions and the squeaky wheel is getting all the grease.</t>
  </si>
  <si>
    <t>same as above</t>
  </si>
  <si>
    <t>whole releases are dedicated to one distribution.</t>
  </si>
  <si>
    <t>Again, I don't know if it's IT or the LDM, it seems when an issue is created/found due to distribution turf, the issue is not fixed in a timely manner.</t>
  </si>
  <si>
    <t>Margarita Torres</t>
  </si>
  <si>
    <t>Anthony Kufner</t>
  </si>
  <si>
    <t>I think the LDM does offer a guidline but often creates unnecessary work for IT-Sales.  The additional unnecessary processes limits IT-Sales resources and can result in less defect correction and ITRs that get packaged.</t>
  </si>
  <si>
    <t>I feel that IT-Sales uses the LDM processes to deliver solutions but I do feel that the LDM processes needs to be reviewed and redundancy removed.</t>
  </si>
  <si>
    <t>We have a close working relationship with IT and am pleased with there ability to resolve issues.</t>
  </si>
  <si>
    <t>The IT-Sales staff responds to and helps resolve issues quickly.  I enjoy working with them.</t>
  </si>
  <si>
    <t>Overall I believe that IT-Sales (also Warren Fox) and my team have a good working relationship.  This helps improve the end product (Navigator)</t>
  </si>
  <si>
    <t>Candy Tolentino</t>
  </si>
  <si>
    <t>It does not seem that the LDM process has been used in the past. It has been used for the first time in this area on a current project.  If it had been used in the past the current project would not have taken over two years to complete.</t>
  </si>
  <si>
    <t>Same comment as above.</t>
  </si>
  <si>
    <t>Tom Taylor</t>
  </si>
  <si>
    <t>Daniel Jones</t>
  </si>
  <si>
    <t>There should be more knowledge of how CK4 populates the ADMS ACPDTL. Perhaps ADMS Model Office and IT Service can review the existing ACPDTL mapping document to understand it and update it so that all parties are knowledgable about the CK4/ADMS interface and how it creates the ACPDTL. This should especially help with the testing process.</t>
  </si>
  <si>
    <t>Sue Shershenovich</t>
  </si>
  <si>
    <t>Michelle &amp; Ron were very responsive to suggestions on the Day 2 Withdrawal effort</t>
  </si>
  <si>
    <t>Length of time for an LOE on FDNLG "Clean Approach" seems long compared to other LOEs  (Materials first provided end of December, target date for LOE March 1st)</t>
  </si>
  <si>
    <t>I'd like to see better IT coordination between inconsistent numerical results between Navigator and CK4.</t>
  </si>
  <si>
    <t>I think that Sun's work on the ISL matrix for the Day 2 Product Initiative will be very beneficial to the Business in assessing next steps.  I would like to continue this effort on other product "families"</t>
  </si>
  <si>
    <t>Fritz Fischle</t>
  </si>
  <si>
    <t>At times, I think that it hampers the process.  Especially with production daily production problems.</t>
  </si>
  <si>
    <t>ALIS issues only.</t>
  </si>
  <si>
    <t>There are multiple Cyberlife System Analyst and no ALIS System Analyst.  Last time I looked, ALIS is still an active system.</t>
  </si>
  <si>
    <t>I only work with ALIS IT personnel.</t>
  </si>
  <si>
    <t>Terry Sneddon</t>
  </si>
  <si>
    <t>Cindy and her buddies "Revolve" and "Expediter" have made a world of difference to our system.  We are constantly amazed at how quickly she can resolve issues using these tools.</t>
  </si>
  <si>
    <t>Cindy Tyler is especially effective in understanding the unique issues that affect the valuation system.  She always manages to analyze &amp; repair production problems quickly and effectively.</t>
  </si>
  <si>
    <t>Cindy and Julie were instrumental in implementing and integrating our Polysystems software.  Both programmers worked above and beyond expectations to understand the valuation system &amp; what was needed to make this work.</t>
  </si>
  <si>
    <t>After several years with no real programming support, we have been overjoyed to have Cindy Tyler and Julie Chin working on our systems.  Especially with Cindy on board, we now have the confidence that emergencies can be handled in a timely manner &amp; that we can update our valuation reporting system &amp; make it viable.</t>
  </si>
  <si>
    <t>Melody Cabunoc</t>
  </si>
  <si>
    <t>Michael Hitchcock</t>
  </si>
  <si>
    <t>For the most part, I think PA is doing a very good job.  However, there have been a few mistakes made on product deliveries that led to a lot of manual corrections for the business and incorrect information being provided to our clients.  I think that there has to be a better system of control or review in place that will catch these items. When a mistake is caught in production, they are very motivated to correct the errors as soon as possible.</t>
  </si>
  <si>
    <t>Every member of the team that I have interacted with has always been very helpful and patient with any questions that I have.</t>
  </si>
  <si>
    <t>I don't think the entire impact (what will be involved with the business corrections and interaction with the customers will require)is always clear to most associates.  They seem to be pretty insulated from this aspect.</t>
  </si>
  <si>
    <t>I am concerned with the shortened testing time that we now have and the overall impact on the quality of the product that is delivered.  For the most part, products seem to be delivered accurately but I think more focus should be on testing as many scenarios as possible rather than testing the same scenarions each time (same age, sex, etc.).  Now that items on the test script are ranked in order of importance and if there is not time to test everything on the script than something vital will be missed or not given proper attention.  This does has not increased my level of comfort with our testing procedures. Also, I think sometimes the focus on only testing a new product to issue capabilities is often short sighted and does not really lead to people buying in to what they are delivering because future problems with the product are not their concern.</t>
  </si>
  <si>
    <t>Several members of the team have provided me and my team with excellent service.  Susan Smith, Chris Peterson, Sam Barkho, Eric Trumbauer, Sun Powley have all been great resources.  Fausto, Henry and Donna have also been very helpful.</t>
  </si>
  <si>
    <t>Tina Marsh</t>
  </si>
  <si>
    <t>This would be hard for me to speak to.  Target dates are rarely missed and when they are, IT comes and discusses the situation with me.  I am not comfortable speaking to the management of resources.</t>
  </si>
  <si>
    <t xml:space="preserve">Doc Management - I think both Ellen and Rose are a huge help and I feel that our goals are always in sync.  I feel like their team partners with mine in delivering new products and updates to existing products/correspondence. Rose has been very receptive to accommodating our changing UAT needs and this has really helped me personally. Both the new business and inforce associates are professional, deliver quality work and I am very pleased with their service.    User Interface - I deal mostly with Bob, Nicole and Irene. All of them are extremely helpful, very open to questions and provide me with quality UAT support.    System Integration - Nicky, AnnMarie and Karen are super supportive.      Inforce Services - Dale is fantastic. Really, he is a superstar and I appreciate everything that he does for us.  Mary Lou continues to provide excellent support to our area also.  Michelle K. had helped me personally become more comfortable in my position and is very supportive.          </t>
  </si>
  <si>
    <t>Wanda Steen</t>
  </si>
  <si>
    <t>Denise Loera</t>
  </si>
  <si>
    <t>Suzette M. Perry</t>
  </si>
  <si>
    <t>Gail Goziker</t>
  </si>
  <si>
    <t>I have one high performer in quality and quantity - Cindy Gray.  I have one poor performer in quality and quantity - Rose Djuric.</t>
  </si>
  <si>
    <t>This questionnaire as with the previous ones are too general in nature and lump everyone and all work together.</t>
  </si>
  <si>
    <t>Kathy YOung</t>
  </si>
  <si>
    <t>Kathy Young</t>
  </si>
  <si>
    <t>d kubica</t>
  </si>
  <si>
    <t>Many times work is assigned to programmers and weeks go by before hearing from IT, only to find out they need specifications. There needs to be a proactive approach for IT to meet with the business area as soon as something is assigned to discuss the business need and aquire specification.</t>
  </si>
  <si>
    <t>Timely follow only does happen when "requested" and not proactively from some in IT. example we find that nothing is happening on work because the programmer did not initiate questions but rather waited until the business area follow up on the status.</t>
  </si>
  <si>
    <t>Dan Kubica</t>
  </si>
  <si>
    <t>IT was extremely helpful in find solutions to all issues that arose during the Producer Audit Project.</t>
  </si>
  <si>
    <t>John Stegall was extremely efficient in providing both analysis and programming solutions for the Producer Audit Project. Christine Kellerman did an excellent job managing her resources always being able to balance staff between our project and others within her area.</t>
  </si>
  <si>
    <t>Machael M. Heise</t>
  </si>
  <si>
    <t>If we have any issues they are always managed and resolved quickly.</t>
  </si>
  <si>
    <t>They have been very helpful assisting with questions and user support.  Our areas have been learning the Reporting Services tool together and have developed a good working relationship.</t>
  </si>
  <si>
    <t>We have been very pleased with the service and responsiveness provided to us by Data Services, particularly related to the Reporting Services funtionality and special data stores created for our use.</t>
  </si>
  <si>
    <t>Business Survey</t>
  </si>
  <si>
    <t>Overall, I am satisfied with IT staff's support of production applications.</t>
  </si>
  <si>
    <t>IT helps support my organization and enables my team to more efficiently service PL customers.</t>
  </si>
  <si>
    <t>I understand the allocation of IT resources for my area and the projects I am sponsoring.</t>
  </si>
  <si>
    <t>If you disagree, please describe what would help you:</t>
  </si>
  <si>
    <t>I have the influence I need on IT resource allocation.</t>
  </si>
  <si>
    <t>I feel the options presented for getting work done (e.g., Staffing, Budget, Scope, Timing, Use of New Technologies) enable me to make decisions.</t>
  </si>
  <si>
    <t>IT communicates adequate, clear, timely, and useful information to me.</t>
  </si>
  <si>
    <t>If not, please explain:</t>
  </si>
  <si>
    <t>Overall, IT is managing their work well (people, issues, resourceful, good work management).</t>
  </si>
  <si>
    <t>Overall, I am satisfied when I work with IT.</t>
  </si>
  <si>
    <t>Please describe any other expectations of IT that you would like to express.</t>
  </si>
  <si>
    <t>Please provide any Additional Comments you have:</t>
  </si>
  <si>
    <t>I am satisfied with IT staff's support of production applications.</t>
  </si>
  <si>
    <t>QYourName_1</t>
  </si>
  <si>
    <t>Not close enough to know - but hasn't heard any negatives.</t>
  </si>
  <si>
    <t>None.</t>
  </si>
  <si>
    <t>I would like to see resource allocations on a more regular basis.  I don't feel this is an IT problem or gap.</t>
  </si>
  <si>
    <t>Having an earlier assessment could present more options.  I am more interested in "design feature" options then options to populate a schedule.  Later on the timeline, all options are not always available.</t>
  </si>
  <si>
    <t>Earlier would be better.</t>
  </si>
  <si>
    <t>I hesitate to “Strongly Agree” that IT is resourceful.  I feel like I have to push in order to get IT to be resourceful.  It is not just offered to me.</t>
  </si>
  <si>
    <t>There appear to be some defects on “Day 2” or policy spec pages.  I don’t have any specific examples.  I would like to be less queasy about the unknown of what has been implemented on Cyberlife.</t>
  </si>
  <si>
    <t>Mike Wauters</t>
  </si>
  <si>
    <t>Mike doesn't understand the reasons for upgrading to Windows Vista.  His Corporate interfaces do not work with the new Internet Explorer IE7.  The SOX ACE*S applications do not work with IE7.  His area has a work around, but he would like to know more about why we choose to upgrade so soon.</t>
  </si>
  <si>
    <t>Mike would like help to plan for hardware for his people.  I will forward information on to Matt Hansberger.</t>
  </si>
  <si>
    <t>Mike likes the changes that have been made in the ESC, especially around requiring Business Cases.  He would like to discuss how Reputational Risk factors can be incorporated into the Business Case scenarios.</t>
  </si>
  <si>
    <t>Gayle agreed with this statement and understands that priorities and resource constraints mean that some things won't get done.  She did comment that there is a joke that they could write an ITR or make a Day 2 project, but it will never get done.  She is aware of the priority process and agrees that the business does take part in this process.</t>
  </si>
  <si>
    <t>She understands how work is reviewed and prioritized.  She did comment on the impression that there is an overabundance of resources supporting the Tax area in particular.  She offered that the business was allowed to direct the work and ITRs were started and stopped based on business directives, so things were not getting done.  Dolaine is now involved as the Demand Manager and this has improved.  She suggested there may be too many resources allocated to the Tax application.</t>
  </si>
  <si>
    <t>Answered neutral because she has not yet needed to influence the resource allocations, so she does not know if she will be able to influence it.</t>
  </si>
  <si>
    <t>Joke about Day 2 never happening, but understands the prioritization process.</t>
  </si>
  <si>
    <t>She beleives that Machael Heise has the direct contact with IT.  She says that she has gotten everything she has needed from IT.  She has not yet needed to influence the resource allocation.</t>
  </si>
  <si>
    <t>Gail answered agree, but said it was swayed toward the neutral side because the information she gets from IT is filtered through Machael Heise.  She is satisfied with the information she gets from Machael from IT.  It is timely and she gets more information when she asks for it.</t>
  </si>
  <si>
    <t>Gail is only directly touched right now by the Inforce Work Management project.  She acknowledges that the PMO is working hard to keep both side (IT and the busines) in sync.  She feels the process is going well and everyone involved is working hard.</t>
  </si>
  <si>
    <t>Would like to incorporate a Reputational Risk factor into the Business Case scenario for the PMO Business Case justification process.</t>
  </si>
  <si>
    <t>Are there pervasive problems in the applications?  He does not feel that there are, but he hears about all the ITRs that are written.  Mike feels that the ITRs mean the process is working and they have the necessary balance and controls in place to ensure that there are not pervasive problems in the applications.</t>
  </si>
  <si>
    <t>What is the system development life cycle that is followed in the IT area?  Is there a clear defined process that is followed?</t>
  </si>
  <si>
    <t>Mike does not sponsor projects for Product Admin</t>
  </si>
  <si>
    <t>PPT is taking up a lot of eBusiness’s resources.</t>
  </si>
  <si>
    <t>IT is getting a system down for sharing resources.</t>
  </si>
  <si>
    <t>The business chooses to allocate a lot of resources to projects.</t>
  </si>
  <si>
    <t>It is hard to get things done on IPD Workflow.</t>
  </si>
  <si>
    <t>Out-sourcing helped.  I’ve only been able to observe second-hand recently and I don’t have a lot of confidence.</t>
  </si>
  <si>
    <t>The Annual Statement project was my best experience ever working with IT.  Document Management needs an overhaul.  I’m skeptical of “improvements” that have been made.</t>
  </si>
  <si>
    <t>On the Document Management team, specific issues are addressed.  Personnel issues (low performers) are not actively managed.  There are enough low performers on the Document Management team, that some of them end up working on important projects.</t>
  </si>
  <si>
    <t>Alyce Peterson</t>
  </si>
  <si>
    <t>Level of service has improved over the last 18-24 months</t>
  </si>
  <si>
    <t>There are still technology things IT knows that are not communicated (e.g. Vista).  IT's approach is to shelter the business until pros and cons have been worked out and collaboration opportunities are missed.</t>
  </si>
  <si>
    <t>Lifeline needs more support and there are no resources to work on it.    Concerns on Navigator:  many features are needed but conflicts with 2001 CSO.  Concerned that Navigator will lose its competitiveness in the eyes of Market Metrics.</t>
  </si>
  <si>
    <t>Tim Shaheen</t>
  </si>
  <si>
    <t>Working with Viewpoint team is like working with my own team.</t>
  </si>
  <si>
    <t>Has improved over time.  Need more experience with IT Ops to make this a Strongly Agree.</t>
  </si>
  <si>
    <t>I need IT to come to me with innovative ideas, like when Stan and Daphne provided with daily M&amp;P.  Karen Hayden does this as well.  Please do more of this.</t>
  </si>
  <si>
    <t>Had a good year working with IT.  Would like it to get even better.</t>
  </si>
  <si>
    <t>Alan Wuest</t>
  </si>
  <si>
    <t>IT Service resource allocations were unclear, especially with Doc Mgmt, but has improved.  Nedra does a good job with communicating allocations for Workflow.</t>
  </si>
  <si>
    <t>Neutral because my area gets caught in the middle between IT and Product Design.  Relationships exist that don't work well with these two areas.  The right things are said but not done.</t>
  </si>
  <si>
    <t>Getting what I need.  Could be more proactive.  Bill Martineau is proactive, others are not.</t>
  </si>
  <si>
    <t>Exception is Captiva.  Root cause is Workflow team just not knowing what is happening with that application.</t>
  </si>
  <si>
    <t>Exception is Captiva.  Captiva has improved, but in my opinion only because of Dennis Barry digging in and managing issues.</t>
  </si>
  <si>
    <t>In most cases this is true.  iPay and Tax may be overstaffed.  Unclear what the analysts on the Workflow team are doing.  Testing for doc center has had to be staffed with my resources in the past, Lisa Welcher has abused this.</t>
  </si>
  <si>
    <t>Feels better than 6 months ago.</t>
  </si>
  <si>
    <t>Better working relationships are needed between IT and Product Design, tired of having to be the "referee".  Move on and ignore the past history.</t>
  </si>
  <si>
    <t>Alice Terlecky</t>
  </si>
  <si>
    <t>Can't get enhancements in quick enough.  Deployments need to be more frequent.  Break work into smaller pieces.    Quarterly deployments now - - want to go to MONTHLY.</t>
  </si>
  <si>
    <t>Weekly status reports are very helpful.</t>
  </si>
  <si>
    <t>Can give input, but IT determines who and how many to assign.</t>
  </si>
  <si>
    <t>Have seen an improvement in the last few months on seeing more options.</t>
  </si>
  <si>
    <t>Monthly status is good.</t>
  </si>
  <si>
    <t>Aaron Bui is great - very responsive.</t>
  </si>
  <si>
    <t>Keep up with the on-going communications.    Really like having options presented.</t>
  </si>
  <si>
    <t>The workflow team is pulled in too many different directions.</t>
  </si>
  <si>
    <t>Partner Survey</t>
  </si>
  <si>
    <t>Daragh O'Sullivan
 -- IT-Sales</t>
  </si>
  <si>
    <t>Daragh O'Sullivan
 -- IT-Product Admin</t>
  </si>
  <si>
    <t>Daragh O'Sullivan
 -- IT-Service</t>
  </si>
  <si>
    <t>Stephanie Babkow
 -- eBusiness</t>
  </si>
  <si>
    <t>Stephanie Babkow
 -- Workflow</t>
  </si>
  <si>
    <t>Stephanie Babkow
 -- IT-Service</t>
  </si>
  <si>
    <t>Mike Wauters
 -- IT Producer</t>
  </si>
  <si>
    <t>Mike Wauters
 -- IT Service</t>
  </si>
  <si>
    <t>Gail Cobin
 -- IT Service</t>
  </si>
  <si>
    <t>Gail Cobin
 -- IT Finance</t>
  </si>
  <si>
    <t>Mike Wauters
 -- Product Admin</t>
  </si>
  <si>
    <t>Overall IT</t>
  </si>
  <si>
    <t>Nancy Webb
 -- Overall IT</t>
  </si>
  <si>
    <t>IT Associates</t>
  </si>
  <si>
    <t>Business Sponsors</t>
  </si>
  <si>
    <t>Business Executives</t>
  </si>
  <si>
    <t>Result</t>
  </si>
  <si>
    <t>KRA</t>
  </si>
  <si>
    <t>Goal</t>
  </si>
  <si>
    <t>TE</t>
  </si>
  <si>
    <t>TE-G1</t>
  </si>
  <si>
    <t>ME</t>
  </si>
  <si>
    <t>IS-Q1</t>
  </si>
  <si>
    <t>The recognition I receive is appropriate for the contributions I make.</t>
  </si>
  <si>
    <t>CS</t>
  </si>
  <si>
    <t>CS-G1</t>
  </si>
  <si>
    <t>PE</t>
  </si>
  <si>
    <t>BS-Q1</t>
  </si>
  <si>
    <t>IT Took appropriate time to understand my problem or need before solving or meeting it.</t>
  </si>
  <si>
    <t>BA</t>
  </si>
  <si>
    <t>BA-G1</t>
  </si>
  <si>
    <t>AL</t>
  </si>
  <si>
    <t>PS-Q1</t>
  </si>
  <si>
    <t>IE</t>
  </si>
  <si>
    <t>IS-Q2</t>
  </si>
  <si>
    <t>I am aware of the options availabe to express my opinion and feel it is taken into account</t>
  </si>
  <si>
    <t>BS-Q2</t>
  </si>
  <si>
    <t>CO</t>
  </si>
  <si>
    <t>PS-Q2</t>
  </si>
  <si>
    <t>I understand the allocation of IT resources for my area and the projects I am sponsoring</t>
  </si>
  <si>
    <t>IS-Q3</t>
  </si>
  <si>
    <t>I am adequuately trained to do my job.</t>
  </si>
  <si>
    <t>QA</t>
  </si>
  <si>
    <t>BS-Q3</t>
  </si>
  <si>
    <t>The quality of the solutions by IT met my expectations.</t>
  </si>
  <si>
    <t>PS-Q3</t>
  </si>
  <si>
    <t>IS-Q4</t>
  </si>
  <si>
    <t>I feel I am adequatey trained to apply the LDM to my work.</t>
  </si>
  <si>
    <t>BS-Q4</t>
  </si>
  <si>
    <t>PS-Q4</t>
  </si>
  <si>
    <t>I feel the options presented for getting work done (e.g. Staffing, Budget, Scope, Timing, Use of New Technologies) enable me to make decisions.</t>
  </si>
  <si>
    <t>IS-Q5</t>
  </si>
  <si>
    <t>I have the tools, materials, and equipment to accomplish my job.</t>
  </si>
  <si>
    <t>BS-Q5</t>
  </si>
  <si>
    <t>OE</t>
  </si>
  <si>
    <t>OE-G2</t>
  </si>
  <si>
    <t>PS-Q5</t>
  </si>
  <si>
    <t>IS-Q6</t>
  </si>
  <si>
    <t>CS-G2</t>
  </si>
  <si>
    <t>TI</t>
  </si>
  <si>
    <t>BS-Q6</t>
  </si>
  <si>
    <t>VA</t>
  </si>
  <si>
    <t>PS-Q6</t>
  </si>
  <si>
    <t>IS-Q7</t>
  </si>
  <si>
    <t>I understand my customers and their expecations of me and my team.</t>
  </si>
  <si>
    <t>BS-Q7</t>
  </si>
  <si>
    <t>PS-Q7</t>
  </si>
  <si>
    <t>Overall, IT is managing their work well (people, issues, resourceful, good work management)</t>
  </si>
  <si>
    <t>TE-G3</t>
  </si>
  <si>
    <t>IS-Q8</t>
  </si>
  <si>
    <t>BS-Q8</t>
  </si>
  <si>
    <t>IT performed adequate research and perform effective and timely follow up when requested.</t>
  </si>
  <si>
    <t>BA-G3</t>
  </si>
  <si>
    <t>PS-Q8</t>
  </si>
  <si>
    <t>IS-Q9</t>
  </si>
  <si>
    <t>BS-Q9</t>
  </si>
  <si>
    <t>PS-Q9</t>
  </si>
  <si>
    <t>IS-Q10</t>
  </si>
  <si>
    <t>CO
VA</t>
  </si>
  <si>
    <t>BS-Q10</t>
  </si>
  <si>
    <t>IT staff members are knowledgeable about my business and the applications I depend on, and they understand the impact issues can have on my business.</t>
  </si>
  <si>
    <t>PS-Q10</t>
  </si>
  <si>
    <t>Are their any other comments you would like to provide?</t>
  </si>
  <si>
    <t>IS-Q11</t>
  </si>
  <si>
    <t>BS-Q11</t>
  </si>
  <si>
    <t>Overall, IT communicated adequate, clear, timey, and useful information to me.</t>
  </si>
  <si>
    <t>IS-Q12</t>
  </si>
  <si>
    <t>BS-Q12</t>
  </si>
  <si>
    <t>Overall, IT did a good job managing their resources and ensuring follow through on commitments.</t>
  </si>
  <si>
    <t>TE-G2</t>
  </si>
  <si>
    <t>IS-Q13</t>
  </si>
  <si>
    <t>BS-Q13</t>
  </si>
  <si>
    <t>IS-Q14</t>
  </si>
  <si>
    <t>The LDM enables me and my team to be more effective in the work we perform.</t>
  </si>
  <si>
    <t>BS-Q14</t>
  </si>
  <si>
    <t>IS-Q15</t>
  </si>
  <si>
    <t>My work products are regularly review by others.</t>
  </si>
  <si>
    <t>BS-Q15</t>
  </si>
  <si>
    <t>IS-Q16</t>
  </si>
  <si>
    <t>BS-Q16</t>
  </si>
  <si>
    <t>Please provide any additional comments you have.</t>
  </si>
  <si>
    <t>ME
TE</t>
  </si>
  <si>
    <t>IS-Q17</t>
  </si>
  <si>
    <t>I understand how my team's Scorecard is created and the impact I have on it.</t>
  </si>
  <si>
    <t>IS-Q18</t>
  </si>
  <si>
    <t>I feel other members of my team are working diligenty and effectively.</t>
  </si>
  <si>
    <t>IS-Q19</t>
  </si>
  <si>
    <t>I feel other IT teams are working diligenty and effectively.</t>
  </si>
  <si>
    <t>IS-Q20</t>
  </si>
  <si>
    <t>IS-Q21</t>
  </si>
  <si>
    <t>Life IT Objective</t>
  </si>
  <si>
    <t xml:space="preserve"> - Grow our Human Capital</t>
  </si>
  <si>
    <t>- Improve Organizational Effectiveness
- Deliver on-time with quality</t>
  </si>
  <si>
    <r>
      <t>We deliver on-time quality business technology solutions and support that cost effectively meets the objectives of the Life Division.</t>
    </r>
    <r>
      <rPr>
        <sz val="10"/>
        <rFont val="Arial"/>
        <family val="2"/>
      </rPr>
      <t xml:space="preserve">
- Enhance Customer Satisfaction
- Meet Service Level Agreements</t>
    </r>
  </si>
  <si>
    <t>We are are an integral part of the Life Division - working in unison to create competitive advantage</t>
  </si>
  <si>
    <t>Balanced Scorecard</t>
  </si>
  <si>
    <t>Learning and Growth</t>
  </si>
  <si>
    <t>Business Process</t>
  </si>
  <si>
    <t>Customer</t>
  </si>
  <si>
    <t>Financial</t>
  </si>
  <si>
    <t>People</t>
  </si>
  <si>
    <t>Customers / Results</t>
  </si>
  <si>
    <t>Business / Financial</t>
  </si>
  <si>
    <t>Team Excellence</t>
  </si>
  <si>
    <t>Operational Excellence</t>
  </si>
  <si>
    <t>Customer Satisfaction</t>
  </si>
  <si>
    <t>Business Alignment</t>
  </si>
  <si>
    <t>Developing and maintaining the necessary skills and human resources to accomplish the current and anticipated future needs of the organization
- Management Philosophy
- Line Management</t>
  </si>
  <si>
    <t>Developing and maintaining capabilities to plan and deliver to a budget on-time quality business technology solutions and support
- Work Management
- Work Delivery
- Architecture &amp; Operations
- Service &amp; Support</t>
  </si>
  <si>
    <t>Developing and maintaining satisfied customers and meeting our service level agreements with them.</t>
  </si>
  <si>
    <t>Developing governance, infrastructure, and technology capabilities that provide competitive advantage to the business.</t>
  </si>
  <si>
    <t>Goals</t>
  </si>
  <si>
    <t>Improve individual performance</t>
  </si>
  <si>
    <t>OE-G1</t>
  </si>
  <si>
    <t>Improve Solution planning
(Estimation: Effort, Schedule, Cost)</t>
  </si>
  <si>
    <t>Improve customer solution delivery satisfaction</t>
  </si>
  <si>
    <t>Align IT resources to business goals</t>
  </si>
  <si>
    <t>Improve team performance</t>
  </si>
  <si>
    <t>Improve Solution Delivery
(Needed Functionality, On time, with Quality, Increase defect containment, Reduce rework)</t>
  </si>
  <si>
    <t>Improve customer service and support satisfaction</t>
  </si>
  <si>
    <t>BA-G2</t>
  </si>
  <si>
    <t>Align IT strategy to business strategy</t>
  </si>
  <si>
    <t>Improve management effectiveness</t>
  </si>
  <si>
    <t>OE-G3</t>
  </si>
  <si>
    <t>Manage to budget</t>
  </si>
  <si>
    <t>CS-G3</t>
  </si>
  <si>
    <t>Meet Service Level Agreements</t>
  </si>
  <si>
    <t>Improve value for IT spend</t>
  </si>
  <si>
    <t>1H2006 Budget Variance</t>
  </si>
  <si>
    <t>IT Team</t>
  </si>
  <si>
    <t>Programming Services
 (Acct 246)</t>
  </si>
  <si>
    <t>SW
 (Acct 46)</t>
  </si>
  <si>
    <t>SW Maint
(Acct 243)</t>
  </si>
  <si>
    <t>Consulting
(Acct 34)</t>
  </si>
  <si>
    <t>Salaries
(Acct 10)</t>
  </si>
  <si>
    <t>Capital Expenses
(Acct 3880)</t>
  </si>
  <si>
    <t>IT Svc - 114</t>
  </si>
  <si>
    <t>IT Svc - 1361</t>
  </si>
  <si>
    <t>IT Svc - 1382</t>
  </si>
  <si>
    <t>Life IT TOTAL</t>
  </si>
  <si>
    <t>Year End 2006 Budget Variance</t>
  </si>
  <si>
    <t>IT</t>
  </si>
  <si>
    <t>* Had actuals but no budget in one or more accounts.</t>
  </si>
  <si>
    <t>Opened</t>
  </si>
  <si>
    <t>Closed</t>
  </si>
  <si>
    <t>Active</t>
  </si>
  <si>
    <t>IT-Operations</t>
  </si>
  <si>
    <t>IT-Producer</t>
  </si>
  <si>
    <t>IT-Producer CRM</t>
  </si>
  <si>
    <t>IT-Product Admin</t>
  </si>
  <si>
    <t>IT-Sales</t>
  </si>
  <si>
    <t>IT-Service</t>
  </si>
  <si>
    <t>Total</t>
  </si>
  <si>
    <t>Technical Services</t>
  </si>
  <si>
    <t>Projects</t>
  </si>
  <si>
    <t>Maintenance</t>
  </si>
  <si>
    <t>Non Release</t>
  </si>
  <si>
    <t>Totals</t>
  </si>
  <si>
    <t>Survey Rollup</t>
  </si>
  <si>
    <t>Partner Survey Data</t>
  </si>
  <si>
    <t>Business Survey Data</t>
  </si>
  <si>
    <t>Budget Variance Data</t>
  </si>
  <si>
    <t>ITR Data</t>
  </si>
  <si>
    <t>Team:</t>
  </si>
  <si>
    <t>Period:</t>
  </si>
  <si>
    <t>Scores</t>
  </si>
  <si>
    <t>Target</t>
  </si>
  <si>
    <t>Previous Score</t>
  </si>
  <si>
    <t>Trend</t>
  </si>
  <si>
    <t>Improve solution planning</t>
  </si>
  <si>
    <t>Improve solution delivery</t>
  </si>
  <si>
    <t>Improve customer service &amp; support satisfaction</t>
  </si>
  <si>
    <t>Meet service level agreements</t>
  </si>
  <si>
    <r>
      <t>2</t>
    </r>
    <r>
      <rPr>
        <sz val="10"/>
        <rFont val="Arial"/>
        <family val="2"/>
      </rPr>
      <t>Budget Variance:</t>
    </r>
  </si>
  <si>
    <r>
      <t>3</t>
    </r>
    <r>
      <rPr>
        <sz val="10"/>
        <rFont val="Arial"/>
        <family val="2"/>
      </rPr>
      <t>On-Time Delivery:</t>
    </r>
  </si>
  <si>
    <t>5 = Strongly Agree</t>
  </si>
  <si>
    <t>The ratio of actual account</t>
  </si>
  <si>
    <t>The ratio of actual duration to</t>
  </si>
  <si>
    <t>4 = Agree</t>
  </si>
  <si>
    <t>values to budgetted account</t>
  </si>
  <si>
    <t>committed duration</t>
  </si>
  <si>
    <t>3 = Neutral</t>
  </si>
  <si>
    <t>values in 6 key accounts, weighted</t>
  </si>
  <si>
    <t>from Analyze through Deploy,</t>
  </si>
  <si>
    <t>2 = Disagree</t>
  </si>
  <si>
    <t>by controllability considerations.</t>
  </si>
  <si>
    <t>averaged over all releases.</t>
  </si>
  <si>
    <t>1 = Strongly Disagree</t>
  </si>
  <si>
    <t>Work Processing Summary</t>
  </si>
  <si>
    <t>Help Desk Processing Summary</t>
  </si>
  <si>
    <r>
      <t xml:space="preserve">Total ITRs </t>
    </r>
    <r>
      <rPr>
        <b/>
        <i/>
        <sz val="9"/>
        <rFont val="Arial"/>
        <family val="2"/>
      </rPr>
      <t xml:space="preserve">OPENED </t>
    </r>
  </si>
  <si>
    <r>
      <t xml:space="preserve">Total ITRs </t>
    </r>
    <r>
      <rPr>
        <b/>
        <i/>
        <sz val="9"/>
        <rFont val="Arial"/>
        <family val="2"/>
      </rPr>
      <t xml:space="preserve">CLOSED </t>
    </r>
  </si>
  <si>
    <t>Cumulative Backlog</t>
  </si>
  <si>
    <t>Number of Calls Received</t>
  </si>
  <si>
    <t>Avg Call Duration</t>
  </si>
  <si>
    <t>Avg Call Wait Time</t>
  </si>
  <si>
    <t>Number of Cases Created</t>
  </si>
  <si>
    <t>Number of Cases Closed</t>
  </si>
  <si>
    <t>Programming Services</t>
  </si>
  <si>
    <t>Software</t>
  </si>
  <si>
    <t>Software Maintenance</t>
  </si>
  <si>
    <t>Consulting</t>
  </si>
  <si>
    <t>Salaries</t>
  </si>
  <si>
    <t>Surveys</t>
  </si>
  <si>
    <t>No Data</t>
  </si>
  <si>
    <t>Technology Office</t>
  </si>
  <si>
    <t>Scorecard V2</t>
  </si>
  <si>
    <t>SSI</t>
  </si>
  <si>
    <t>Warren Fox</t>
  </si>
  <si>
    <t>Lookups!$A$6:$B$18</t>
  </si>
  <si>
    <t>H2 2006</t>
  </si>
  <si>
    <t>Manage to Budget</t>
  </si>
  <si>
    <t>Capital Expenses</t>
  </si>
  <si>
    <r>
      <t>1</t>
    </r>
    <r>
      <rPr>
        <sz val="10"/>
        <rFont val="Arial"/>
        <family val="2"/>
      </rPr>
      <t xml:space="preserve"> Survey Scores:</t>
    </r>
  </si>
  <si>
    <t>Weighting</t>
  </si>
  <si>
    <t>Score</t>
  </si>
  <si>
    <t>Percentage</t>
  </si>
  <si>
    <t>Category</t>
  </si>
  <si>
    <t>Contribution</t>
  </si>
  <si>
    <t>Total Actual Release Days</t>
  </si>
  <si>
    <t>Total Scheduled Release Days</t>
  </si>
  <si>
    <t>Weighted Actual On Time Delivery</t>
  </si>
  <si>
    <t>Weighted Scheduled On Time Delivery</t>
  </si>
  <si>
    <t>On-Time %
(Scheduled Weighted)</t>
  </si>
  <si>
    <t>On-Time %
(Average)</t>
  </si>
  <si>
    <t xml:space="preserve">  0% &lt;= S &lt; 70%</t>
  </si>
  <si>
    <t>90% &lt;= S &lt; 95%</t>
  </si>
  <si>
    <t>95% &lt;= S &lt; 98%</t>
  </si>
  <si>
    <t>102% &lt;= S &lt; 105%</t>
  </si>
  <si>
    <t>105% &lt;= S &lt; 110%</t>
  </si>
  <si>
    <t>130% &lt;= S &lt; 10000%</t>
  </si>
  <si>
    <t>98% &lt;= S &lt; 100%</t>
  </si>
  <si>
    <t>100% &lt;= S &lt; 102%</t>
  </si>
  <si>
    <t>(Score for All IT)</t>
  </si>
  <si>
    <t>Average (All IT)</t>
  </si>
  <si>
    <t>Average (Team)</t>
  </si>
  <si>
    <t>Average Deviation (All IT)</t>
  </si>
  <si>
    <t>Average Deviation (Team)</t>
  </si>
  <si>
    <t>Budget Rollup</t>
  </si>
  <si>
    <t>Survey Mapping</t>
  </si>
  <si>
    <t>Nancy Webb</t>
  </si>
  <si>
    <t>Daragh O'Sullivan -- IT-Sales</t>
  </si>
  <si>
    <t>Daragh O'Sullivan -- IT-Product Admin</t>
  </si>
  <si>
    <t>Daragh O'Sullivan -- IT-Service</t>
  </si>
  <si>
    <t>Gail Cobin</t>
  </si>
  <si>
    <t>IT Finance Area Survey</t>
  </si>
  <si>
    <t>IT Service Survey</t>
  </si>
  <si>
    <t>IT Producer survey</t>
  </si>
  <si>
    <t>Product Admin Survey</t>
  </si>
  <si>
    <t>Stephanie Babkow -- eBusiness</t>
  </si>
  <si>
    <t>Stephanie Babkow -- Workflow</t>
  </si>
  <si>
    <t>Stephanie Babkow -- IT-Service</t>
  </si>
  <si>
    <t>Overall Average (Team)</t>
  </si>
  <si>
    <t>70% &lt;= S &lt; 80%</t>
  </si>
  <si>
    <t>80% &lt;= S &lt; 90%</t>
  </si>
  <si>
    <t>110% &lt;= S &lt; 120%</t>
  </si>
  <si>
    <t>120% &lt;= S &lt; 130%</t>
  </si>
  <si>
    <t>ViewPoint</t>
  </si>
  <si>
    <t>Total ITRs Opened</t>
  </si>
  <si>
    <t>Total ITRs Closed</t>
  </si>
  <si>
    <t>Work Processing</t>
  </si>
  <si>
    <t>Scorecard - Individual Team</t>
  </si>
  <si>
    <t>Scorecard - All Teams</t>
  </si>
  <si>
    <t>Lookups</t>
  </si>
  <si>
    <t>Partner Survey Data (2)</t>
  </si>
  <si>
    <t>Partner Survey Questions</t>
  </si>
  <si>
    <t>Business Survey Questions</t>
  </si>
  <si>
    <t>IT Survey Questions</t>
  </si>
  <si>
    <t>TrendAppDev</t>
  </si>
  <si>
    <t>The Team names below must match the list of Teams on the Teams worksheet</t>
  </si>
  <si>
    <t>StdDev</t>
  </si>
  <si>
    <t xml:space="preserve"> </t>
  </si>
  <si>
    <t>IT Survey - All Teams</t>
  </si>
  <si>
    <t>Business Survey - All Teams</t>
  </si>
  <si>
    <t>Partner Survey - All Teams</t>
  </si>
  <si>
    <t>Partner Survey Data (1)</t>
  </si>
  <si>
    <t>All Teams</t>
  </si>
</sst>
</file>

<file path=xl/styles.xml><?xml version="1.0" encoding="utf-8"?>
<styleSheet xmlns="http://schemas.openxmlformats.org/spreadsheetml/2006/main">
  <numFmts count="10">
    <numFmt numFmtId="164" formatCode="m/d/yy;@"/>
    <numFmt numFmtId="165" formatCode="m/d/yy"/>
    <numFmt numFmtId="166" formatCode="0.0"/>
    <numFmt numFmtId="167" formatCode="m/d/yyyy;@"/>
    <numFmt numFmtId="168" formatCode="mm/dd/yy;@"/>
    <numFmt numFmtId="169" formatCode="mm/dd/yyyy"/>
    <numFmt numFmtId="170" formatCode="[$-1010409]General"/>
    <numFmt numFmtId="172" formatCode="h:mm:ss;@"/>
    <numFmt numFmtId="173" formatCode="0.000"/>
    <numFmt numFmtId="174" formatCode="0.0%"/>
  </numFmts>
  <fonts count="55">
    <font>
      <sz val="10"/>
      <name val="Arial"/>
    </font>
    <font>
      <sz val="10"/>
      <name val="Arial"/>
      <family val="2"/>
    </font>
    <font>
      <sz val="8"/>
      <name val="Arial"/>
      <family val="2"/>
    </font>
    <font>
      <u/>
      <sz val="10"/>
      <color indexed="12"/>
      <name val="Arial"/>
      <family val="2"/>
    </font>
    <font>
      <b/>
      <sz val="10"/>
      <name val="Arial"/>
      <family val="2"/>
    </font>
    <font>
      <sz val="10"/>
      <name val="Arial"/>
      <family val="2"/>
    </font>
    <font>
      <sz val="8"/>
      <color indexed="81"/>
      <name val="Tahoma"/>
      <family val="2"/>
    </font>
    <font>
      <b/>
      <sz val="8"/>
      <color indexed="81"/>
      <name val="Tahoma"/>
      <family val="2"/>
    </font>
    <font>
      <b/>
      <u/>
      <sz val="12"/>
      <name val="Arial"/>
      <family val="2"/>
    </font>
    <font>
      <b/>
      <i/>
      <sz val="18"/>
      <name val="Arial"/>
      <family val="2"/>
    </font>
    <font>
      <sz val="18"/>
      <name val="Arial"/>
      <family val="2"/>
    </font>
    <font>
      <b/>
      <i/>
      <sz val="10"/>
      <color indexed="8"/>
      <name val="Arial"/>
      <family val="2"/>
    </font>
    <font>
      <b/>
      <i/>
      <sz val="12"/>
      <name val="Arial"/>
      <family val="2"/>
    </font>
    <font>
      <sz val="12"/>
      <name val="Arial"/>
      <family val="2"/>
    </font>
    <font>
      <u/>
      <sz val="10"/>
      <color indexed="12"/>
      <name val="Arial"/>
      <family val="2"/>
    </font>
    <font>
      <b/>
      <i/>
      <sz val="10"/>
      <name val="Arial"/>
      <family val="2"/>
    </font>
    <font>
      <i/>
      <sz val="10"/>
      <name val="Arial"/>
      <family val="2"/>
    </font>
    <font>
      <i/>
      <sz val="10"/>
      <color indexed="12"/>
      <name val="Arial"/>
      <family val="2"/>
    </font>
    <font>
      <b/>
      <sz val="10"/>
      <name val="Arial"/>
      <family val="2"/>
    </font>
    <font>
      <i/>
      <sz val="12"/>
      <name val="Arial"/>
      <family val="2"/>
    </font>
    <font>
      <sz val="10"/>
      <name val="Verdana"/>
      <family val="2"/>
    </font>
    <font>
      <sz val="10"/>
      <color indexed="43"/>
      <name val="Verdana"/>
      <family val="2"/>
    </font>
    <font>
      <u/>
      <sz val="10"/>
      <name val="Verdana"/>
      <family val="2"/>
    </font>
    <font>
      <b/>
      <i/>
      <sz val="14"/>
      <name val="Arial"/>
      <family val="2"/>
    </font>
    <font>
      <b/>
      <sz val="9"/>
      <name val="Arial"/>
      <family val="2"/>
    </font>
    <font>
      <b/>
      <i/>
      <sz val="7"/>
      <name val="Arial"/>
      <family val="2"/>
    </font>
    <font>
      <sz val="8"/>
      <color indexed="8"/>
      <name val="Arial"/>
      <family val="2"/>
    </font>
    <font>
      <sz val="10"/>
      <color indexed="43"/>
      <name val="Arial"/>
      <family val="2"/>
    </font>
    <font>
      <b/>
      <i/>
      <sz val="9"/>
      <name val="Arial"/>
      <family val="2"/>
    </font>
    <font>
      <strike/>
      <sz val="8"/>
      <name val="Arial"/>
      <family val="2"/>
    </font>
    <font>
      <sz val="8"/>
      <name val="Arial"/>
      <family val="2"/>
    </font>
    <font>
      <b/>
      <sz val="8"/>
      <name val="Arial"/>
      <family val="2"/>
    </font>
    <font>
      <i/>
      <sz val="8"/>
      <name val="Arial"/>
      <family val="2"/>
    </font>
    <font>
      <b/>
      <i/>
      <sz val="8"/>
      <name val="Arial"/>
      <family val="2"/>
    </font>
    <font>
      <b/>
      <sz val="10"/>
      <name val="Tahoma"/>
      <family val="2"/>
    </font>
    <font>
      <sz val="8"/>
      <color indexed="8"/>
      <name val="Arial"/>
      <family val="2"/>
    </font>
    <font>
      <sz val="16"/>
      <name val="Arial"/>
      <family val="2"/>
    </font>
    <font>
      <sz val="6"/>
      <name val="Arial"/>
      <family val="2"/>
    </font>
    <font>
      <sz val="6"/>
      <name val="Arial"/>
      <family val="2"/>
    </font>
    <font>
      <b/>
      <sz val="16"/>
      <name val="Arial"/>
      <family val="2"/>
    </font>
    <font>
      <b/>
      <sz val="12"/>
      <name val="Arial"/>
      <family val="2"/>
    </font>
    <font>
      <b/>
      <u/>
      <sz val="10"/>
      <name val="Arial"/>
      <family val="2"/>
    </font>
    <font>
      <b/>
      <sz val="10"/>
      <color indexed="10"/>
      <name val="Arial"/>
      <family val="2"/>
    </font>
    <font>
      <sz val="6.95"/>
      <color indexed="57"/>
      <name val="Arial"/>
      <family val="2"/>
    </font>
    <font>
      <sz val="6.95"/>
      <color indexed="8"/>
      <name val="Arial"/>
      <family val="2"/>
    </font>
    <font>
      <sz val="6.95"/>
      <color indexed="10"/>
      <name val="Arial"/>
      <family val="2"/>
    </font>
    <font>
      <sz val="9"/>
      <name val="Arial"/>
      <family val="2"/>
    </font>
    <font>
      <vertAlign val="superscript"/>
      <sz val="10"/>
      <name val="Arial"/>
      <family val="2"/>
    </font>
    <font>
      <b/>
      <u/>
      <sz val="10"/>
      <color indexed="12"/>
      <name val="Arial"/>
      <family val="2"/>
    </font>
    <font>
      <b/>
      <sz val="12"/>
      <color indexed="10"/>
      <name val="Arial"/>
      <family val="2"/>
    </font>
    <font>
      <sz val="10"/>
      <color indexed="57"/>
      <name val="Arial"/>
      <family val="2"/>
    </font>
    <font>
      <sz val="8"/>
      <color indexed="57"/>
      <name val="Arial"/>
      <family val="2"/>
    </font>
    <font>
      <sz val="10"/>
      <color indexed="10"/>
      <name val="Arial"/>
      <family val="2"/>
    </font>
    <font>
      <sz val="8"/>
      <color indexed="10"/>
      <name val="Arial"/>
      <family val="2"/>
    </font>
    <font>
      <b/>
      <sz val="12"/>
      <color indexed="57"/>
      <name val="Arial"/>
      <family val="2"/>
    </font>
  </fonts>
  <fills count="2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indexed="22"/>
        <bgColor indexed="64"/>
      </patternFill>
    </fill>
    <fill>
      <patternFill patternType="solid">
        <fgColor indexed="40"/>
        <bgColor indexed="64"/>
      </patternFill>
    </fill>
    <fill>
      <patternFill patternType="solid">
        <fgColor indexed="43"/>
        <bgColor indexed="64"/>
      </patternFill>
    </fill>
    <fill>
      <patternFill patternType="solid">
        <fgColor indexed="11"/>
        <bgColor indexed="64"/>
      </patternFill>
    </fill>
    <fill>
      <patternFill patternType="solid">
        <fgColor theme="0" tint="-0.14999847407452621"/>
        <bgColor indexed="64"/>
      </patternFill>
    </fill>
    <fill>
      <patternFill patternType="solid">
        <fgColor indexed="47"/>
        <bgColor indexed="64"/>
      </patternFill>
    </fill>
    <fill>
      <patternFill patternType="solid">
        <fgColor indexed="41"/>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FFFF00"/>
        <bgColor indexed="64"/>
      </patternFill>
    </fill>
    <fill>
      <patternFill patternType="solid">
        <fgColor rgb="FFCCCCFF"/>
        <bgColor indexed="64"/>
      </patternFill>
    </fill>
  </fills>
  <borders count="158">
    <border>
      <left/>
      <right/>
      <top/>
      <bottom/>
      <diagonal/>
    </border>
    <border>
      <left style="thin">
        <color indexed="64"/>
      </left>
      <right/>
      <top style="thin">
        <color indexed="64"/>
      </top>
      <bottom/>
      <diagonal/>
    </border>
    <border>
      <left/>
      <right/>
      <top style="thin">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right style="medium">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23"/>
      </left>
      <right style="medium">
        <color indexed="23"/>
      </right>
      <top/>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indexed="64"/>
      </right>
      <top/>
      <bottom style="thick">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medium">
        <color indexed="64"/>
      </bottom>
      <diagonal/>
    </border>
    <border>
      <left style="thick">
        <color indexed="64"/>
      </left>
      <right style="thin">
        <color indexed="64"/>
      </right>
      <top style="thick">
        <color indexed="64"/>
      </top>
      <bottom style="medium">
        <color indexed="64"/>
      </bottom>
      <diagonal/>
    </border>
    <border>
      <left style="thick">
        <color indexed="64"/>
      </left>
      <right style="medium">
        <color indexed="64"/>
      </right>
      <top/>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medium">
        <color indexed="64"/>
      </right>
      <top/>
      <bottom style="thick">
        <color indexed="64"/>
      </bottom>
      <diagonal/>
    </border>
    <border>
      <left style="medium">
        <color indexed="64"/>
      </left>
      <right style="thick">
        <color indexed="64"/>
      </right>
      <top style="medium">
        <color indexed="64"/>
      </top>
      <bottom/>
      <diagonal/>
    </border>
    <border>
      <left style="medium">
        <color indexed="64"/>
      </left>
      <right style="thick">
        <color indexed="64"/>
      </right>
      <top/>
      <bottom/>
      <diagonal/>
    </border>
    <border>
      <left style="medium">
        <color indexed="64"/>
      </left>
      <right style="thick">
        <color indexed="64"/>
      </right>
      <top/>
      <bottom style="thick">
        <color indexed="64"/>
      </bottom>
      <diagonal/>
    </border>
    <border>
      <left style="medium">
        <color auto="1"/>
      </left>
      <right/>
      <top style="medium">
        <color auto="1"/>
      </top>
      <bottom style="medium">
        <color indexed="8"/>
      </bottom>
      <diagonal/>
    </border>
    <border>
      <left/>
      <right/>
      <top style="medium">
        <color auto="1"/>
      </top>
      <bottom style="medium">
        <color indexed="8"/>
      </bottom>
      <diagonal/>
    </border>
    <border>
      <left/>
      <right style="medium">
        <color auto="1"/>
      </right>
      <top style="medium">
        <color auto="1"/>
      </top>
      <bottom style="medium">
        <color indexed="8"/>
      </bottom>
      <diagonal/>
    </border>
    <border>
      <left style="medium">
        <color indexed="64"/>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indexed="8"/>
      </top>
      <bottom style="medium">
        <color indexed="8"/>
      </bottom>
      <diagonal/>
    </border>
    <border>
      <left style="thin">
        <color auto="1"/>
      </left>
      <right style="thin">
        <color auto="1"/>
      </right>
      <top style="medium">
        <color indexed="8"/>
      </top>
      <bottom style="medium">
        <color indexed="8"/>
      </bottom>
      <diagonal/>
    </border>
    <border>
      <left style="thin">
        <color auto="1"/>
      </left>
      <right style="medium">
        <color indexed="64"/>
      </right>
      <top style="medium">
        <color indexed="8"/>
      </top>
      <bottom style="medium">
        <color indexed="8"/>
      </bottom>
      <diagonal/>
    </border>
    <border>
      <left style="medium">
        <color auto="1"/>
      </left>
      <right style="thin">
        <color auto="1"/>
      </right>
      <top/>
      <bottom/>
      <diagonal/>
    </border>
    <border>
      <left style="thin">
        <color auto="1"/>
      </left>
      <right style="medium">
        <color indexed="64"/>
      </right>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indexed="64"/>
      </right>
      <top/>
      <bottom style="medium">
        <color auto="1"/>
      </bottom>
      <diagonal/>
    </border>
    <border>
      <left style="thin">
        <color auto="1"/>
      </left>
      <right style="medium">
        <color indexed="64"/>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auto="1"/>
      </left>
      <right style="medium">
        <color indexed="8"/>
      </right>
      <top style="medium">
        <color indexed="8"/>
      </top>
      <bottom/>
      <diagonal/>
    </border>
    <border>
      <left style="medium">
        <color indexed="8"/>
      </left>
      <right style="medium">
        <color indexed="8"/>
      </right>
      <top style="medium">
        <color indexed="8"/>
      </top>
      <bottom/>
      <diagonal/>
    </border>
    <border>
      <left style="medium">
        <color indexed="8"/>
      </left>
      <right style="medium">
        <color auto="1"/>
      </right>
      <top style="medium">
        <color indexed="8"/>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medium">
        <color auto="1"/>
      </right>
      <top style="medium">
        <color indexed="64"/>
      </top>
      <bottom style="thin">
        <color auto="1"/>
      </bottom>
      <diagonal/>
    </border>
    <border>
      <left style="medium">
        <color indexed="64"/>
      </left>
      <right/>
      <top style="thick">
        <color indexed="64"/>
      </top>
      <bottom/>
      <diagonal/>
    </border>
    <border>
      <left style="medium">
        <color indexed="64"/>
      </left>
      <right style="medium">
        <color indexed="64"/>
      </right>
      <top style="thick">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medium">
        <color indexed="64"/>
      </bottom>
      <diagonal/>
    </border>
    <border>
      <left style="thick">
        <color indexed="64"/>
      </left>
      <right/>
      <top/>
      <bottom style="thick">
        <color indexed="64"/>
      </bottom>
      <diagonal/>
    </border>
    <border>
      <left style="medium">
        <color indexed="64"/>
      </left>
      <right/>
      <top/>
      <bottom style="thick">
        <color indexed="64"/>
      </bottom>
      <diagonal/>
    </border>
    <border>
      <left style="medium">
        <color indexed="64"/>
      </left>
      <right style="medium">
        <color indexed="64"/>
      </right>
      <top/>
      <bottom style="thick">
        <color indexed="64"/>
      </bottom>
      <diagonal/>
    </border>
    <border>
      <left/>
      <right style="thick">
        <color indexed="64"/>
      </right>
      <top style="thin">
        <color indexed="64"/>
      </top>
      <bottom style="thick">
        <color indexed="64"/>
      </bottom>
      <diagonal/>
    </border>
    <border>
      <left style="medium">
        <color indexed="64"/>
      </left>
      <right style="thick">
        <color indexed="64"/>
      </right>
      <top style="thick">
        <color indexed="64"/>
      </top>
      <bottom/>
      <diagonal/>
    </border>
    <border>
      <left style="medium">
        <color indexed="64"/>
      </left>
      <right style="thick">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medium">
        <color indexed="64"/>
      </bottom>
      <diagonal/>
    </border>
    <border>
      <left style="medium">
        <color indexed="64"/>
      </left>
      <right style="thick">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right style="medium">
        <color indexed="64"/>
      </right>
      <top style="thick">
        <color indexed="64"/>
      </top>
      <bottom/>
      <diagonal/>
    </border>
    <border>
      <left/>
      <right style="medium">
        <color indexed="64"/>
      </right>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thin">
        <color indexed="64"/>
      </top>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right style="thick">
        <color indexed="64"/>
      </right>
      <top style="medium">
        <color indexed="64"/>
      </top>
      <bottom style="thin">
        <color indexed="64"/>
      </bottom>
      <diagonal/>
    </border>
    <border>
      <left/>
      <right style="thick">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thick">
        <color indexed="64"/>
      </right>
      <top style="medium">
        <color indexed="64"/>
      </top>
      <bottom style="medium">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64"/>
      </left>
      <right style="thin">
        <color indexed="64"/>
      </right>
      <top style="medium">
        <color indexed="64"/>
      </top>
      <bottom style="thick">
        <color indexed="64"/>
      </bottom>
      <diagonal/>
    </border>
    <border>
      <left style="medium">
        <color indexed="64"/>
      </left>
      <right style="thin">
        <color indexed="64"/>
      </right>
      <top style="medium">
        <color indexed="64"/>
      </top>
      <bottom style="thick">
        <color indexed="64"/>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thick">
        <color indexed="64"/>
      </right>
      <top style="medium">
        <color indexed="64"/>
      </top>
      <bottom/>
      <diagonal/>
    </border>
  </borders>
  <cellStyleXfs count="6">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xf numFmtId="0" fontId="5" fillId="0" borderId="0">
      <alignment wrapText="1"/>
    </xf>
    <xf numFmtId="0" fontId="14" fillId="0" borderId="0" applyNumberFormat="0" applyFill="0" applyBorder="0" applyAlignment="0" applyProtection="0">
      <alignment vertical="top"/>
      <protection locked="0"/>
    </xf>
    <xf numFmtId="0" fontId="1" fillId="0" borderId="0"/>
  </cellStyleXfs>
  <cellXfs count="689">
    <xf numFmtId="0" fontId="0" fillId="0" borderId="0" xfId="0"/>
    <xf numFmtId="0" fontId="0" fillId="0" borderId="0" xfId="0" applyAlignment="1">
      <alignment wrapText="1"/>
    </xf>
    <xf numFmtId="0" fontId="0" fillId="0" borderId="0" xfId="0" applyAlignment="1">
      <alignment horizontal="center" wrapText="1"/>
    </xf>
    <xf numFmtId="0" fontId="0" fillId="0" borderId="0" xfId="0" applyAlignment="1">
      <alignment horizontal="center"/>
    </xf>
    <xf numFmtId="9" fontId="0" fillId="0" borderId="0" xfId="2" applyFont="1"/>
    <xf numFmtId="0" fontId="3" fillId="0" borderId="0" xfId="1" applyAlignment="1" applyProtection="1"/>
    <xf numFmtId="0" fontId="4" fillId="0" borderId="0" xfId="0" applyFont="1" applyAlignment="1">
      <alignment wrapText="1"/>
    </xf>
    <xf numFmtId="0" fontId="0" fillId="3" borderId="0" xfId="0" applyFill="1" applyProtection="1">
      <protection locked="0"/>
    </xf>
    <xf numFmtId="0" fontId="0" fillId="4" borderId="0" xfId="0" applyFill="1" applyProtection="1">
      <protection locked="0"/>
    </xf>
    <xf numFmtId="0" fontId="0" fillId="5" borderId="0" xfId="0" applyFill="1" applyProtection="1">
      <protection locked="0"/>
    </xf>
    <xf numFmtId="0" fontId="0" fillId="6" borderId="0" xfId="0" applyFill="1" applyAlignment="1" applyProtection="1">
      <alignment horizontal="center" wrapText="1"/>
      <protection locked="0"/>
    </xf>
    <xf numFmtId="0" fontId="0" fillId="6" borderId="0" xfId="0" applyFill="1" applyAlignment="1" applyProtection="1">
      <alignment horizontal="center"/>
      <protection locked="0"/>
    </xf>
    <xf numFmtId="0" fontId="8" fillId="0" borderId="0" xfId="0" applyFont="1" applyAlignment="1">
      <alignment wrapText="1"/>
    </xf>
    <xf numFmtId="0" fontId="0" fillId="7" borderId="0" xfId="0" applyFill="1" applyProtection="1">
      <protection locked="0"/>
    </xf>
    <xf numFmtId="0" fontId="5" fillId="7" borderId="0" xfId="0" applyFont="1" applyFill="1" applyProtection="1">
      <protection locked="0"/>
    </xf>
    <xf numFmtId="0" fontId="5" fillId="0" borderId="0" xfId="0" applyFont="1" applyFill="1"/>
    <xf numFmtId="0" fontId="5" fillId="0" borderId="0" xfId="0" applyFont="1"/>
    <xf numFmtId="0" fontId="15" fillId="8" borderId="9" xfId="0" applyFont="1" applyFill="1" applyBorder="1" applyAlignment="1">
      <alignment horizontal="center" vertical="center" wrapText="1"/>
    </xf>
    <xf numFmtId="0" fontId="15" fillId="8" borderId="10" xfId="0" applyFont="1" applyFill="1" applyBorder="1" applyAlignment="1">
      <alignment horizontal="center" vertical="center" wrapText="1"/>
    </xf>
    <xf numFmtId="15" fontId="15" fillId="8" borderId="9" xfId="0" applyNumberFormat="1" applyFont="1" applyFill="1" applyBorder="1" applyAlignment="1">
      <alignment horizontal="center" vertical="center" wrapText="1"/>
    </xf>
    <xf numFmtId="164" fontId="15" fillId="8" borderId="9" xfId="0" applyNumberFormat="1" applyFont="1" applyFill="1" applyBorder="1" applyAlignment="1">
      <alignment horizontal="center" vertical="center" wrapText="1"/>
    </xf>
    <xf numFmtId="0" fontId="16" fillId="9" borderId="9" xfId="0" applyFont="1" applyFill="1" applyBorder="1" applyAlignment="1">
      <alignment horizontal="center" vertical="center"/>
    </xf>
    <xf numFmtId="0" fontId="4" fillId="0" borderId="9" xfId="0" applyFont="1" applyFill="1" applyBorder="1" applyAlignment="1">
      <alignment horizontal="left" vertical="top" wrapText="1"/>
    </xf>
    <xf numFmtId="165" fontId="5" fillId="0" borderId="9" xfId="0" applyNumberFormat="1" applyFont="1" applyFill="1" applyBorder="1" applyAlignment="1">
      <alignment horizontal="center" vertical="top"/>
    </xf>
    <xf numFmtId="0" fontId="16" fillId="9" borderId="11" xfId="0" applyFont="1" applyFill="1" applyBorder="1" applyAlignment="1">
      <alignment horizontal="center" vertical="center"/>
    </xf>
    <xf numFmtId="0" fontId="5" fillId="0" borderId="9" xfId="0" applyFont="1" applyBorder="1" applyAlignment="1">
      <alignment vertical="top" wrapText="1"/>
    </xf>
    <xf numFmtId="164" fontId="5" fillId="0" borderId="9" xfId="0" applyNumberFormat="1" applyFont="1" applyFill="1" applyBorder="1" applyAlignment="1">
      <alignment horizontal="center" vertical="top" wrapText="1"/>
    </xf>
    <xf numFmtId="165" fontId="5" fillId="0" borderId="9" xfId="0" applyNumberFormat="1" applyFont="1" applyBorder="1" applyAlignment="1">
      <alignment horizontal="center" vertical="top"/>
    </xf>
    <xf numFmtId="0" fontId="5" fillId="0" borderId="9" xfId="0" applyFont="1" applyBorder="1" applyAlignment="1">
      <alignment horizontal="left" vertical="top" wrapText="1"/>
    </xf>
    <xf numFmtId="0" fontId="16" fillId="0" borderId="11" xfId="0" applyFont="1" applyFill="1" applyBorder="1" applyAlignment="1">
      <alignment horizontal="center" vertical="center"/>
    </xf>
    <xf numFmtId="0" fontId="17" fillId="0" borderId="9" xfId="0" applyFont="1" applyFill="1" applyBorder="1" applyAlignment="1">
      <alignment vertical="top" wrapText="1"/>
    </xf>
    <xf numFmtId="0" fontId="16" fillId="0" borderId="9" xfId="0" applyFont="1" applyFill="1" applyBorder="1" applyAlignment="1">
      <alignment horizontal="center" vertical="center"/>
    </xf>
    <xf numFmtId="0" fontId="18" fillId="0" borderId="12" xfId="0" applyFont="1" applyBorder="1" applyAlignment="1">
      <alignment horizontal="left" vertical="top" wrapText="1"/>
    </xf>
    <xf numFmtId="0" fontId="4" fillId="0" borderId="12" xfId="0" applyFont="1" applyFill="1" applyBorder="1" applyAlignment="1">
      <alignment horizontal="left" vertical="top" wrapText="1"/>
    </xf>
    <xf numFmtId="9" fontId="0" fillId="0" borderId="0" xfId="0" applyNumberFormat="1"/>
    <xf numFmtId="0" fontId="8" fillId="0" borderId="0" xfId="0" applyFont="1" applyAlignment="1">
      <alignment horizontal="center" wrapText="1"/>
    </xf>
    <xf numFmtId="0" fontId="0" fillId="0" borderId="0" xfId="0" applyBorder="1"/>
    <xf numFmtId="166" fontId="0" fillId="0" borderId="0" xfId="0" applyNumberFormat="1"/>
    <xf numFmtId="166" fontId="0" fillId="0" borderId="0" xfId="0" applyNumberFormat="1" applyAlignment="1">
      <alignment wrapText="1"/>
    </xf>
    <xf numFmtId="0" fontId="0" fillId="0" borderId="0" xfId="0" applyBorder="1" applyAlignment="1">
      <alignment wrapText="1"/>
    </xf>
    <xf numFmtId="0" fontId="0" fillId="0" borderId="0" xfId="0"/>
    <xf numFmtId="0" fontId="0" fillId="0" borderId="0" xfId="0"/>
    <xf numFmtId="0" fontId="0" fillId="0" borderId="0" xfId="0"/>
    <xf numFmtId="0" fontId="5" fillId="0" borderId="9" xfId="0" applyFont="1" applyFill="1" applyBorder="1" applyAlignment="1">
      <alignment vertical="top" wrapText="1"/>
    </xf>
    <xf numFmtId="164" fontId="5" fillId="0" borderId="9" xfId="0" applyNumberFormat="1" applyFont="1" applyFill="1" applyBorder="1" applyAlignment="1">
      <alignment horizontal="left" vertical="top" wrapText="1"/>
    </xf>
    <xf numFmtId="0" fontId="20" fillId="8" borderId="1" xfId="0" applyFont="1" applyFill="1" applyBorder="1"/>
    <xf numFmtId="0" fontId="20" fillId="8" borderId="2" xfId="0" applyFont="1" applyFill="1" applyBorder="1" applyAlignment="1">
      <alignment horizontal="centerContinuous" wrapText="1"/>
    </xf>
    <xf numFmtId="0" fontId="20" fillId="8" borderId="2" xfId="0" applyFont="1" applyFill="1" applyBorder="1" applyAlignment="1">
      <alignment horizontal="centerContinuous"/>
    </xf>
    <xf numFmtId="14" fontId="20" fillId="8" borderId="2" xfId="0" applyNumberFormat="1" applyFont="1" applyFill="1" applyBorder="1" applyAlignment="1">
      <alignment horizontal="centerContinuous"/>
    </xf>
    <xf numFmtId="0" fontId="20" fillId="8" borderId="2" xfId="0" applyFont="1" applyFill="1" applyBorder="1" applyAlignment="1">
      <alignment horizontal="center" wrapText="1"/>
    </xf>
    <xf numFmtId="0" fontId="20" fillId="8" borderId="14" xfId="0" applyFont="1" applyFill="1" applyBorder="1" applyAlignment="1">
      <alignment horizontal="centerContinuous"/>
    </xf>
    <xf numFmtId="0" fontId="20" fillId="0" borderId="0" xfId="0" applyFont="1" applyFill="1"/>
    <xf numFmtId="14" fontId="21" fillId="8" borderId="5" xfId="0" applyNumberFormat="1" applyFont="1" applyFill="1" applyBorder="1"/>
    <xf numFmtId="0" fontId="20" fillId="8" borderId="0" xfId="0" applyFont="1" applyFill="1" applyBorder="1" applyAlignment="1">
      <alignment horizontal="centerContinuous" vertical="center" wrapText="1"/>
    </xf>
    <xf numFmtId="0" fontId="20" fillId="8" borderId="0" xfId="0" applyFont="1" applyFill="1" applyBorder="1" applyAlignment="1">
      <alignment horizontal="centerContinuous" vertical="center"/>
    </xf>
    <xf numFmtId="14" fontId="20" fillId="8" borderId="0" xfId="0" applyNumberFormat="1" applyFont="1" applyFill="1" applyBorder="1" applyAlignment="1">
      <alignment horizontal="centerContinuous" vertical="center"/>
    </xf>
    <xf numFmtId="0" fontId="20" fillId="8" borderId="0" xfId="0" applyFont="1" applyFill="1" applyBorder="1" applyAlignment="1">
      <alignment horizontal="center" vertical="center" wrapText="1"/>
    </xf>
    <xf numFmtId="0" fontId="20" fillId="8" borderId="15" xfId="0" applyFont="1" applyFill="1" applyBorder="1" applyAlignment="1">
      <alignment horizontal="centerContinuous" vertical="center"/>
    </xf>
    <xf numFmtId="0" fontId="20" fillId="0" borderId="0" xfId="0" applyFont="1"/>
    <xf numFmtId="14" fontId="20" fillId="8" borderId="7" xfId="0" applyNumberFormat="1" applyFont="1" applyFill="1" applyBorder="1" applyAlignment="1">
      <alignment horizontal="centerContinuous" vertical="center" wrapText="1"/>
    </xf>
    <xf numFmtId="0" fontId="20" fillId="8" borderId="8" xfId="0" applyFont="1" applyFill="1" applyBorder="1" applyAlignment="1">
      <alignment horizontal="centerContinuous" vertical="center"/>
    </xf>
    <xf numFmtId="14" fontId="20" fillId="8" borderId="8" xfId="0" applyNumberFormat="1" applyFont="1" applyFill="1" applyBorder="1" applyAlignment="1">
      <alignment horizontal="centerContinuous" vertical="center"/>
    </xf>
    <xf numFmtId="0" fontId="20" fillId="8" borderId="8" xfId="0" applyFont="1" applyFill="1" applyBorder="1" applyAlignment="1">
      <alignment horizontal="center" vertical="center" wrapText="1"/>
    </xf>
    <xf numFmtId="0" fontId="20" fillId="8" borderId="13" xfId="0" applyFont="1" applyFill="1" applyBorder="1" applyAlignment="1">
      <alignment horizontal="centerContinuous" vertical="center"/>
    </xf>
    <xf numFmtId="0" fontId="20" fillId="8" borderId="9" xfId="0" applyFont="1" applyFill="1" applyBorder="1" applyAlignment="1">
      <alignment horizontal="center" vertical="center" wrapText="1"/>
    </xf>
    <xf numFmtId="15" fontId="20" fillId="8" borderId="9" xfId="0" applyNumberFormat="1" applyFont="1" applyFill="1" applyBorder="1" applyAlignment="1">
      <alignment horizontal="center" vertical="center" wrapText="1"/>
    </xf>
    <xf numFmtId="14" fontId="20" fillId="8" borderId="9" xfId="0" applyNumberFormat="1" applyFont="1" applyFill="1" applyBorder="1" applyAlignment="1">
      <alignment horizontal="center" vertical="center" wrapText="1"/>
    </xf>
    <xf numFmtId="0" fontId="20" fillId="0" borderId="9" xfId="0" applyFont="1" applyBorder="1" applyAlignment="1">
      <alignment horizontal="center" vertical="center" wrapText="1"/>
    </xf>
    <xf numFmtId="14" fontId="20" fillId="0" borderId="9" xfId="0" applyNumberFormat="1" applyFont="1" applyBorder="1" applyAlignment="1">
      <alignment horizontal="center" vertical="top" wrapText="1"/>
    </xf>
    <xf numFmtId="0" fontId="20" fillId="0" borderId="9" xfId="0" applyFont="1" applyBorder="1" applyAlignment="1">
      <alignment horizontal="left" vertical="top" wrapText="1"/>
    </xf>
    <xf numFmtId="14" fontId="20" fillId="0" borderId="9" xfId="0" applyNumberFormat="1" applyFont="1" applyFill="1" applyBorder="1" applyAlignment="1">
      <alignment horizontal="center" vertical="top" wrapText="1"/>
    </xf>
    <xf numFmtId="0" fontId="20" fillId="0" borderId="9" xfId="0" applyNumberFormat="1" applyFont="1" applyBorder="1" applyAlignment="1">
      <alignment horizontal="left" vertical="top" wrapText="1"/>
    </xf>
    <xf numFmtId="0" fontId="22" fillId="0" borderId="9" xfId="0" applyFont="1" applyBorder="1" applyAlignment="1">
      <alignment horizontal="left" vertical="top" wrapText="1"/>
    </xf>
    <xf numFmtId="14" fontId="20" fillId="0" borderId="9" xfId="0" quotePrefix="1" applyNumberFormat="1" applyFont="1" applyFill="1" applyBorder="1" applyAlignment="1">
      <alignment horizontal="center" vertical="top" wrapText="1"/>
    </xf>
    <xf numFmtId="14" fontId="20" fillId="0" borderId="9" xfId="0" quotePrefix="1" applyNumberFormat="1" applyFont="1" applyBorder="1" applyAlignment="1">
      <alignment horizontal="center" vertical="top" wrapText="1"/>
    </xf>
    <xf numFmtId="9" fontId="20" fillId="8" borderId="2" xfId="0" applyNumberFormat="1" applyFont="1" applyFill="1" applyBorder="1" applyAlignment="1">
      <alignment horizontal="centerContinuous"/>
    </xf>
    <xf numFmtId="9" fontId="20" fillId="8" borderId="0" xfId="0" applyNumberFormat="1" applyFont="1" applyFill="1" applyBorder="1" applyAlignment="1">
      <alignment horizontal="centerContinuous" vertical="center"/>
    </xf>
    <xf numFmtId="9" fontId="20" fillId="8" borderId="8" xfId="0" applyNumberFormat="1" applyFont="1" applyFill="1" applyBorder="1" applyAlignment="1">
      <alignment horizontal="centerContinuous" vertical="center"/>
    </xf>
    <xf numFmtId="0" fontId="25" fillId="8" borderId="9" xfId="0" applyFont="1" applyFill="1" applyBorder="1" applyAlignment="1">
      <alignment horizontal="center" vertical="center" wrapText="1"/>
    </xf>
    <xf numFmtId="15" fontId="25" fillId="8" borderId="9" xfId="0" applyNumberFormat="1" applyFont="1" applyFill="1" applyBorder="1" applyAlignment="1">
      <alignment horizontal="center" vertical="center" wrapText="1"/>
    </xf>
    <xf numFmtId="0" fontId="5" fillId="0" borderId="9" xfId="0" applyFont="1" applyFill="1" applyBorder="1" applyAlignment="1">
      <alignment horizontal="center" vertical="center" wrapText="1"/>
    </xf>
    <xf numFmtId="14" fontId="5" fillId="0" borderId="9" xfId="0" applyNumberFormat="1" applyFont="1" applyFill="1" applyBorder="1" applyAlignment="1">
      <alignment horizontal="center" vertical="center" wrapText="1"/>
    </xf>
    <xf numFmtId="0" fontId="2" fillId="0" borderId="9" xfId="0" applyFont="1" applyBorder="1" applyAlignment="1">
      <alignment vertical="top" wrapText="1"/>
    </xf>
    <xf numFmtId="0" fontId="2" fillId="0" borderId="9" xfId="0" applyFont="1" applyBorder="1" applyAlignment="1">
      <alignment horizontal="center" vertical="center" wrapText="1"/>
    </xf>
    <xf numFmtId="0" fontId="26" fillId="0" borderId="9" xfId="0" applyFont="1" applyBorder="1" applyAlignment="1">
      <alignment vertical="top" wrapText="1"/>
    </xf>
    <xf numFmtId="0" fontId="0" fillId="8" borderId="1" xfId="0" applyFill="1" applyBorder="1"/>
    <xf numFmtId="0" fontId="23" fillId="8" borderId="2" xfId="0" applyFont="1" applyFill="1" applyBorder="1" applyAlignment="1">
      <alignment horizontal="centerContinuous" wrapText="1"/>
    </xf>
    <xf numFmtId="0" fontId="16" fillId="8" borderId="2" xfId="0" applyFont="1" applyFill="1" applyBorder="1" applyAlignment="1">
      <alignment horizontal="centerContinuous"/>
    </xf>
    <xf numFmtId="0" fontId="16" fillId="8" borderId="2" xfId="0" applyFont="1" applyFill="1" applyBorder="1" applyAlignment="1">
      <alignment horizontal="centerContinuous" wrapText="1"/>
    </xf>
    <xf numFmtId="0" fontId="16" fillId="8" borderId="14" xfId="0" applyFont="1" applyFill="1" applyBorder="1" applyAlignment="1">
      <alignment horizontal="centerContinuous"/>
    </xf>
    <xf numFmtId="0" fontId="0" fillId="0" borderId="0" xfId="0" applyFill="1"/>
    <xf numFmtId="14" fontId="27" fillId="8" borderId="5" xfId="0" applyNumberFormat="1" applyFont="1" applyFill="1" applyBorder="1"/>
    <xf numFmtId="0" fontId="15" fillId="8" borderId="0" xfId="0" applyFont="1" applyFill="1" applyBorder="1" applyAlignment="1">
      <alignment horizontal="centerContinuous" vertical="center" wrapText="1"/>
    </xf>
    <xf numFmtId="0" fontId="0" fillId="8" borderId="0" xfId="0" applyFill="1" applyBorder="1" applyAlignment="1">
      <alignment horizontal="centerContinuous" vertical="center"/>
    </xf>
    <xf numFmtId="0" fontId="0" fillId="8" borderId="0" xfId="0" applyFill="1" applyBorder="1" applyAlignment="1">
      <alignment horizontal="centerContinuous" vertical="center" wrapText="1"/>
    </xf>
    <xf numFmtId="0" fontId="0" fillId="8" borderId="15" xfId="0" applyFill="1" applyBorder="1" applyAlignment="1">
      <alignment horizontal="centerContinuous" vertical="center"/>
    </xf>
    <xf numFmtId="14" fontId="15" fillId="8" borderId="7" xfId="0" applyNumberFormat="1" applyFont="1" applyFill="1" applyBorder="1" applyAlignment="1">
      <alignment horizontal="centerContinuous" vertical="center" wrapText="1"/>
    </xf>
    <xf numFmtId="0" fontId="15" fillId="8" borderId="8" xfId="0" applyFont="1" applyFill="1" applyBorder="1" applyAlignment="1">
      <alignment horizontal="centerContinuous" vertical="center" wrapText="1"/>
    </xf>
    <xf numFmtId="0" fontId="0" fillId="8" borderId="8" xfId="0" applyFill="1" applyBorder="1" applyAlignment="1">
      <alignment horizontal="centerContinuous" vertical="center"/>
    </xf>
    <xf numFmtId="0" fontId="0" fillId="8" borderId="8" xfId="0" applyFill="1" applyBorder="1" applyAlignment="1">
      <alignment horizontal="centerContinuous" vertical="center" wrapText="1"/>
    </xf>
    <xf numFmtId="0" fontId="0" fillId="8" borderId="13" xfId="0" applyFill="1" applyBorder="1" applyAlignment="1">
      <alignment horizontal="centerContinuous" vertical="center"/>
    </xf>
    <xf numFmtId="0" fontId="28" fillId="8" borderId="9" xfId="0" applyFont="1" applyFill="1" applyBorder="1" applyAlignment="1">
      <alignment horizontal="center" vertical="center" wrapText="1"/>
    </xf>
    <xf numFmtId="0" fontId="28" fillId="8" borderId="10" xfId="0" applyFont="1" applyFill="1" applyBorder="1" applyAlignment="1">
      <alignment horizontal="center" vertical="center" wrapText="1"/>
    </xf>
    <xf numFmtId="15" fontId="28" fillId="8" borderId="9" xfId="0" applyNumberFormat="1" applyFont="1" applyFill="1" applyBorder="1" applyAlignment="1">
      <alignment horizontal="center" vertical="center" wrapText="1"/>
    </xf>
    <xf numFmtId="0" fontId="19" fillId="0" borderId="9" xfId="0" applyFont="1" applyBorder="1" applyAlignment="1">
      <alignment horizontal="center" vertical="center"/>
    </xf>
    <xf numFmtId="0" fontId="2" fillId="0" borderId="9" xfId="0" applyNumberFormat="1" applyFont="1" applyBorder="1" applyAlignment="1">
      <alignment horizontal="left" vertical="top" wrapText="1"/>
    </xf>
    <xf numFmtId="167" fontId="2" fillId="0" borderId="9" xfId="0" applyNumberFormat="1" applyFont="1" applyBorder="1" applyAlignment="1">
      <alignment horizontal="center" vertical="top"/>
    </xf>
    <xf numFmtId="0" fontId="2" fillId="0" borderId="9" xfId="0" applyFont="1" applyBorder="1" applyAlignment="1">
      <alignment horizontal="left" vertical="top" wrapText="1"/>
    </xf>
    <xf numFmtId="165" fontId="2" fillId="0" borderId="9" xfId="0" applyNumberFormat="1" applyFont="1" applyBorder="1" applyAlignment="1">
      <alignment horizontal="center" vertical="top"/>
    </xf>
    <xf numFmtId="0" fontId="29" fillId="0" borderId="9" xfId="0" applyFont="1" applyBorder="1" applyAlignment="1">
      <alignment horizontal="left" vertical="top" wrapText="1"/>
    </xf>
    <xf numFmtId="0" fontId="5" fillId="0" borderId="9" xfId="0" applyFont="1" applyBorder="1" applyAlignment="1">
      <alignment wrapText="1"/>
    </xf>
    <xf numFmtId="167" fontId="2" fillId="0" borderId="9" xfId="0" applyNumberFormat="1" applyFont="1" applyBorder="1" applyAlignment="1">
      <alignment horizontal="center"/>
    </xf>
    <xf numFmtId="165" fontId="2" fillId="0" borderId="9" xfId="0" applyNumberFormat="1" applyFont="1" applyBorder="1" applyAlignment="1">
      <alignment horizontal="center"/>
    </xf>
    <xf numFmtId="0" fontId="2" fillId="0" borderId="9" xfId="0" applyFont="1" applyBorder="1" applyAlignment="1">
      <alignment horizontal="left" wrapText="1"/>
    </xf>
    <xf numFmtId="14" fontId="2" fillId="0" borderId="9" xfId="0" applyNumberFormat="1" applyFont="1" applyBorder="1"/>
    <xf numFmtId="9" fontId="16" fillId="8" borderId="2" xfId="0" applyNumberFormat="1" applyFont="1" applyFill="1" applyBorder="1" applyAlignment="1">
      <alignment horizontal="centerContinuous"/>
    </xf>
    <xf numFmtId="9" fontId="0" fillId="8" borderId="0" xfId="0" applyNumberFormat="1" applyFill="1" applyBorder="1" applyAlignment="1">
      <alignment horizontal="centerContinuous" vertical="center"/>
    </xf>
    <xf numFmtId="9" fontId="0" fillId="8" borderId="8" xfId="0" applyNumberFormat="1" applyFill="1" applyBorder="1" applyAlignment="1">
      <alignment horizontal="centerContinuous" vertical="center"/>
    </xf>
    <xf numFmtId="0" fontId="0" fillId="0" borderId="0" xfId="0"/>
    <xf numFmtId="0" fontId="16" fillId="8" borderId="2" xfId="0" applyFont="1" applyFill="1" applyBorder="1" applyAlignment="1">
      <alignment horizontal="center" vertical="top"/>
    </xf>
    <xf numFmtId="0" fontId="0" fillId="8" borderId="0" xfId="0" applyFill="1" applyBorder="1" applyAlignment="1">
      <alignment horizontal="center" vertical="top"/>
    </xf>
    <xf numFmtId="0" fontId="0" fillId="8" borderId="8" xfId="0" applyFill="1" applyBorder="1" applyAlignment="1">
      <alignment horizontal="center" vertical="top"/>
    </xf>
    <xf numFmtId="0" fontId="28" fillId="8" borderId="9" xfId="0" applyFont="1" applyFill="1" applyBorder="1" applyAlignment="1">
      <alignment horizontal="center" vertical="top" wrapText="1"/>
    </xf>
    <xf numFmtId="15" fontId="28" fillId="8" borderId="9" xfId="0" applyNumberFormat="1" applyFont="1" applyFill="1" applyBorder="1" applyAlignment="1">
      <alignment horizontal="center" vertical="top" wrapText="1"/>
    </xf>
    <xf numFmtId="167" fontId="2" fillId="0" borderId="9" xfId="0" applyNumberFormat="1" applyFont="1" applyBorder="1" applyAlignment="1">
      <alignment horizontal="center" vertical="top" wrapText="1"/>
    </xf>
    <xf numFmtId="167" fontId="2" fillId="0" borderId="12" xfId="0" applyNumberFormat="1" applyFont="1" applyBorder="1" applyAlignment="1">
      <alignment horizontal="center" vertical="top"/>
    </xf>
    <xf numFmtId="0" fontId="2" fillId="0" borderId="0" xfId="0" applyFont="1" applyBorder="1" applyAlignment="1">
      <alignment vertical="top" wrapText="1"/>
    </xf>
    <xf numFmtId="0" fontId="2" fillId="0" borderId="16" xfId="0" applyFont="1" applyBorder="1" applyAlignment="1">
      <alignment vertical="top" wrapText="1"/>
    </xf>
    <xf numFmtId="167" fontId="2" fillId="0" borderId="16" xfId="0" applyNumberFormat="1" applyFont="1" applyBorder="1" applyAlignment="1">
      <alignment horizontal="center" vertical="top" wrapText="1"/>
    </xf>
    <xf numFmtId="167" fontId="2" fillId="0" borderId="16" xfId="0" applyNumberFormat="1" applyFont="1" applyBorder="1" applyAlignment="1">
      <alignment horizontal="center" vertical="top"/>
    </xf>
    <xf numFmtId="167" fontId="2" fillId="0" borderId="12" xfId="0" applyNumberFormat="1" applyFont="1" applyBorder="1" applyAlignment="1">
      <alignment horizontal="center" vertical="top" wrapText="1"/>
    </xf>
    <xf numFmtId="0" fontId="2" fillId="0" borderId="17" xfId="0" applyFont="1" applyBorder="1" applyAlignment="1">
      <alignment vertical="top" wrapText="1"/>
    </xf>
    <xf numFmtId="167" fontId="2" fillId="0" borderId="17" xfId="0" applyNumberFormat="1" applyFont="1" applyBorder="1" applyAlignment="1">
      <alignment horizontal="center" vertical="top"/>
    </xf>
    <xf numFmtId="168" fontId="2" fillId="0" borderId="9" xfId="0" applyNumberFormat="1" applyFont="1" applyBorder="1" applyAlignment="1">
      <alignment horizontal="center" vertical="top" wrapText="1"/>
    </xf>
    <xf numFmtId="0" fontId="32" fillId="0" borderId="9" xfId="0" applyFont="1" applyBorder="1" applyAlignment="1">
      <alignment horizontal="center" vertical="center"/>
    </xf>
    <xf numFmtId="167" fontId="2" fillId="0" borderId="15" xfId="0" applyNumberFormat="1" applyFont="1" applyFill="1" applyBorder="1" applyAlignment="1">
      <alignment horizontal="center" vertical="top"/>
    </xf>
    <xf numFmtId="167" fontId="2" fillId="0" borderId="0" xfId="0" applyNumberFormat="1" applyFont="1" applyBorder="1" applyAlignment="1">
      <alignment horizontal="center" vertical="top"/>
    </xf>
    <xf numFmtId="0" fontId="30" fillId="0" borderId="18" xfId="0" applyFont="1" applyBorder="1" applyAlignment="1">
      <alignment horizontal="left" vertical="top" wrapText="1"/>
    </xf>
    <xf numFmtId="0" fontId="30" fillId="0" borderId="0" xfId="0" applyFont="1" applyBorder="1" applyAlignment="1">
      <alignment horizontal="left" vertical="top" wrapText="1"/>
    </xf>
    <xf numFmtId="167" fontId="2" fillId="0" borderId="0" xfId="0" applyNumberFormat="1" applyFont="1" applyBorder="1" applyAlignment="1">
      <alignment horizontal="center" vertical="top" wrapText="1"/>
    </xf>
    <xf numFmtId="0" fontId="30" fillId="0" borderId="17" xfId="0" applyFont="1" applyBorder="1" applyAlignment="1">
      <alignment vertical="top" wrapText="1"/>
    </xf>
    <xf numFmtId="0" fontId="30" fillId="0" borderId="12" xfId="0" applyFont="1" applyBorder="1" applyAlignment="1">
      <alignment vertical="top" wrapText="1"/>
    </xf>
    <xf numFmtId="167" fontId="2" fillId="0" borderId="2" xfId="0" applyNumberFormat="1" applyFont="1" applyBorder="1" applyAlignment="1">
      <alignment horizontal="center" vertical="top"/>
    </xf>
    <xf numFmtId="9" fontId="16" fillId="8" borderId="2" xfId="0" applyNumberFormat="1" applyFont="1" applyFill="1" applyBorder="1" applyAlignment="1">
      <alignment horizontal="center" vertical="top"/>
    </xf>
    <xf numFmtId="9" fontId="0" fillId="8" borderId="0" xfId="0" applyNumberFormat="1" applyFill="1" applyBorder="1" applyAlignment="1">
      <alignment horizontal="center" vertical="top"/>
    </xf>
    <xf numFmtId="9" fontId="0" fillId="8" borderId="8" xfId="0" applyNumberFormat="1" applyFill="1" applyBorder="1" applyAlignment="1">
      <alignment horizontal="center" vertical="top"/>
    </xf>
    <xf numFmtId="0" fontId="0" fillId="0" borderId="0" xfId="0"/>
    <xf numFmtId="0" fontId="30" fillId="0" borderId="17" xfId="0" applyFont="1" applyBorder="1" applyAlignment="1">
      <alignment horizontal="center" vertical="center"/>
    </xf>
    <xf numFmtId="0" fontId="0" fillId="0" borderId="16" xfId="0" applyBorder="1" applyAlignment="1"/>
    <xf numFmtId="0" fontId="0" fillId="0" borderId="12" xfId="0" applyBorder="1" applyAlignment="1"/>
    <xf numFmtId="0" fontId="31" fillId="0" borderId="17" xfId="0" applyFont="1" applyBorder="1" applyAlignment="1">
      <alignment vertical="top" wrapText="1"/>
    </xf>
    <xf numFmtId="0" fontId="33" fillId="0" borderId="17" xfId="0" applyFont="1" applyBorder="1" applyAlignment="1">
      <alignment horizontal="center" vertical="center"/>
    </xf>
    <xf numFmtId="0" fontId="30" fillId="0" borderId="16" xfId="0" applyFont="1" applyBorder="1" applyAlignment="1">
      <alignment vertical="top" wrapText="1"/>
    </xf>
    <xf numFmtId="0" fontId="9" fillId="8" borderId="19" xfId="0" applyFont="1" applyFill="1" applyBorder="1" applyAlignment="1">
      <alignment horizontal="center"/>
    </xf>
    <xf numFmtId="0" fontId="9" fillId="8" borderId="0" xfId="0" applyFont="1" applyFill="1" applyBorder="1" applyAlignment="1">
      <alignment horizontal="center"/>
    </xf>
    <xf numFmtId="0" fontId="2" fillId="0" borderId="0" xfId="0" applyFont="1" applyFill="1"/>
    <xf numFmtId="0" fontId="12" fillId="8" borderId="20" xfId="0" applyFont="1" applyFill="1" applyBorder="1" applyAlignment="1">
      <alignment horizontal="center" vertical="center"/>
    </xf>
    <xf numFmtId="0" fontId="12" fillId="8" borderId="0" xfId="0" applyFont="1" applyFill="1" applyBorder="1" applyAlignment="1">
      <alignment horizontal="center" vertical="center"/>
    </xf>
    <xf numFmtId="0" fontId="2" fillId="0" borderId="0" xfId="0" applyFont="1"/>
    <xf numFmtId="0" fontId="15" fillId="8" borderId="21" xfId="0" applyFont="1" applyFill="1" applyBorder="1" applyAlignment="1">
      <alignment horizontal="center" vertical="center" wrapText="1"/>
    </xf>
    <xf numFmtId="15" fontId="15" fillId="8" borderId="21" xfId="0" applyNumberFormat="1" applyFont="1" applyFill="1" applyBorder="1" applyAlignment="1">
      <alignment horizontal="center" vertical="center" wrapText="1"/>
    </xf>
    <xf numFmtId="0" fontId="5" fillId="0" borderId="9" xfId="0" applyFont="1" applyBorder="1" applyAlignment="1">
      <alignment horizontal="center" vertical="center" wrapText="1"/>
    </xf>
    <xf numFmtId="0" fontId="34" fillId="0" borderId="12" xfId="0" applyFont="1" applyBorder="1" applyAlignment="1">
      <alignment vertical="top" wrapText="1"/>
    </xf>
    <xf numFmtId="169" fontId="5" fillId="10" borderId="9" xfId="0" applyNumberFormat="1" applyFont="1" applyFill="1" applyBorder="1" applyAlignment="1">
      <alignment horizontal="center" vertical="top"/>
    </xf>
    <xf numFmtId="169" fontId="5" fillId="10" borderId="9" xfId="0" applyNumberFormat="1" applyFont="1" applyFill="1" applyBorder="1" applyAlignment="1">
      <alignment horizontal="center" vertical="top" wrapText="1"/>
    </xf>
    <xf numFmtId="169" fontId="5" fillId="10" borderId="12" xfId="0" applyNumberFormat="1" applyFont="1" applyFill="1" applyBorder="1" applyAlignment="1">
      <alignment horizontal="center" vertical="top"/>
    </xf>
    <xf numFmtId="0" fontId="5" fillId="0" borderId="9" xfId="0" applyFont="1" applyFill="1" applyBorder="1" applyAlignment="1">
      <alignment horizontal="center" vertical="center"/>
    </xf>
    <xf numFmtId="0" fontId="5" fillId="11" borderId="9" xfId="0" applyFont="1" applyFill="1" applyBorder="1" applyAlignment="1">
      <alignment horizontal="center" vertical="center" wrapText="1"/>
    </xf>
    <xf numFmtId="0" fontId="34" fillId="0" borderId="9" xfId="0" applyFont="1" applyBorder="1" applyAlignment="1">
      <alignment vertical="top" wrapText="1"/>
    </xf>
    <xf numFmtId="0" fontId="34" fillId="0" borderId="9" xfId="0" applyFont="1" applyFill="1" applyBorder="1" applyAlignment="1">
      <alignment vertical="top" wrapText="1"/>
    </xf>
    <xf numFmtId="14" fontId="5" fillId="10" borderId="9" xfId="0" applyNumberFormat="1" applyFont="1" applyFill="1" applyBorder="1" applyAlignment="1">
      <alignment horizontal="center" vertical="top" wrapText="1"/>
    </xf>
    <xf numFmtId="9" fontId="9" fillId="8" borderId="0" xfId="0" applyNumberFormat="1" applyFont="1" applyFill="1" applyBorder="1" applyAlignment="1">
      <alignment horizontal="center"/>
    </xf>
    <xf numFmtId="9" fontId="12" fillId="8" borderId="0" xfId="0" applyNumberFormat="1" applyFont="1" applyFill="1" applyBorder="1" applyAlignment="1">
      <alignment horizontal="center" vertical="center"/>
    </xf>
    <xf numFmtId="0" fontId="16" fillId="8" borderId="2" xfId="0" applyFont="1" applyFill="1" applyBorder="1" applyAlignment="1">
      <alignment horizontal="center" vertical="top" wrapText="1"/>
    </xf>
    <xf numFmtId="0" fontId="0" fillId="8" borderId="0" xfId="0" applyFill="1" applyBorder="1" applyAlignment="1">
      <alignment horizontal="center" vertical="top" wrapText="1"/>
    </xf>
    <xf numFmtId="0" fontId="0" fillId="8" borderId="8" xfId="0" applyFill="1" applyBorder="1" applyAlignment="1">
      <alignment horizontal="center" vertical="top" wrapText="1"/>
    </xf>
    <xf numFmtId="0" fontId="0" fillId="0" borderId="0" xfId="0"/>
    <xf numFmtId="0" fontId="31" fillId="0" borderId="17" xfId="0" applyFont="1" applyBorder="1" applyAlignment="1">
      <alignment vertical="top" wrapText="1"/>
    </xf>
    <xf numFmtId="14" fontId="2" fillId="0" borderId="9" xfId="0" applyNumberFormat="1" applyFont="1" applyBorder="1" applyAlignment="1">
      <alignment horizontal="center" vertical="top"/>
    </xf>
    <xf numFmtId="0" fontId="2" fillId="0" borderId="9" xfId="0" applyFont="1" applyFill="1" applyBorder="1" applyAlignment="1">
      <alignment vertical="top" wrapText="1"/>
    </xf>
    <xf numFmtId="0" fontId="30" fillId="0" borderId="9" xfId="0" applyFont="1" applyBorder="1" applyAlignment="1">
      <alignment vertical="top" wrapText="1"/>
    </xf>
    <xf numFmtId="14" fontId="2" fillId="0" borderId="9" xfId="0" applyNumberFormat="1" applyFont="1" applyBorder="1" applyAlignment="1">
      <alignment horizontal="center" vertical="top" wrapText="1"/>
    </xf>
    <xf numFmtId="0" fontId="32" fillId="0" borderId="22" xfId="0" applyFont="1" applyBorder="1" applyAlignment="1">
      <alignment horizontal="center" vertical="center"/>
    </xf>
    <xf numFmtId="0" fontId="2" fillId="0" borderId="22" xfId="0" applyFont="1" applyBorder="1" applyAlignment="1">
      <alignment vertical="top" wrapText="1"/>
    </xf>
    <xf numFmtId="165" fontId="2" fillId="0" borderId="22" xfId="0" applyNumberFormat="1" applyFont="1" applyBorder="1" applyAlignment="1">
      <alignment horizontal="center" vertical="top"/>
    </xf>
    <xf numFmtId="14" fontId="2" fillId="0" borderId="22" xfId="0" applyNumberFormat="1" applyFont="1" applyBorder="1" applyAlignment="1">
      <alignment horizontal="center" vertical="top" wrapText="1"/>
    </xf>
    <xf numFmtId="0" fontId="32" fillId="0" borderId="17" xfId="0" applyFont="1" applyBorder="1" applyAlignment="1">
      <alignment horizontal="center" vertical="center"/>
    </xf>
    <xf numFmtId="14" fontId="2" fillId="0" borderId="17" xfId="0" applyNumberFormat="1" applyFont="1" applyBorder="1" applyAlignment="1">
      <alignment horizontal="center" vertical="top"/>
    </xf>
    <xf numFmtId="0" fontId="17" fillId="0" borderId="9" xfId="0" applyFont="1" applyBorder="1" applyAlignment="1">
      <alignment vertical="top" wrapText="1"/>
    </xf>
    <xf numFmtId="0" fontId="29" fillId="0" borderId="9" xfId="0" applyFont="1" applyBorder="1" applyAlignment="1">
      <alignment vertical="top" wrapText="1"/>
    </xf>
    <xf numFmtId="14" fontId="2" fillId="0" borderId="9" xfId="0" applyNumberFormat="1" applyFont="1" applyFill="1" applyBorder="1" applyAlignment="1">
      <alignment horizontal="center" vertical="top"/>
    </xf>
    <xf numFmtId="14" fontId="2" fillId="0" borderId="9" xfId="0" applyNumberFormat="1" applyFont="1" applyFill="1" applyBorder="1" applyAlignment="1">
      <alignment horizontal="center" vertical="top" wrapText="1"/>
    </xf>
    <xf numFmtId="0" fontId="30" fillId="0" borderId="12" xfId="0" applyFont="1" applyBorder="1" applyAlignment="1">
      <alignment horizontal="left" vertical="top" wrapText="1"/>
    </xf>
    <xf numFmtId="167" fontId="35" fillId="0" borderId="12" xfId="0" applyNumberFormat="1" applyFont="1" applyFill="1" applyBorder="1" applyAlignment="1">
      <alignment horizontal="center" vertical="top"/>
    </xf>
    <xf numFmtId="167" fontId="35" fillId="0" borderId="9" xfId="0" applyNumberFormat="1" applyFont="1" applyFill="1" applyBorder="1" applyAlignment="1">
      <alignment horizontal="center" vertical="top"/>
    </xf>
    <xf numFmtId="0" fontId="0" fillId="0" borderId="0" xfId="0"/>
    <xf numFmtId="0" fontId="0" fillId="0" borderId="0" xfId="0"/>
    <xf numFmtId="0" fontId="0" fillId="0" borderId="0" xfId="0" applyNumberFormat="1"/>
    <xf numFmtId="0" fontId="8" fillId="0" borderId="0" xfId="0" applyNumberFormat="1" applyFont="1" applyAlignment="1">
      <alignment wrapText="1"/>
    </xf>
    <xf numFmtId="0" fontId="0" fillId="0" borderId="0" xfId="2" applyNumberFormat="1" applyFont="1"/>
    <xf numFmtId="0" fontId="0" fillId="0" borderId="0" xfId="0"/>
    <xf numFmtId="0" fontId="5" fillId="0" borderId="0" xfId="0" applyFont="1" applyAlignment="1">
      <alignment wrapText="1"/>
    </xf>
    <xf numFmtId="0" fontId="0" fillId="0" borderId="0" xfId="0"/>
    <xf numFmtId="0" fontId="37" fillId="0" borderId="0" xfId="0" applyFont="1" applyBorder="1" applyAlignment="1">
      <alignment horizontal="center" wrapText="1"/>
    </xf>
    <xf numFmtId="0" fontId="0" fillId="0" borderId="0" xfId="0" applyBorder="1" applyAlignment="1">
      <alignment horizontal="center" wrapText="1"/>
    </xf>
    <xf numFmtId="0" fontId="38" fillId="0" borderId="0" xfId="0" applyFont="1" applyAlignment="1">
      <alignment horizontal="center"/>
    </xf>
    <xf numFmtId="0" fontId="37" fillId="0" borderId="0" xfId="0" applyFont="1" applyAlignment="1">
      <alignment horizontal="center"/>
    </xf>
    <xf numFmtId="0" fontId="0" fillId="0" borderId="27" xfId="0" applyBorder="1" applyAlignment="1">
      <alignment horizontal="center" wrapText="1"/>
    </xf>
    <xf numFmtId="0" fontId="0" fillId="0" borderId="0" xfId="0" applyBorder="1" applyAlignment="1">
      <alignment horizontal="center"/>
    </xf>
    <xf numFmtId="166" fontId="30" fillId="0" borderId="0" xfId="0" applyNumberFormat="1" applyFont="1" applyAlignment="1">
      <alignment horizontal="center"/>
    </xf>
    <xf numFmtId="0" fontId="37" fillId="0" borderId="28" xfId="0" applyFont="1" applyBorder="1" applyAlignment="1">
      <alignment horizontal="center" vertical="center"/>
    </xf>
    <xf numFmtId="0" fontId="37" fillId="0" borderId="29" xfId="0" applyFont="1" applyBorder="1" applyAlignment="1">
      <alignment horizontal="center" vertical="center"/>
    </xf>
    <xf numFmtId="0" fontId="37" fillId="0" borderId="30" xfId="0" applyFont="1" applyBorder="1" applyAlignment="1">
      <alignment horizontal="center" vertical="center"/>
    </xf>
    <xf numFmtId="0" fontId="37" fillId="0" borderId="21" xfId="0" applyFont="1" applyBorder="1" applyAlignment="1">
      <alignment horizontal="center" vertical="center"/>
    </xf>
    <xf numFmtId="0" fontId="37" fillId="0" borderId="29" xfId="0" applyFont="1" applyBorder="1" applyAlignment="1">
      <alignment vertical="center" wrapText="1"/>
    </xf>
    <xf numFmtId="0" fontId="37" fillId="0" borderId="0" xfId="0" applyFont="1" applyBorder="1" applyAlignment="1">
      <alignment wrapText="1"/>
    </xf>
    <xf numFmtId="0" fontId="37" fillId="0" borderId="29" xfId="0" applyFont="1" applyBorder="1" applyAlignment="1">
      <alignment horizontal="center" vertical="center" wrapText="1"/>
    </xf>
    <xf numFmtId="166" fontId="2" fillId="0" borderId="0" xfId="0" applyNumberFormat="1" applyFont="1" applyBorder="1" applyAlignment="1">
      <alignment horizontal="center" wrapText="1"/>
    </xf>
    <xf numFmtId="0" fontId="37" fillId="0" borderId="30" xfId="0" applyFont="1" applyBorder="1" applyAlignment="1">
      <alignment horizontal="center" wrapText="1"/>
    </xf>
    <xf numFmtId="0" fontId="37" fillId="0" borderId="21" xfId="0" applyFont="1" applyBorder="1" applyAlignment="1">
      <alignment horizontal="center"/>
    </xf>
    <xf numFmtId="0" fontId="37" fillId="0" borderId="29" xfId="0" applyFont="1" applyBorder="1" applyAlignment="1">
      <alignment wrapText="1"/>
    </xf>
    <xf numFmtId="0" fontId="30" fillId="0" borderId="0" xfId="0" applyFont="1"/>
    <xf numFmtId="0" fontId="37" fillId="0" borderId="31" xfId="0" applyFont="1" applyBorder="1" applyAlignment="1">
      <alignment horizontal="center" vertical="center"/>
    </xf>
    <xf numFmtId="0" fontId="37" fillId="0" borderId="32" xfId="0" applyFont="1" applyBorder="1" applyAlignment="1">
      <alignment horizontal="center" vertical="center"/>
    </xf>
    <xf numFmtId="0" fontId="37" fillId="0" borderId="33" xfId="0" applyFont="1" applyBorder="1" applyAlignment="1">
      <alignment horizontal="center" vertical="center"/>
    </xf>
    <xf numFmtId="0" fontId="37" fillId="0" borderId="9" xfId="0" applyFont="1" applyBorder="1" applyAlignment="1">
      <alignment horizontal="center" vertical="center"/>
    </xf>
    <xf numFmtId="0" fontId="37" fillId="0" borderId="32" xfId="0" applyFont="1" applyBorder="1" applyAlignment="1">
      <alignment vertical="center" wrapText="1"/>
    </xf>
    <xf numFmtId="0" fontId="37" fillId="0" borderId="32" xfId="0" applyFont="1" applyBorder="1" applyAlignment="1">
      <alignment horizontal="center" vertical="center" wrapText="1"/>
    </xf>
    <xf numFmtId="0" fontId="37" fillId="0" borderId="33" xfId="0" applyFont="1" applyBorder="1" applyAlignment="1">
      <alignment horizontal="center" wrapText="1"/>
    </xf>
    <xf numFmtId="0" fontId="37" fillId="0" borderId="9" xfId="0" applyFont="1" applyBorder="1" applyAlignment="1">
      <alignment horizontal="center"/>
    </xf>
    <xf numFmtId="0" fontId="37" fillId="0" borderId="32" xfId="0" applyFont="1" applyFill="1" applyBorder="1" applyAlignment="1">
      <alignment wrapText="1"/>
    </xf>
    <xf numFmtId="0" fontId="37" fillId="0" borderId="32" xfId="0" applyFont="1" applyBorder="1" applyAlignment="1">
      <alignment wrapText="1"/>
    </xf>
    <xf numFmtId="0" fontId="38" fillId="0" borderId="31" xfId="0" applyFont="1" applyBorder="1" applyAlignment="1">
      <alignment horizontal="center" vertical="center"/>
    </xf>
    <xf numFmtId="0" fontId="38" fillId="0" borderId="32" xfId="0" applyFont="1" applyBorder="1" applyAlignment="1">
      <alignment horizontal="center" vertical="center"/>
    </xf>
    <xf numFmtId="0" fontId="37" fillId="0" borderId="33" xfId="0" applyFont="1" applyBorder="1" applyAlignment="1">
      <alignment horizontal="center" vertical="center" wrapText="1"/>
    </xf>
    <xf numFmtId="0" fontId="30" fillId="0" borderId="9" xfId="0" applyFont="1" applyBorder="1" applyAlignment="1">
      <alignment horizontal="center"/>
    </xf>
    <xf numFmtId="0" fontId="38" fillId="0" borderId="32" xfId="0" applyFont="1" applyBorder="1" applyAlignment="1">
      <alignment horizontal="center" vertical="center" wrapText="1"/>
    </xf>
    <xf numFmtId="0" fontId="30" fillId="0" borderId="9" xfId="0" applyFont="1" applyBorder="1" applyAlignment="1">
      <alignment horizontal="center" vertical="center"/>
    </xf>
    <xf numFmtId="0" fontId="37" fillId="0" borderId="31" xfId="0" applyFont="1" applyBorder="1" applyAlignment="1">
      <alignment horizontal="center"/>
    </xf>
    <xf numFmtId="0" fontId="37" fillId="0" borderId="34" xfId="0" applyFont="1" applyBorder="1" applyAlignment="1">
      <alignment horizontal="center"/>
    </xf>
    <xf numFmtId="0" fontId="37" fillId="0" borderId="35" xfId="0" applyFont="1" applyBorder="1" applyAlignment="1">
      <alignment horizontal="center" vertical="center"/>
    </xf>
    <xf numFmtId="0" fontId="30" fillId="0" borderId="36" xfId="0" applyFont="1" applyBorder="1" applyAlignment="1">
      <alignment horizontal="center" vertical="center"/>
    </xf>
    <xf numFmtId="0" fontId="30" fillId="0" borderId="37" xfId="0" applyFont="1" applyBorder="1" applyAlignment="1">
      <alignment horizontal="center" vertical="center"/>
    </xf>
    <xf numFmtId="0" fontId="37" fillId="0" borderId="38" xfId="0" applyFont="1" applyBorder="1" applyAlignment="1">
      <alignment vertical="center" wrapText="1"/>
    </xf>
    <xf numFmtId="0" fontId="37" fillId="0" borderId="34" xfId="0" applyFont="1" applyBorder="1" applyAlignment="1">
      <alignment horizontal="center" vertical="center"/>
    </xf>
    <xf numFmtId="0" fontId="37" fillId="0" borderId="36" xfId="0" applyFont="1" applyBorder="1" applyAlignment="1">
      <alignment horizontal="center" vertical="center"/>
    </xf>
    <xf numFmtId="0" fontId="30" fillId="0" borderId="36" xfId="0" applyFont="1" applyBorder="1" applyAlignment="1">
      <alignment horizontal="center" wrapText="1"/>
    </xf>
    <xf numFmtId="0" fontId="30" fillId="0" borderId="37" xfId="0" applyFont="1" applyBorder="1" applyAlignment="1">
      <alignment horizontal="center"/>
    </xf>
    <xf numFmtId="0" fontId="30" fillId="0" borderId="38" xfId="0" applyFont="1" applyBorder="1" applyAlignment="1">
      <alignment wrapText="1"/>
    </xf>
    <xf numFmtId="0" fontId="30" fillId="0" borderId="0" xfId="0" applyFont="1" applyAlignment="1">
      <alignment horizontal="center"/>
    </xf>
    <xf numFmtId="0" fontId="37" fillId="0" borderId="0" xfId="0" applyFont="1" applyAlignment="1">
      <alignment horizontal="center" vertical="center"/>
    </xf>
    <xf numFmtId="0" fontId="30" fillId="0" borderId="0" xfId="0" applyFont="1" applyAlignment="1">
      <alignment wrapText="1"/>
    </xf>
    <xf numFmtId="0" fontId="30" fillId="0" borderId="0" xfId="0" applyFont="1" applyBorder="1" applyAlignment="1">
      <alignment wrapText="1"/>
    </xf>
    <xf numFmtId="0" fontId="30" fillId="0" borderId="0" xfId="0" applyFont="1" applyBorder="1" applyAlignment="1">
      <alignment horizontal="center" wrapText="1"/>
    </xf>
    <xf numFmtId="0" fontId="30" fillId="0" borderId="0" xfId="0" applyFont="1" applyAlignment="1">
      <alignment horizontal="center" wrapText="1"/>
    </xf>
    <xf numFmtId="0" fontId="0" fillId="0" borderId="0" xfId="0" applyAlignment="1">
      <alignment vertical="top" wrapText="1"/>
    </xf>
    <xf numFmtId="0" fontId="30" fillId="0" borderId="48" xfId="0" applyFont="1" applyBorder="1" applyAlignment="1">
      <alignment horizontal="right" wrapText="1"/>
    </xf>
    <xf numFmtId="2" fontId="5" fillId="0" borderId="49" xfId="0" applyNumberFormat="1" applyFont="1" applyBorder="1" applyAlignment="1">
      <alignment wrapText="1"/>
    </xf>
    <xf numFmtId="0" fontId="30" fillId="0" borderId="20" xfId="0" applyFont="1" applyBorder="1" applyAlignment="1">
      <alignment horizontal="right" wrapText="1"/>
    </xf>
    <xf numFmtId="0" fontId="0" fillId="0" borderId="54" xfId="0" applyBorder="1" applyAlignment="1">
      <alignment wrapText="1"/>
    </xf>
    <xf numFmtId="2" fontId="0" fillId="0" borderId="55" xfId="0" applyNumberFormat="1" applyBorder="1" applyAlignment="1">
      <alignment wrapText="1"/>
    </xf>
    <xf numFmtId="0" fontId="30" fillId="0" borderId="55" xfId="0" applyFont="1" applyBorder="1" applyAlignment="1">
      <alignment horizontal="right" wrapText="1"/>
    </xf>
    <xf numFmtId="0" fontId="30" fillId="0" borderId="56" xfId="0" applyFont="1" applyBorder="1" applyAlignment="1">
      <alignment wrapText="1"/>
    </xf>
    <xf numFmtId="0" fontId="0" fillId="0" borderId="33" xfId="0" applyBorder="1" applyAlignment="1">
      <alignment wrapText="1"/>
    </xf>
    <xf numFmtId="2" fontId="0" fillId="0" borderId="9" xfId="0" applyNumberFormat="1" applyBorder="1" applyAlignment="1">
      <alignment wrapText="1"/>
    </xf>
    <xf numFmtId="0" fontId="30" fillId="0" borderId="9" xfId="0" applyFont="1" applyBorder="1" applyAlignment="1">
      <alignment horizontal="right" wrapText="1"/>
    </xf>
    <xf numFmtId="0" fontId="30" fillId="0" borderId="32" xfId="0" applyFont="1" applyBorder="1" applyAlignment="1">
      <alignment wrapText="1"/>
    </xf>
    <xf numFmtId="0" fontId="0" fillId="0" borderId="36" xfId="0" applyBorder="1" applyAlignment="1">
      <alignment wrapText="1"/>
    </xf>
    <xf numFmtId="0" fontId="0" fillId="0" borderId="37" xfId="0" applyBorder="1" applyAlignment="1">
      <alignment wrapText="1"/>
    </xf>
    <xf numFmtId="0" fontId="0" fillId="0" borderId="38" xfId="0" applyBorder="1" applyAlignment="1">
      <alignment wrapText="1"/>
    </xf>
    <xf numFmtId="0" fontId="30" fillId="0" borderId="37" xfId="0" applyFont="1" applyBorder="1" applyAlignment="1">
      <alignment horizontal="right" wrapText="1"/>
    </xf>
    <xf numFmtId="0" fontId="0" fillId="0" borderId="9" xfId="0" applyBorder="1" applyAlignment="1">
      <alignment wrapText="1"/>
    </xf>
    <xf numFmtId="0" fontId="0" fillId="0" borderId="32" xfId="0" applyBorder="1" applyAlignment="1">
      <alignment wrapText="1"/>
    </xf>
    <xf numFmtId="0" fontId="30" fillId="0" borderId="0" xfId="0" applyFont="1" applyAlignment="1">
      <alignment horizontal="center" vertical="center" textRotation="90" wrapText="1"/>
    </xf>
    <xf numFmtId="0" fontId="0" fillId="0" borderId="0" xfId="0"/>
    <xf numFmtId="0" fontId="0" fillId="0" borderId="0" xfId="0"/>
    <xf numFmtId="0" fontId="41" fillId="0" borderId="0" xfId="0" applyFont="1"/>
    <xf numFmtId="0" fontId="4" fillId="0" borderId="9" xfId="0" applyFont="1" applyBorder="1"/>
    <xf numFmtId="0" fontId="0" fillId="8" borderId="9" xfId="0" applyFill="1" applyBorder="1"/>
    <xf numFmtId="0" fontId="31" fillId="0" borderId="9" xfId="0" applyFont="1" applyBorder="1" applyAlignment="1">
      <alignment horizontal="center" wrapText="1"/>
    </xf>
    <xf numFmtId="0" fontId="31" fillId="8" borderId="9" xfId="0" applyFont="1" applyFill="1" applyBorder="1" applyAlignment="1">
      <alignment horizontal="center" wrapText="1"/>
    </xf>
    <xf numFmtId="0" fontId="0" fillId="0" borderId="9" xfId="0" applyBorder="1"/>
    <xf numFmtId="9" fontId="0" fillId="0" borderId="9" xfId="0" applyNumberFormat="1" applyBorder="1"/>
    <xf numFmtId="9" fontId="0" fillId="8" borderId="9" xfId="0" applyNumberFormat="1" applyFill="1" applyBorder="1"/>
    <xf numFmtId="0" fontId="4" fillId="8" borderId="9" xfId="0" applyFont="1" applyFill="1" applyBorder="1"/>
    <xf numFmtId="9" fontId="4" fillId="8" borderId="9" xfId="0" applyNumberFormat="1" applyFont="1" applyFill="1" applyBorder="1"/>
    <xf numFmtId="0" fontId="4" fillId="0" borderId="0" xfId="0" applyFont="1"/>
    <xf numFmtId="0" fontId="42" fillId="0" borderId="0" xfId="0" applyFont="1"/>
    <xf numFmtId="0" fontId="0" fillId="8" borderId="0" xfId="0" applyFill="1"/>
    <xf numFmtId="0" fontId="0" fillId="0" borderId="0" xfId="0"/>
    <xf numFmtId="0" fontId="40" fillId="0" borderId="0" xfId="0" applyFont="1"/>
    <xf numFmtId="0" fontId="40" fillId="0" borderId="65" xfId="3" applyFont="1" applyBorder="1">
      <alignment wrapText="1"/>
    </xf>
    <xf numFmtId="0" fontId="40" fillId="0" borderId="66" xfId="3" applyFont="1" applyBorder="1">
      <alignment wrapText="1"/>
    </xf>
    <xf numFmtId="170" fontId="40" fillId="0" borderId="67" xfId="3" applyNumberFormat="1" applyFont="1" applyBorder="1">
      <alignment wrapText="1"/>
    </xf>
    <xf numFmtId="0" fontId="40" fillId="0" borderId="65" xfId="0" applyFont="1" applyBorder="1"/>
    <xf numFmtId="0" fontId="40" fillId="0" borderId="66" xfId="0" applyFont="1" applyBorder="1"/>
    <xf numFmtId="0" fontId="40" fillId="0" borderId="67" xfId="0" applyFont="1" applyBorder="1"/>
    <xf numFmtId="0" fontId="45" fillId="0" borderId="0" xfId="3" applyFont="1" applyFill="1" applyBorder="1" applyAlignment="1">
      <alignment horizontal="right" vertical="top" textRotation="180" wrapText="1"/>
    </xf>
    <xf numFmtId="0" fontId="40" fillId="0" borderId="0" xfId="0" applyFont="1" applyBorder="1"/>
    <xf numFmtId="0" fontId="43" fillId="0" borderId="68" xfId="3" applyFont="1" applyFill="1" applyBorder="1" applyAlignment="1">
      <alignment horizontal="right" vertical="top" textRotation="180" wrapText="1"/>
    </xf>
    <xf numFmtId="0" fontId="44" fillId="0" borderId="69" xfId="3" applyFont="1" applyFill="1" applyBorder="1" applyAlignment="1">
      <alignment horizontal="right" vertical="top" textRotation="180" wrapText="1"/>
    </xf>
    <xf numFmtId="0" fontId="45" fillId="0" borderId="70" xfId="3" applyFont="1" applyFill="1" applyBorder="1" applyAlignment="1">
      <alignment horizontal="right" vertical="top" textRotation="180" wrapText="1"/>
    </xf>
    <xf numFmtId="0" fontId="5" fillId="0" borderId="71" xfId="3" applyBorder="1">
      <alignment wrapText="1"/>
    </xf>
    <xf numFmtId="0" fontId="5" fillId="0" borderId="16" xfId="3" applyBorder="1">
      <alignment wrapText="1"/>
    </xf>
    <xf numFmtId="170" fontId="5" fillId="0" borderId="72" xfId="3" applyNumberFormat="1" applyBorder="1">
      <alignment wrapText="1"/>
    </xf>
    <xf numFmtId="0" fontId="5" fillId="0" borderId="73" xfId="3" applyBorder="1">
      <alignment wrapText="1"/>
    </xf>
    <xf numFmtId="0" fontId="0" fillId="12" borderId="0" xfId="0" applyFill="1"/>
    <xf numFmtId="0" fontId="5" fillId="12" borderId="73" xfId="3" applyFill="1" applyBorder="1">
      <alignment wrapText="1"/>
    </xf>
    <xf numFmtId="0" fontId="5" fillId="12" borderId="16" xfId="3" applyFill="1" applyBorder="1">
      <alignment wrapText="1"/>
    </xf>
    <xf numFmtId="170" fontId="5" fillId="12" borderId="72" xfId="3" applyNumberFormat="1" applyFill="1" applyBorder="1">
      <alignment wrapText="1"/>
    </xf>
    <xf numFmtId="0" fontId="0" fillId="12" borderId="0" xfId="0" applyFill="1" applyBorder="1"/>
    <xf numFmtId="0" fontId="5" fillId="12" borderId="74" xfId="3" applyFill="1" applyBorder="1">
      <alignment wrapText="1"/>
    </xf>
    <xf numFmtId="0" fontId="5" fillId="12" borderId="75" xfId="3" applyFill="1" applyBorder="1">
      <alignment wrapText="1"/>
    </xf>
    <xf numFmtId="170" fontId="5" fillId="12" borderId="76" xfId="3" applyNumberFormat="1" applyFill="1" applyBorder="1">
      <alignment wrapText="1"/>
    </xf>
    <xf numFmtId="0" fontId="3" fillId="0" borderId="0" xfId="1" applyAlignment="1" applyProtection="1">
      <alignment vertical="top" wrapText="1"/>
    </xf>
    <xf numFmtId="0" fontId="1" fillId="7" borderId="0" xfId="0" applyFont="1" applyFill="1" applyProtection="1">
      <protection locked="0"/>
    </xf>
    <xf numFmtId="0" fontId="1" fillId="0" borderId="9" xfId="0" applyFont="1" applyBorder="1"/>
    <xf numFmtId="0" fontId="1" fillId="0" borderId="0" xfId="0" applyFont="1"/>
    <xf numFmtId="0" fontId="1" fillId="12" borderId="0" xfId="0" applyFont="1" applyFill="1"/>
    <xf numFmtId="0" fontId="43" fillId="0" borderId="90" xfId="3" applyFont="1" applyFill="1" applyBorder="1" applyAlignment="1">
      <alignment horizontal="right" vertical="top" textRotation="180" wrapText="1"/>
    </xf>
    <xf numFmtId="0" fontId="44" fillId="0" borderId="91" xfId="3" applyFont="1" applyFill="1" applyBorder="1" applyAlignment="1">
      <alignment horizontal="right" vertical="top" textRotation="180" wrapText="1"/>
    </xf>
    <xf numFmtId="0" fontId="45" fillId="0" borderId="92" xfId="3" applyFont="1" applyFill="1" applyBorder="1" applyAlignment="1">
      <alignment horizontal="right" vertical="top" textRotation="180" wrapText="1"/>
    </xf>
    <xf numFmtId="0" fontId="40" fillId="0" borderId="89" xfId="3" applyFont="1" applyBorder="1">
      <alignment wrapText="1"/>
    </xf>
    <xf numFmtId="0" fontId="40" fillId="0" borderId="93" xfId="3" applyFont="1" applyBorder="1">
      <alignment wrapText="1"/>
    </xf>
    <xf numFmtId="170" fontId="40" fillId="0" borderId="94" xfId="3" applyNumberFormat="1" applyFont="1" applyBorder="1">
      <alignment wrapText="1"/>
    </xf>
    <xf numFmtId="0" fontId="40" fillId="0" borderId="89" xfId="0" applyFont="1" applyBorder="1"/>
    <xf numFmtId="0" fontId="40" fillId="0" borderId="93" xfId="0" applyFont="1" applyBorder="1"/>
    <xf numFmtId="0" fontId="40" fillId="0" borderId="94" xfId="0" applyFont="1" applyBorder="1"/>
    <xf numFmtId="0" fontId="5" fillId="0" borderId="28" xfId="3" applyBorder="1">
      <alignment wrapText="1"/>
    </xf>
    <xf numFmtId="0" fontId="5" fillId="0" borderId="21" xfId="3" applyBorder="1">
      <alignment wrapText="1"/>
    </xf>
    <xf numFmtId="0" fontId="5" fillId="12" borderId="31" xfId="3" applyFill="1" applyBorder="1">
      <alignment wrapText="1"/>
    </xf>
    <xf numFmtId="0" fontId="5" fillId="12" borderId="9" xfId="3" applyFill="1" applyBorder="1">
      <alignment wrapText="1"/>
    </xf>
    <xf numFmtId="170" fontId="5" fillId="12" borderId="9" xfId="3" applyNumberFormat="1" applyFill="1" applyBorder="1">
      <alignment wrapText="1"/>
    </xf>
    <xf numFmtId="170" fontId="5" fillId="12" borderId="77" xfId="3" applyNumberFormat="1" applyFill="1" applyBorder="1">
      <alignment wrapText="1"/>
    </xf>
    <xf numFmtId="0" fontId="5" fillId="0" borderId="31" xfId="3" applyBorder="1">
      <alignment wrapText="1"/>
    </xf>
    <xf numFmtId="0" fontId="5" fillId="0" borderId="9" xfId="3" applyBorder="1">
      <alignment wrapText="1"/>
    </xf>
    <xf numFmtId="170" fontId="5" fillId="0" borderId="9" xfId="3" applyNumberFormat="1" applyBorder="1">
      <alignment wrapText="1"/>
    </xf>
    <xf numFmtId="170" fontId="5" fillId="0" borderId="77" xfId="3" applyNumberFormat="1" applyBorder="1">
      <alignment wrapText="1"/>
    </xf>
    <xf numFmtId="170" fontId="5" fillId="0" borderId="95" xfId="3" applyNumberFormat="1" applyBorder="1">
      <alignment wrapText="1"/>
    </xf>
    <xf numFmtId="0" fontId="0" fillId="3" borderId="0" xfId="0" applyFont="1" applyFill="1" applyProtection="1">
      <protection locked="0"/>
    </xf>
    <xf numFmtId="0" fontId="0" fillId="4" borderId="0" xfId="0" applyFont="1" applyFill="1" applyProtection="1">
      <protection locked="0"/>
    </xf>
    <xf numFmtId="0" fontId="0" fillId="0" borderId="0" xfId="0"/>
    <xf numFmtId="0" fontId="40" fillId="8" borderId="39" xfId="5" applyFont="1" applyFill="1" applyBorder="1" applyAlignment="1">
      <alignment vertical="center"/>
    </xf>
    <xf numFmtId="0" fontId="40" fillId="8" borderId="40" xfId="5" applyFont="1" applyFill="1" applyBorder="1" applyAlignment="1">
      <alignment vertical="center"/>
    </xf>
    <xf numFmtId="0" fontId="13" fillId="0" borderId="96" xfId="5" applyFont="1" applyBorder="1" applyAlignment="1">
      <alignment vertical="center"/>
    </xf>
    <xf numFmtId="0" fontId="40" fillId="8" borderId="96" xfId="5" applyFont="1" applyFill="1" applyBorder="1" applyAlignment="1">
      <alignment horizontal="center" vertical="center"/>
    </xf>
    <xf numFmtId="0" fontId="40" fillId="0" borderId="97" xfId="5" applyFont="1" applyFill="1" applyBorder="1" applyAlignment="1">
      <alignment vertical="center"/>
    </xf>
    <xf numFmtId="0" fontId="40" fillId="8" borderId="40" xfId="5" applyFont="1" applyFill="1" applyBorder="1" applyAlignment="1">
      <alignment horizontal="center" vertical="center"/>
    </xf>
    <xf numFmtId="0" fontId="40" fillId="8" borderId="40" xfId="5" applyFont="1" applyFill="1" applyBorder="1" applyAlignment="1">
      <alignment horizontal="center" vertical="center" wrapText="1"/>
    </xf>
    <xf numFmtId="0" fontId="40" fillId="8" borderId="41" xfId="5" applyFont="1" applyFill="1" applyBorder="1" applyAlignment="1">
      <alignment horizontal="center" vertical="center"/>
    </xf>
    <xf numFmtId="0" fontId="1" fillId="0" borderId="0" xfId="5" applyAlignment="1">
      <alignment vertical="center"/>
    </xf>
    <xf numFmtId="0" fontId="12" fillId="13" borderId="39" xfId="5" applyFont="1" applyFill="1" applyBorder="1"/>
    <xf numFmtId="0" fontId="1" fillId="13" borderId="40" xfId="5" applyFill="1" applyBorder="1"/>
    <xf numFmtId="0" fontId="1" fillId="0" borderId="97" xfId="5" applyFill="1" applyBorder="1"/>
    <xf numFmtId="0" fontId="1" fillId="0" borderId="40" xfId="5" applyFill="1" applyBorder="1"/>
    <xf numFmtId="0" fontId="12" fillId="0" borderId="40" xfId="5" applyFont="1" applyFill="1" applyBorder="1"/>
    <xf numFmtId="2" fontId="49" fillId="0" borderId="41" xfId="2" applyNumberFormat="1" applyFont="1" applyFill="1" applyBorder="1"/>
    <xf numFmtId="0" fontId="1" fillId="0" borderId="0" xfId="5"/>
    <xf numFmtId="0" fontId="15" fillId="13" borderId="27" xfId="5" applyFont="1" applyFill="1" applyBorder="1"/>
    <xf numFmtId="0" fontId="1" fillId="13" borderId="82" xfId="5" applyFill="1" applyBorder="1"/>
    <xf numFmtId="0" fontId="32" fillId="13" borderId="82" xfId="5" applyFont="1" applyFill="1" applyBorder="1" applyAlignment="1">
      <alignment horizontal="right"/>
    </xf>
    <xf numFmtId="0" fontId="1" fillId="0" borderId="81" xfId="5" applyFill="1" applyBorder="1"/>
    <xf numFmtId="0" fontId="2" fillId="0" borderId="99" xfId="5" applyFont="1" applyFill="1" applyBorder="1"/>
    <xf numFmtId="2" fontId="51" fillId="0" borderId="100" xfId="2" applyNumberFormat="1" applyFont="1" applyFill="1" applyBorder="1"/>
    <xf numFmtId="2" fontId="2" fillId="0" borderId="101" xfId="5" applyNumberFormat="1" applyFont="1" applyFill="1" applyBorder="1"/>
    <xf numFmtId="0" fontId="2" fillId="0" borderId="101" xfId="5" applyFont="1" applyFill="1" applyBorder="1"/>
    <xf numFmtId="2" fontId="53" fillId="0" borderId="102" xfId="2" applyNumberFormat="1" applyFont="1" applyFill="1" applyBorder="1"/>
    <xf numFmtId="0" fontId="15" fillId="13" borderId="103" xfId="5" applyFont="1" applyFill="1" applyBorder="1"/>
    <xf numFmtId="0" fontId="1" fillId="13" borderId="23" xfId="5" applyFill="1" applyBorder="1"/>
    <xf numFmtId="0" fontId="32" fillId="13" borderId="23" xfId="5" applyFont="1" applyFill="1" applyBorder="1" applyAlignment="1">
      <alignment horizontal="right"/>
    </xf>
    <xf numFmtId="0" fontId="1" fillId="0" borderId="105" xfId="5" applyFill="1" applyBorder="1"/>
    <xf numFmtId="0" fontId="2" fillId="0" borderId="23" xfId="5" applyFont="1" applyFill="1" applyBorder="1"/>
    <xf numFmtId="2" fontId="51" fillId="0" borderId="106" xfId="2" applyNumberFormat="1" applyFont="1" applyFill="1" applyBorder="1"/>
    <xf numFmtId="0" fontId="12" fillId="10" borderId="39" xfId="5" applyFont="1" applyFill="1" applyBorder="1"/>
    <xf numFmtId="0" fontId="16" fillId="10" borderId="40" xfId="5" applyFont="1" applyFill="1" applyBorder="1"/>
    <xf numFmtId="0" fontId="12" fillId="0" borderId="97" xfId="5" applyFont="1" applyFill="1" applyBorder="1"/>
    <xf numFmtId="2" fontId="54" fillId="0" borderId="107" xfId="2" applyNumberFormat="1" applyFont="1" applyFill="1" applyBorder="1"/>
    <xf numFmtId="0" fontId="16" fillId="10" borderId="66" xfId="5" applyFont="1" applyFill="1" applyBorder="1"/>
    <xf numFmtId="0" fontId="4" fillId="10" borderId="66" xfId="5" applyFont="1" applyFill="1" applyBorder="1" applyAlignment="1">
      <alignment horizontal="right"/>
    </xf>
    <xf numFmtId="0" fontId="1" fillId="8" borderId="78" xfId="5" applyFont="1" applyFill="1" applyBorder="1"/>
    <xf numFmtId="0" fontId="1" fillId="0" borderId="66" xfId="5" applyFill="1" applyBorder="1"/>
    <xf numFmtId="0" fontId="1" fillId="8" borderId="78" xfId="5" applyFill="1" applyBorder="1"/>
    <xf numFmtId="0" fontId="1" fillId="8" borderId="108" xfId="5" applyFont="1" applyFill="1" applyBorder="1"/>
    <xf numFmtId="0" fontId="15" fillId="10" borderId="27" xfId="5" applyFont="1" applyFill="1" applyBorder="1"/>
    <xf numFmtId="0" fontId="1" fillId="0" borderId="78" xfId="5" applyFill="1" applyBorder="1"/>
    <xf numFmtId="0" fontId="16" fillId="10" borderId="0" xfId="5" applyFont="1" applyFill="1" applyBorder="1"/>
    <xf numFmtId="0" fontId="32" fillId="10" borderId="0" xfId="5" applyFont="1" applyFill="1" applyBorder="1" applyAlignment="1">
      <alignment horizontal="right"/>
    </xf>
    <xf numFmtId="9" fontId="2" fillId="0" borderId="109" xfId="5" applyNumberFormat="1" applyFont="1" applyFill="1" applyBorder="1"/>
    <xf numFmtId="0" fontId="12" fillId="0" borderId="0" xfId="5" applyFont="1" applyFill="1" applyBorder="1"/>
    <xf numFmtId="0" fontId="33" fillId="0" borderId="109" xfId="5" applyFont="1" applyFill="1" applyBorder="1"/>
    <xf numFmtId="0" fontId="16" fillId="10" borderId="82" xfId="5" applyFont="1" applyFill="1" applyBorder="1"/>
    <xf numFmtId="0" fontId="32" fillId="10" borderId="82" xfId="5" applyFont="1" applyFill="1" applyBorder="1" applyAlignment="1">
      <alignment horizontal="right"/>
    </xf>
    <xf numFmtId="0" fontId="12" fillId="0" borderId="82" xfId="5" applyFont="1" applyFill="1" applyBorder="1"/>
    <xf numFmtId="0" fontId="33" fillId="0" borderId="101" xfId="5" applyFont="1" applyFill="1" applyBorder="1"/>
    <xf numFmtId="2" fontId="51" fillId="0" borderId="102" xfId="2" applyNumberFormat="1" applyFont="1" applyFill="1" applyBorder="1"/>
    <xf numFmtId="0" fontId="4" fillId="10" borderId="0" xfId="5" applyFont="1" applyFill="1" applyBorder="1" applyAlignment="1">
      <alignment horizontal="right"/>
    </xf>
    <xf numFmtId="0" fontId="1" fillId="0" borderId="81" xfId="5" applyFont="1" applyFill="1" applyBorder="1"/>
    <xf numFmtId="0" fontId="1" fillId="0" borderId="82" xfId="5" applyFill="1" applyBorder="1"/>
    <xf numFmtId="0" fontId="1" fillId="0" borderId="110" xfId="5" applyFont="1" applyFill="1" applyBorder="1"/>
    <xf numFmtId="0" fontId="15" fillId="10" borderId="0" xfId="5" applyFont="1" applyFill="1" applyBorder="1" applyAlignment="1">
      <alignment horizontal="right"/>
    </xf>
    <xf numFmtId="9" fontId="2" fillId="0" borderId="64" xfId="5" applyNumberFormat="1" applyFont="1" applyFill="1" applyBorder="1"/>
    <xf numFmtId="0" fontId="1" fillId="0" borderId="0" xfId="5" applyFill="1" applyBorder="1"/>
    <xf numFmtId="0" fontId="2" fillId="0" borderId="64" xfId="5" applyFont="1" applyFill="1" applyBorder="1"/>
    <xf numFmtId="9" fontId="53" fillId="0" borderId="111" xfId="2" applyFont="1" applyFill="1" applyBorder="1"/>
    <xf numFmtId="9" fontId="2" fillId="0" borderId="112" xfId="5" applyNumberFormat="1" applyFont="1" applyFill="1" applyBorder="1"/>
    <xf numFmtId="0" fontId="2" fillId="0" borderId="112" xfId="5" applyFont="1" applyFill="1" applyBorder="1"/>
    <xf numFmtId="9" fontId="53" fillId="0" borderId="113" xfId="2" applyFont="1" applyFill="1" applyBorder="1"/>
    <xf numFmtId="0" fontId="15" fillId="10" borderId="103" xfId="5" applyFont="1" applyFill="1" applyBorder="1"/>
    <xf numFmtId="0" fontId="16" fillId="10" borderId="23" xfId="5" applyFont="1" applyFill="1" applyBorder="1"/>
    <xf numFmtId="0" fontId="32" fillId="10" borderId="23" xfId="5" applyFont="1" applyFill="1" applyBorder="1" applyAlignment="1">
      <alignment horizontal="right"/>
    </xf>
    <xf numFmtId="9" fontId="2" fillId="0" borderId="114" xfId="5" applyNumberFormat="1" applyFont="1" applyFill="1" applyBorder="1"/>
    <xf numFmtId="0" fontId="12" fillId="0" borderId="23" xfId="5" applyFont="1" applyFill="1" applyBorder="1"/>
    <xf numFmtId="0" fontId="33" fillId="0" borderId="114" xfId="5" applyFont="1" applyFill="1" applyBorder="1"/>
    <xf numFmtId="9" fontId="53" fillId="0" borderId="115" xfId="2" applyFont="1" applyFill="1" applyBorder="1"/>
    <xf numFmtId="0" fontId="12" fillId="2" borderId="39" xfId="5" applyFont="1" applyFill="1" applyBorder="1"/>
    <xf numFmtId="0" fontId="16" fillId="2" borderId="40" xfId="5" applyFont="1" applyFill="1" applyBorder="1"/>
    <xf numFmtId="0" fontId="15" fillId="2" borderId="27" xfId="5" applyFont="1" applyFill="1" applyBorder="1"/>
    <xf numFmtId="0" fontId="16" fillId="2" borderId="82" xfId="5" applyFont="1" applyFill="1" applyBorder="1"/>
    <xf numFmtId="0" fontId="32" fillId="2" borderId="82" xfId="5" applyFont="1" applyFill="1" applyBorder="1" applyAlignment="1">
      <alignment horizontal="right"/>
    </xf>
    <xf numFmtId="0" fontId="15" fillId="2" borderId="103" xfId="5" applyFont="1" applyFill="1" applyBorder="1"/>
    <xf numFmtId="0" fontId="16" fillId="2" borderId="23" xfId="5" applyFont="1" applyFill="1" applyBorder="1"/>
    <xf numFmtId="0" fontId="4" fillId="2" borderId="23" xfId="5" applyFont="1" applyFill="1" applyBorder="1" applyAlignment="1">
      <alignment horizontal="right"/>
    </xf>
    <xf numFmtId="0" fontId="1" fillId="8" borderId="105" xfId="5" applyFont="1" applyFill="1" applyBorder="1"/>
    <xf numFmtId="0" fontId="1" fillId="8" borderId="60" xfId="5" applyFont="1" applyFill="1" applyBorder="1"/>
    <xf numFmtId="0" fontId="12" fillId="14" borderId="39" xfId="5" applyFont="1" applyFill="1" applyBorder="1"/>
    <xf numFmtId="0" fontId="16" fillId="14" borderId="40" xfId="5" applyFont="1" applyFill="1" applyBorder="1"/>
    <xf numFmtId="2" fontId="54" fillId="0" borderId="41" xfId="2" applyNumberFormat="1" applyFont="1" applyFill="1" applyBorder="1"/>
    <xf numFmtId="0" fontId="15" fillId="14" borderId="27" xfId="5" applyFont="1" applyFill="1" applyBorder="1"/>
    <xf numFmtId="0" fontId="16" fillId="14" borderId="82" xfId="5" applyFont="1" applyFill="1" applyBorder="1"/>
    <xf numFmtId="0" fontId="32" fillId="14" borderId="82" xfId="5" applyFont="1" applyFill="1" applyBorder="1" applyAlignment="1">
      <alignment horizontal="right"/>
    </xf>
    <xf numFmtId="0" fontId="16" fillId="14" borderId="0" xfId="5" applyFont="1" applyFill="1" applyBorder="1"/>
    <xf numFmtId="0" fontId="4" fillId="14" borderId="0" xfId="5" applyFont="1" applyFill="1" applyBorder="1" applyAlignment="1">
      <alignment horizontal="right"/>
    </xf>
    <xf numFmtId="0" fontId="1" fillId="8" borderId="79" xfId="5" applyFont="1" applyFill="1" applyBorder="1"/>
    <xf numFmtId="0" fontId="1" fillId="0" borderId="64" xfId="5" applyFill="1" applyBorder="1"/>
    <xf numFmtId="0" fontId="15" fillId="14" borderId="103" xfId="5" applyFont="1" applyFill="1" applyBorder="1"/>
    <xf numFmtId="0" fontId="16" fillId="14" borderId="23" xfId="5" applyFont="1" applyFill="1" applyBorder="1"/>
    <xf numFmtId="0" fontId="32" fillId="14" borderId="23" xfId="5" applyFont="1" applyFill="1" applyBorder="1" applyAlignment="1">
      <alignment horizontal="right"/>
    </xf>
    <xf numFmtId="0" fontId="12" fillId="0" borderId="105" xfId="5" applyFont="1" applyFill="1" applyBorder="1"/>
    <xf numFmtId="0" fontId="33" fillId="0" borderId="23" xfId="5" applyFont="1" applyFill="1" applyBorder="1"/>
    <xf numFmtId="2" fontId="2" fillId="0" borderId="23" xfId="5" applyNumberFormat="1" applyFont="1" applyFill="1" applyBorder="1"/>
    <xf numFmtId="0" fontId="47" fillId="15" borderId="27" xfId="5" applyFont="1" applyFill="1" applyBorder="1"/>
    <xf numFmtId="0" fontId="1" fillId="15" borderId="0" xfId="5" applyFill="1" applyBorder="1"/>
    <xf numFmtId="0" fontId="47" fillId="15" borderId="0" xfId="5" applyFont="1" applyFill="1" applyBorder="1"/>
    <xf numFmtId="0" fontId="1" fillId="15" borderId="42" xfId="5" applyFont="1" applyFill="1" applyBorder="1"/>
    <xf numFmtId="0" fontId="1" fillId="0" borderId="0" xfId="5" applyFill="1"/>
    <xf numFmtId="0" fontId="2" fillId="15" borderId="0" xfId="5" applyFont="1" applyFill="1" applyBorder="1"/>
    <xf numFmtId="0" fontId="1" fillId="15" borderId="27" xfId="5" applyFill="1" applyBorder="1"/>
    <xf numFmtId="0" fontId="1" fillId="15" borderId="117" xfId="5" applyFill="1" applyBorder="1"/>
    <xf numFmtId="0" fontId="2" fillId="15" borderId="82" xfId="5" applyFont="1" applyFill="1" applyBorder="1"/>
    <xf numFmtId="0" fontId="1" fillId="15" borderId="82" xfId="5" applyFill="1" applyBorder="1"/>
    <xf numFmtId="0" fontId="1" fillId="0" borderId="0" xfId="5" applyBorder="1"/>
    <xf numFmtId="0" fontId="1" fillId="15" borderId="116" xfId="5" applyFont="1" applyFill="1" applyBorder="1"/>
    <xf numFmtId="0" fontId="4" fillId="0" borderId="0" xfId="5" applyFont="1" applyBorder="1" applyAlignment="1">
      <alignment horizontal="left" vertical="center"/>
    </xf>
    <xf numFmtId="0" fontId="24" fillId="0" borderId="118" xfId="5" applyFont="1" applyBorder="1" applyAlignment="1">
      <alignment horizontal="center" wrapText="1"/>
    </xf>
    <xf numFmtId="0" fontId="24" fillId="0" borderId="17" xfId="5" applyFont="1" applyBorder="1" applyAlignment="1">
      <alignment horizontal="center" wrapText="1"/>
    </xf>
    <xf numFmtId="0" fontId="24" fillId="0" borderId="84" xfId="5" applyFont="1" applyBorder="1" applyAlignment="1">
      <alignment horizontal="center" wrapText="1"/>
    </xf>
    <xf numFmtId="0" fontId="46" fillId="0" borderId="0" xfId="5" applyFont="1" applyBorder="1"/>
    <xf numFmtId="0" fontId="24" fillId="0" borderId="83" xfId="5" applyFont="1" applyBorder="1" applyAlignment="1">
      <alignment horizontal="center" wrapText="1"/>
    </xf>
    <xf numFmtId="0" fontId="24" fillId="0" borderId="1" xfId="5" applyFont="1" applyBorder="1" applyAlignment="1">
      <alignment horizontal="center" wrapText="1"/>
    </xf>
    <xf numFmtId="3" fontId="4" fillId="0" borderId="119" xfId="5" applyNumberFormat="1" applyFont="1" applyBorder="1" applyAlignment="1">
      <alignment horizontal="center" vertical="center"/>
    </xf>
    <xf numFmtId="0" fontId="1" fillId="0" borderId="23" xfId="5" applyBorder="1"/>
    <xf numFmtId="172" fontId="4" fillId="0" borderId="119" xfId="5" applyNumberFormat="1" applyFont="1" applyBorder="1" applyAlignment="1">
      <alignment horizontal="center" vertical="center"/>
    </xf>
    <xf numFmtId="172" fontId="4" fillId="0" borderId="120" xfId="5" applyNumberFormat="1" applyFont="1" applyBorder="1" applyAlignment="1">
      <alignment horizontal="center" vertical="center"/>
    </xf>
    <xf numFmtId="172" fontId="4" fillId="0" borderId="121" xfId="5" applyNumberFormat="1" applyFont="1" applyBorder="1" applyAlignment="1">
      <alignment horizontal="center" vertical="center"/>
    </xf>
    <xf numFmtId="3" fontId="4" fillId="0" borderId="120" xfId="5" applyNumberFormat="1" applyFont="1" applyBorder="1" applyAlignment="1">
      <alignment horizontal="center" vertical="center"/>
    </xf>
    <xf numFmtId="3" fontId="4" fillId="0" borderId="121" xfId="5" applyNumberFormat="1" applyFont="1" applyBorder="1" applyAlignment="1">
      <alignment horizontal="center" vertical="center"/>
    </xf>
    <xf numFmtId="3" fontId="4" fillId="0" borderId="53" xfId="5" applyNumberFormat="1" applyFont="1" applyBorder="1" applyAlignment="1">
      <alignment horizontal="center" vertical="center"/>
    </xf>
    <xf numFmtId="0" fontId="1" fillId="0" borderId="0" xfId="5" applyFont="1"/>
    <xf numFmtId="2" fontId="2" fillId="0" borderId="98" xfId="5" applyNumberFormat="1" applyFont="1" applyFill="1" applyBorder="1"/>
    <xf numFmtId="2" fontId="2" fillId="0" borderId="104" xfId="5" applyNumberFormat="1" applyFont="1" applyFill="1" applyBorder="1"/>
    <xf numFmtId="2" fontId="40" fillId="0" borderId="97" xfId="5" applyNumberFormat="1" applyFont="1" applyFill="1" applyBorder="1"/>
    <xf numFmtId="2" fontId="40" fillId="0" borderId="96" xfId="5" applyNumberFormat="1" applyFont="1" applyFill="1" applyBorder="1"/>
    <xf numFmtId="0" fontId="4" fillId="0" borderId="0" xfId="5" applyFont="1" applyFill="1" applyBorder="1" applyAlignment="1">
      <alignment horizontal="right"/>
    </xf>
    <xf numFmtId="0" fontId="32" fillId="0" borderId="0" xfId="5" applyFont="1" applyFill="1" applyBorder="1" applyAlignment="1">
      <alignment horizontal="right"/>
    </xf>
    <xf numFmtId="174" fontId="0" fillId="0" borderId="0" xfId="2" applyNumberFormat="1" applyFont="1"/>
    <xf numFmtId="10" fontId="0" fillId="0" borderId="0" xfId="2" applyNumberFormat="1" applyFont="1"/>
    <xf numFmtId="173" fontId="0" fillId="0" borderId="0" xfId="0" applyNumberFormat="1"/>
    <xf numFmtId="2" fontId="0" fillId="0" borderId="0" xfId="0" applyNumberFormat="1"/>
    <xf numFmtId="174" fontId="0" fillId="0" borderId="0" xfId="0" applyNumberFormat="1"/>
    <xf numFmtId="0" fontId="0" fillId="0" borderId="0" xfId="0"/>
    <xf numFmtId="0" fontId="0" fillId="0" borderId="0" xfId="0"/>
    <xf numFmtId="10" fontId="0" fillId="0" borderId="0" xfId="0" applyNumberFormat="1"/>
    <xf numFmtId="10" fontId="0" fillId="12" borderId="0" xfId="0" applyNumberFormat="1" applyFill="1"/>
    <xf numFmtId="10" fontId="0" fillId="18" borderId="0" xfId="0" applyNumberFormat="1" applyFill="1"/>
    <xf numFmtId="10" fontId="0" fillId="17" borderId="0" xfId="0" applyNumberFormat="1" applyFill="1"/>
    <xf numFmtId="10" fontId="0" fillId="16" borderId="0" xfId="0" applyNumberFormat="1" applyFill="1"/>
    <xf numFmtId="2" fontId="2" fillId="0" borderId="109" xfId="5" applyNumberFormat="1" applyFont="1" applyFill="1" applyBorder="1"/>
    <xf numFmtId="2" fontId="1" fillId="0" borderId="78" xfId="5" applyNumberFormat="1" applyFont="1" applyFill="1" applyBorder="1"/>
    <xf numFmtId="0" fontId="16" fillId="14" borderId="40" xfId="5" applyFont="1" applyFill="1" applyBorder="1" applyAlignment="1">
      <alignment horizontal="right"/>
    </xf>
    <xf numFmtId="166" fontId="30" fillId="18" borderId="0" xfId="0" applyNumberFormat="1" applyFont="1" applyFill="1" applyAlignment="1">
      <alignment horizontal="center"/>
    </xf>
    <xf numFmtId="2" fontId="2" fillId="0" borderId="80" xfId="0" applyNumberFormat="1" applyFont="1" applyFill="1" applyBorder="1"/>
    <xf numFmtId="0" fontId="0" fillId="0" borderId="0" xfId="0"/>
    <xf numFmtId="174" fontId="2" fillId="0" borderId="109" xfId="5" applyNumberFormat="1" applyFont="1" applyFill="1" applyBorder="1"/>
    <xf numFmtId="0" fontId="0" fillId="0" borderId="0" xfId="0"/>
    <xf numFmtId="0" fontId="12" fillId="19" borderId="39" xfId="5" applyFont="1" applyFill="1" applyBorder="1"/>
    <xf numFmtId="0" fontId="1" fillId="19" borderId="40" xfId="5" applyFill="1" applyBorder="1"/>
    <xf numFmtId="0" fontId="47" fillId="19" borderId="40" xfId="5" applyFont="1" applyFill="1" applyBorder="1"/>
    <xf numFmtId="0" fontId="47" fillId="19" borderId="27" xfId="5" applyFont="1" applyFill="1" applyBorder="1"/>
    <xf numFmtId="0" fontId="2" fillId="19" borderId="0" xfId="5" applyFont="1" applyFill="1" applyBorder="1"/>
    <xf numFmtId="0" fontId="1" fillId="19" borderId="0" xfId="5" applyFill="1" applyBorder="1"/>
    <xf numFmtId="0" fontId="47" fillId="19" borderId="0" xfId="5" applyFont="1" applyFill="1" applyBorder="1"/>
    <xf numFmtId="0" fontId="2" fillId="19" borderId="6" xfId="5" applyFont="1" applyFill="1" applyBorder="1" applyAlignment="1">
      <alignment horizontal="right"/>
    </xf>
    <xf numFmtId="0" fontId="1" fillId="19" borderId="103" xfId="5" applyFill="1" applyBorder="1"/>
    <xf numFmtId="0" fontId="2" fillId="19" borderId="23" xfId="5" applyFont="1" applyFill="1" applyBorder="1"/>
    <xf numFmtId="0" fontId="1" fillId="19" borderId="23" xfId="5" applyFill="1" applyBorder="1"/>
    <xf numFmtId="2" fontId="40" fillId="0" borderId="79" xfId="0" applyNumberFormat="1" applyFont="1" applyFill="1" applyBorder="1"/>
    <xf numFmtId="0" fontId="15" fillId="13" borderId="128" xfId="5" applyFont="1" applyFill="1" applyBorder="1"/>
    <xf numFmtId="0" fontId="1" fillId="13" borderId="129" xfId="5" applyFill="1" applyBorder="1"/>
    <xf numFmtId="0" fontId="4" fillId="13" borderId="129" xfId="5" applyFont="1" applyFill="1" applyBorder="1" applyAlignment="1">
      <alignment horizontal="right"/>
    </xf>
    <xf numFmtId="2" fontId="1" fillId="0" borderId="130" xfId="5" applyNumberFormat="1" applyFont="1" applyFill="1" applyBorder="1"/>
    <xf numFmtId="2" fontId="2" fillId="0" borderId="102" xfId="5" applyNumberFormat="1" applyFont="1" applyFill="1" applyBorder="1"/>
    <xf numFmtId="2" fontId="1" fillId="0" borderId="132" xfId="5" applyNumberFormat="1" applyFont="1" applyFill="1" applyBorder="1"/>
    <xf numFmtId="2" fontId="2" fillId="0" borderId="60" xfId="5" applyNumberFormat="1" applyFont="1" applyFill="1" applyBorder="1"/>
    <xf numFmtId="2" fontId="40" fillId="0" borderId="107" xfId="5" applyNumberFormat="1" applyFont="1" applyFill="1" applyBorder="1"/>
    <xf numFmtId="0" fontId="15" fillId="10" borderId="128" xfId="5" applyFont="1" applyFill="1" applyBorder="1"/>
    <xf numFmtId="0" fontId="16" fillId="10" borderId="129" xfId="5" applyFont="1" applyFill="1" applyBorder="1"/>
    <xf numFmtId="0" fontId="4" fillId="10" borderId="129" xfId="5" applyFont="1" applyFill="1" applyBorder="1" applyAlignment="1">
      <alignment horizontal="right"/>
    </xf>
    <xf numFmtId="2" fontId="1" fillId="0" borderId="108" xfId="5" applyNumberFormat="1" applyFont="1" applyFill="1" applyBorder="1"/>
    <xf numFmtId="174" fontId="2" fillId="0" borderId="111" xfId="5" applyNumberFormat="1" applyFont="1" applyFill="1" applyBorder="1"/>
    <xf numFmtId="9" fontId="2" fillId="0" borderId="59" xfId="5" applyNumberFormat="1" applyFont="1" applyFill="1" applyBorder="1"/>
    <xf numFmtId="9" fontId="2" fillId="0" borderId="133" xfId="5" applyNumberFormat="1" applyFont="1" applyFill="1" applyBorder="1"/>
    <xf numFmtId="9" fontId="2" fillId="0" borderId="115" xfId="5" applyNumberFormat="1" applyFont="1" applyFill="1" applyBorder="1"/>
    <xf numFmtId="0" fontId="15" fillId="2" borderId="128" xfId="5" applyFont="1" applyFill="1" applyBorder="1"/>
    <xf numFmtId="0" fontId="16" fillId="2" borderId="129" xfId="5" applyFont="1" applyFill="1" applyBorder="1"/>
    <xf numFmtId="0" fontId="4" fillId="2" borderId="129" xfId="5" applyFont="1" applyFill="1" applyBorder="1" applyAlignment="1">
      <alignment horizontal="right"/>
    </xf>
    <xf numFmtId="2" fontId="2" fillId="0" borderId="113" xfId="0" applyNumberFormat="1" applyFont="1" applyFill="1" applyBorder="1"/>
    <xf numFmtId="0" fontId="16" fillId="14" borderId="129" xfId="5" applyFont="1" applyFill="1" applyBorder="1"/>
    <xf numFmtId="0" fontId="4" fillId="14" borderId="129" xfId="5" applyFont="1" applyFill="1" applyBorder="1" applyAlignment="1">
      <alignment horizontal="right"/>
    </xf>
    <xf numFmtId="2" fontId="1" fillId="0" borderId="134" xfId="5" applyNumberFormat="1" applyFont="1" applyFill="1" applyBorder="1"/>
    <xf numFmtId="0" fontId="1" fillId="8" borderId="59" xfId="5" applyFont="1" applyFill="1" applyBorder="1"/>
    <xf numFmtId="2" fontId="2" fillId="0" borderId="135" xfId="0" applyNumberFormat="1" applyFont="1" applyFill="1" applyBorder="1"/>
    <xf numFmtId="2" fontId="2" fillId="0" borderId="133" xfId="0" applyNumberFormat="1" applyFont="1" applyFill="1" applyBorder="1"/>
    <xf numFmtId="0" fontId="1" fillId="0" borderId="136" xfId="5" applyBorder="1"/>
    <xf numFmtId="0" fontId="32" fillId="14" borderId="0" xfId="5" applyFont="1" applyFill="1" applyBorder="1" applyAlignment="1">
      <alignment horizontal="right"/>
    </xf>
    <xf numFmtId="0" fontId="2" fillId="19" borderId="124" xfId="5" applyFont="1" applyFill="1" applyBorder="1" applyAlignment="1">
      <alignment horizontal="right"/>
    </xf>
    <xf numFmtId="0" fontId="1" fillId="0" borderId="137" xfId="5" applyBorder="1"/>
    <xf numFmtId="0" fontId="1" fillId="0" borderId="138" xfId="5" applyBorder="1"/>
    <xf numFmtId="0" fontId="1" fillId="0" borderId="113" xfId="5" applyBorder="1"/>
    <xf numFmtId="0" fontId="2" fillId="19" borderId="125" xfId="5" applyFont="1" applyFill="1" applyBorder="1" applyAlignment="1">
      <alignment horizontal="right"/>
    </xf>
    <xf numFmtId="0" fontId="1" fillId="0" borderId="114" xfId="5" applyBorder="1"/>
    <xf numFmtId="0" fontId="1" fillId="0" borderId="115" xfId="5" applyBorder="1"/>
    <xf numFmtId="2" fontId="1" fillId="0" borderId="0" xfId="5" applyNumberFormat="1"/>
    <xf numFmtId="2" fontId="50" fillId="0" borderId="139" xfId="2" applyNumberFormat="1" applyFont="1" applyFill="1" applyBorder="1"/>
    <xf numFmtId="2" fontId="52" fillId="0" borderId="131" xfId="2" applyNumberFormat="1" applyFont="1" applyFill="1" applyBorder="1"/>
    <xf numFmtId="2" fontId="52" fillId="0" borderId="139" xfId="2" applyNumberFormat="1" applyFont="1" applyFill="1" applyBorder="1"/>
    <xf numFmtId="2" fontId="50" fillId="0" borderId="131" xfId="2" applyNumberFormat="1" applyFont="1" applyFill="1" applyBorder="1"/>
    <xf numFmtId="2" fontId="50" fillId="0" borderId="140" xfId="2" applyNumberFormat="1" applyFont="1" applyFill="1" applyBorder="1"/>
    <xf numFmtId="9" fontId="51" fillId="0" borderId="111" xfId="2" applyFont="1" applyFill="1" applyBorder="1"/>
    <xf numFmtId="2" fontId="1" fillId="0" borderId="78" xfId="5" applyNumberFormat="1" applyBorder="1"/>
    <xf numFmtId="2" fontId="51" fillId="0" borderId="133" xfId="2" applyNumberFormat="1" applyFont="1" applyFill="1" applyBorder="1"/>
    <xf numFmtId="0" fontId="1" fillId="8" borderId="119" xfId="5" applyFont="1" applyFill="1" applyBorder="1"/>
    <xf numFmtId="0" fontId="1" fillId="0" borderId="119" xfId="5" applyFill="1" applyBorder="1"/>
    <xf numFmtId="0" fontId="1" fillId="8" borderId="119" xfId="5" applyFill="1" applyBorder="1"/>
    <xf numFmtId="0" fontId="1" fillId="8" borderId="142" xfId="5" applyFont="1" applyFill="1" applyBorder="1"/>
    <xf numFmtId="0" fontId="1" fillId="0" borderId="143" xfId="5" applyFill="1" applyBorder="1"/>
    <xf numFmtId="0" fontId="1" fillId="0" borderId="129" xfId="5" applyFill="1" applyBorder="1"/>
    <xf numFmtId="0" fontId="1" fillId="0" borderId="144" xfId="5" applyFill="1" applyBorder="1"/>
    <xf numFmtId="2" fontId="1" fillId="0" borderId="144" xfId="5" applyNumberFormat="1" applyFill="1" applyBorder="1"/>
    <xf numFmtId="2" fontId="2" fillId="0" borderId="145" xfId="0" applyNumberFormat="1" applyFont="1" applyFill="1" applyBorder="1"/>
    <xf numFmtId="2" fontId="51" fillId="0" borderId="46" xfId="2" applyNumberFormat="1" applyFont="1" applyFill="1" applyBorder="1"/>
    <xf numFmtId="0" fontId="2" fillId="0" borderId="0" xfId="5" applyFont="1" applyFill="1" applyBorder="1"/>
    <xf numFmtId="2" fontId="51" fillId="0" borderId="42" xfId="2" applyNumberFormat="1" applyFont="1" applyFill="1" applyBorder="1"/>
    <xf numFmtId="0" fontId="1" fillId="8" borderId="141" xfId="5" applyFont="1" applyFill="1" applyBorder="1"/>
    <xf numFmtId="0" fontId="1" fillId="8" borderId="66" xfId="5" applyFill="1" applyBorder="1"/>
    <xf numFmtId="0" fontId="1" fillId="8" borderId="146" xfId="5" applyFont="1" applyFill="1" applyBorder="1"/>
    <xf numFmtId="0" fontId="1" fillId="0" borderId="132" xfId="5" applyFill="1" applyBorder="1"/>
    <xf numFmtId="0" fontId="4" fillId="0" borderId="149" xfId="0" applyFont="1" applyBorder="1" applyAlignment="1">
      <alignment horizontal="center" vertical="center"/>
    </xf>
    <xf numFmtId="0" fontId="4" fillId="0" borderId="150" xfId="0" applyFont="1" applyBorder="1" applyAlignment="1">
      <alignment horizontal="center" vertical="center"/>
    </xf>
    <xf numFmtId="2" fontId="40" fillId="0" borderId="96" xfId="0" applyNumberFormat="1" applyFont="1" applyFill="1" applyBorder="1"/>
    <xf numFmtId="0" fontId="0" fillId="0" borderId="0" xfId="0"/>
    <xf numFmtId="166" fontId="30" fillId="0" borderId="0" xfId="0" applyNumberFormat="1" applyFont="1" applyFill="1" applyAlignment="1">
      <alignment horizontal="center"/>
    </xf>
    <xf numFmtId="0" fontId="0" fillId="0" borderId="0" xfId="0"/>
    <xf numFmtId="166" fontId="30" fillId="0" borderId="0" xfId="0" applyNumberFormat="1" applyFont="1"/>
    <xf numFmtId="0" fontId="37" fillId="0" borderId="127" xfId="5" applyFont="1" applyBorder="1" applyAlignment="1">
      <alignment horizontal="center" vertical="center" wrapText="1"/>
    </xf>
    <xf numFmtId="0" fontId="37" fillId="0" borderId="126" xfId="5" applyFont="1" applyBorder="1" applyAlignment="1">
      <alignment horizontal="center" vertical="center" wrapText="1"/>
    </xf>
    <xf numFmtId="0" fontId="15" fillId="13" borderId="151" xfId="5" applyFont="1" applyFill="1" applyBorder="1"/>
    <xf numFmtId="0" fontId="1" fillId="13" borderId="152" xfId="5" applyFill="1" applyBorder="1"/>
    <xf numFmtId="0" fontId="4" fillId="13" borderId="152" xfId="5" applyFont="1" applyFill="1" applyBorder="1" applyAlignment="1">
      <alignment horizontal="right"/>
    </xf>
    <xf numFmtId="2" fontId="1" fillId="0" borderId="153" xfId="5" applyNumberFormat="1" applyFont="1" applyFill="1" applyBorder="1"/>
    <xf numFmtId="2" fontId="1" fillId="0" borderId="154" xfId="5" applyNumberFormat="1" applyFont="1" applyFill="1" applyBorder="1"/>
    <xf numFmtId="2" fontId="1" fillId="0" borderId="155" xfId="5" applyNumberFormat="1" applyFont="1" applyFill="1" applyBorder="1"/>
    <xf numFmtId="0" fontId="15" fillId="10" borderId="151" xfId="5" applyFont="1" applyFill="1" applyBorder="1"/>
    <xf numFmtId="0" fontId="16" fillId="10" borderId="152" xfId="5" applyFont="1" applyFill="1" applyBorder="1"/>
    <xf numFmtId="0" fontId="4" fillId="10" borderId="152" xfId="5" applyFont="1" applyFill="1" applyBorder="1" applyAlignment="1">
      <alignment horizontal="right"/>
    </xf>
    <xf numFmtId="0" fontId="15" fillId="2" borderId="151" xfId="5" applyFont="1" applyFill="1" applyBorder="1"/>
    <xf numFmtId="0" fontId="16" fillId="2" borderId="152" xfId="5" applyFont="1" applyFill="1" applyBorder="1"/>
    <xf numFmtId="0" fontId="4" fillId="2" borderId="152" xfId="5" applyFont="1" applyFill="1" applyBorder="1" applyAlignment="1">
      <alignment horizontal="right"/>
    </xf>
    <xf numFmtId="0" fontId="16" fillId="14" borderId="152" xfId="5" applyFont="1" applyFill="1" applyBorder="1"/>
    <xf numFmtId="0" fontId="4" fillId="14" borderId="152" xfId="5" applyFont="1" applyFill="1" applyBorder="1" applyAlignment="1">
      <alignment horizontal="right"/>
    </xf>
    <xf numFmtId="2" fontId="1" fillId="0" borderId="156" xfId="5" applyNumberFormat="1" applyFont="1" applyFill="1" applyBorder="1"/>
    <xf numFmtId="2" fontId="1" fillId="0" borderId="157" xfId="5" applyNumberFormat="1" applyFont="1" applyFill="1" applyBorder="1"/>
    <xf numFmtId="0" fontId="3" fillId="0" borderId="0" xfId="1" applyAlignment="1" applyProtection="1">
      <alignment horizontal="left"/>
    </xf>
    <xf numFmtId="2" fontId="4" fillId="0" borderId="79" xfId="0" applyNumberFormat="1" applyFont="1" applyFill="1" applyBorder="1"/>
    <xf numFmtId="2" fontId="4" fillId="0" borderId="59" xfId="0" applyNumberFormat="1" applyFont="1" applyFill="1" applyBorder="1"/>
    <xf numFmtId="2" fontId="4" fillId="0" borderId="97" xfId="5" applyNumberFormat="1" applyFont="1" applyFill="1" applyBorder="1"/>
    <xf numFmtId="2" fontId="4" fillId="0" borderId="107" xfId="5" applyNumberFormat="1" applyFont="1" applyFill="1" applyBorder="1"/>
    <xf numFmtId="2" fontId="4" fillId="0" borderId="96" xfId="5" applyNumberFormat="1" applyFont="1" applyFill="1" applyBorder="1"/>
    <xf numFmtId="0" fontId="0" fillId="0" borderId="0" xfId="0"/>
    <xf numFmtId="0" fontId="13" fillId="0" borderId="96" xfId="5" applyFont="1" applyBorder="1" applyAlignment="1">
      <alignment horizontal="center" vertical="center" wrapText="1"/>
    </xf>
    <xf numFmtId="0" fontId="13" fillId="0" borderId="124" xfId="5" applyFont="1" applyBorder="1" applyAlignment="1">
      <alignment horizontal="center" vertical="center" wrapText="1"/>
    </xf>
    <xf numFmtId="0" fontId="3" fillId="8" borderId="147" xfId="1" applyFill="1" applyBorder="1" applyAlignment="1" applyProtection="1">
      <alignment horizontal="center" vertical="center" wrapText="1"/>
    </xf>
    <xf numFmtId="0" fontId="3" fillId="8" borderId="144" xfId="1" applyFill="1" applyBorder="1" applyAlignment="1" applyProtection="1">
      <alignment horizontal="center" vertical="center" wrapText="1"/>
    </xf>
    <xf numFmtId="0" fontId="3" fillId="8" borderId="148" xfId="1" applyFill="1" applyBorder="1" applyAlignment="1" applyProtection="1">
      <alignment horizontal="center" vertical="center" wrapText="1"/>
    </xf>
    <xf numFmtId="0" fontId="48" fillId="8" borderId="134" xfId="1" applyFont="1" applyFill="1" applyBorder="1" applyAlignment="1" applyProtection="1">
      <alignment horizontal="center" vertical="center" wrapText="1"/>
    </xf>
    <xf numFmtId="0" fontId="48" fillId="8" borderId="129" xfId="1" applyFont="1" applyFill="1" applyBorder="1" applyAlignment="1" applyProtection="1">
      <alignment horizontal="center" vertical="center" wrapText="1"/>
    </xf>
    <xf numFmtId="0" fontId="48" fillId="8" borderId="140" xfId="1" applyFont="1" applyFill="1" applyBorder="1" applyAlignment="1" applyProtection="1">
      <alignment horizontal="center" vertical="center" wrapText="1"/>
    </xf>
    <xf numFmtId="0" fontId="24" fillId="0" borderId="85" xfId="5" applyFont="1" applyBorder="1" applyAlignment="1">
      <alignment horizontal="center" wrapText="1"/>
    </xf>
    <xf numFmtId="0" fontId="24" fillId="0" borderId="86" xfId="5" applyFont="1" applyBorder="1" applyAlignment="1">
      <alignment horizontal="center" wrapText="1"/>
    </xf>
    <xf numFmtId="0" fontId="24" fillId="0" borderId="87" xfId="5" applyFont="1" applyBorder="1" applyAlignment="1">
      <alignment horizontal="center" wrapText="1"/>
    </xf>
    <xf numFmtId="0" fontId="24" fillId="0" borderId="88" xfId="5" applyFont="1" applyBorder="1" applyAlignment="1">
      <alignment horizontal="center" wrapText="1"/>
    </xf>
    <xf numFmtId="0" fontId="24" fillId="0" borderId="116" xfId="5" applyFont="1" applyBorder="1" applyAlignment="1">
      <alignment horizontal="center" wrapText="1"/>
    </xf>
    <xf numFmtId="0" fontId="0" fillId="0" borderId="47" xfId="0" applyBorder="1" applyAlignment="1">
      <alignment horizontal="center" vertical="center" textRotation="90"/>
    </xf>
    <xf numFmtId="0" fontId="0" fillId="0" borderId="50" xfId="0" applyBorder="1" applyAlignment="1">
      <alignment horizontal="center" vertical="center" textRotation="90"/>
    </xf>
    <xf numFmtId="0" fontId="0" fillId="0" borderId="57" xfId="0" applyBorder="1" applyAlignment="1">
      <alignment horizontal="center" vertical="center" textRotation="90"/>
    </xf>
    <xf numFmtId="0" fontId="38" fillId="0" borderId="51" xfId="0" applyFont="1" applyBorder="1" applyAlignment="1">
      <alignment vertical="top" wrapText="1"/>
    </xf>
    <xf numFmtId="0" fontId="38" fillId="0" borderId="52" xfId="0" applyFont="1" applyBorder="1" applyAlignment="1">
      <alignment vertical="top" wrapText="1"/>
    </xf>
    <xf numFmtId="0" fontId="38" fillId="0" borderId="53" xfId="0" applyFont="1" applyBorder="1" applyAlignment="1">
      <alignment vertical="top" wrapText="1"/>
    </xf>
    <xf numFmtId="0" fontId="30" fillId="0" borderId="58" xfId="0" applyFont="1" applyBorder="1" applyAlignment="1">
      <alignment horizontal="center" vertical="center" textRotation="90" wrapText="1"/>
    </xf>
    <xf numFmtId="0" fontId="30" fillId="0" borderId="59" xfId="0" applyFont="1" applyBorder="1" applyAlignment="1">
      <alignment horizontal="center" vertical="center" textRotation="90" wrapText="1"/>
    </xf>
    <xf numFmtId="0" fontId="30" fillId="0" borderId="60" xfId="0" applyFont="1" applyBorder="1" applyAlignment="1">
      <alignment horizontal="center" vertical="center" textRotation="90" wrapText="1"/>
    </xf>
    <xf numFmtId="0" fontId="5" fillId="0" borderId="43" xfId="0" applyFont="1" applyBorder="1" applyAlignment="1">
      <alignment horizontal="center" vertical="center" wrapText="1"/>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0" fillId="0" borderId="25" xfId="0" applyFont="1" applyBorder="1" applyAlignment="1">
      <alignment wrapText="1"/>
    </xf>
    <xf numFmtId="0" fontId="40" fillId="0" borderId="26" xfId="0" applyFont="1" applyBorder="1" applyAlignment="1">
      <alignment wrapText="1"/>
    </xf>
    <xf numFmtId="0" fontId="5" fillId="0" borderId="39" xfId="0" applyFont="1" applyBorder="1" applyAlignment="1">
      <alignment horizontal="left" vertical="center" wrapText="1"/>
    </xf>
    <xf numFmtId="0" fontId="5" fillId="0" borderId="40" xfId="0" applyFont="1" applyBorder="1" applyAlignment="1">
      <alignment horizontal="left" vertical="center" wrapText="1"/>
    </xf>
    <xf numFmtId="0" fontId="5" fillId="0" borderId="41" xfId="0" applyFont="1" applyBorder="1" applyAlignment="1">
      <alignment horizontal="left" vertical="center" wrapText="1"/>
    </xf>
    <xf numFmtId="49" fontId="5" fillId="0" borderId="39" xfId="0" applyNumberFormat="1" applyFont="1" applyBorder="1" applyAlignment="1">
      <alignment horizontal="left" vertical="center" wrapText="1"/>
    </xf>
    <xf numFmtId="49" fontId="5" fillId="0" borderId="40" xfId="0" applyNumberFormat="1" applyFont="1" applyBorder="1" applyAlignment="1">
      <alignment horizontal="left" vertical="center" wrapText="1"/>
    </xf>
    <xf numFmtId="49" fontId="5" fillId="0" borderId="41" xfId="0" applyNumberFormat="1" applyFont="1" applyBorder="1" applyAlignment="1">
      <alignment horizontal="left" vertical="center" wrapText="1"/>
    </xf>
    <xf numFmtId="0" fontId="38" fillId="0" borderId="39" xfId="0" applyFont="1" applyBorder="1" applyAlignment="1">
      <alignment horizontal="left" vertical="center" wrapText="1"/>
    </xf>
    <xf numFmtId="0" fontId="38" fillId="0" borderId="40" xfId="0" applyFont="1" applyBorder="1" applyAlignment="1">
      <alignment horizontal="left" vertical="center" wrapText="1"/>
    </xf>
    <xf numFmtId="0" fontId="38" fillId="0" borderId="41" xfId="0" applyFont="1" applyBorder="1" applyAlignment="1">
      <alignment horizontal="left" vertical="center" wrapText="1"/>
    </xf>
    <xf numFmtId="0" fontId="30" fillId="0" borderId="42" xfId="0" applyFont="1" applyBorder="1" applyAlignment="1">
      <alignment horizontal="center" vertical="center" textRotation="90" wrapText="1"/>
    </xf>
    <xf numFmtId="0" fontId="30" fillId="0" borderId="46" xfId="0" applyFont="1" applyBorder="1" applyAlignment="1">
      <alignment horizontal="center" vertical="center" textRotation="90" wrapText="1"/>
    </xf>
    <xf numFmtId="0" fontId="36" fillId="0" borderId="0" xfId="0" applyFont="1" applyAlignment="1">
      <alignment horizontal="center" vertical="center"/>
    </xf>
    <xf numFmtId="0" fontId="36" fillId="0" borderId="23" xfId="0" applyFont="1" applyBorder="1" applyAlignment="1">
      <alignment horizontal="center"/>
    </xf>
    <xf numFmtId="0" fontId="36" fillId="0" borderId="23" xfId="0" applyFont="1" applyBorder="1" applyAlignment="1">
      <alignment horizontal="center" wrapText="1"/>
    </xf>
    <xf numFmtId="0" fontId="39" fillId="0" borderId="24" xfId="0" applyFont="1" applyBorder="1" applyAlignment="1">
      <alignment horizontal="center" wrapText="1"/>
    </xf>
    <xf numFmtId="0" fontId="39" fillId="0" borderId="25" xfId="0" applyFont="1" applyBorder="1" applyAlignment="1">
      <alignment horizontal="center" wrapText="1"/>
    </xf>
    <xf numFmtId="0" fontId="39" fillId="0" borderId="26" xfId="0" applyFont="1" applyBorder="1" applyAlignment="1">
      <alignment horizontal="center" wrapText="1"/>
    </xf>
    <xf numFmtId="0" fontId="39" fillId="0" borderId="24" xfId="0" applyFont="1" applyBorder="1" applyAlignment="1">
      <alignment horizontal="center"/>
    </xf>
    <xf numFmtId="0" fontId="39" fillId="0" borderId="25" xfId="0" applyFont="1" applyBorder="1" applyAlignment="1">
      <alignment horizontal="center"/>
    </xf>
    <xf numFmtId="0" fontId="39" fillId="0" borderId="26" xfId="0" applyFont="1" applyBorder="1" applyAlignment="1">
      <alignment horizontal="center"/>
    </xf>
    <xf numFmtId="0" fontId="0" fillId="0" borderId="0" xfId="0"/>
    <xf numFmtId="0" fontId="9" fillId="8" borderId="1" xfId="0" applyFont="1" applyFill="1" applyBorder="1" applyAlignment="1">
      <alignment horizontal="center"/>
    </xf>
    <xf numFmtId="0" fontId="10" fillId="0" borderId="2" xfId="0" applyFont="1" applyBorder="1" applyAlignment="1"/>
    <xf numFmtId="0" fontId="11" fillId="8" borderId="3" xfId="0" applyFont="1" applyFill="1" applyBorder="1" applyAlignment="1">
      <alignment horizontal="center" vertical="top" wrapText="1"/>
    </xf>
    <xf numFmtId="0" fontId="11" fillId="8" borderId="4" xfId="0" applyFont="1" applyFill="1" applyBorder="1" applyAlignment="1">
      <alignment horizontal="center" vertical="top" wrapText="1"/>
    </xf>
    <xf numFmtId="0" fontId="11" fillId="8" borderId="0" xfId="0" applyFont="1" applyFill="1" applyBorder="1" applyAlignment="1">
      <alignment horizontal="center" vertical="top" wrapText="1"/>
    </xf>
    <xf numFmtId="0" fontId="11" fillId="8" borderId="6" xfId="0" applyFont="1" applyFill="1" applyBorder="1" applyAlignment="1">
      <alignment horizontal="center" vertical="top" wrapText="1"/>
    </xf>
    <xf numFmtId="0" fontId="12" fillId="8" borderId="5" xfId="0" applyFont="1" applyFill="1" applyBorder="1" applyAlignment="1">
      <alignment horizontal="center"/>
    </xf>
    <xf numFmtId="0" fontId="13" fillId="0" borderId="0" xfId="0" applyFont="1" applyAlignment="1"/>
    <xf numFmtId="0" fontId="12" fillId="8" borderId="7" xfId="0" applyFont="1" applyFill="1" applyBorder="1" applyAlignment="1">
      <alignment horizontal="center" vertical="center"/>
    </xf>
    <xf numFmtId="0" fontId="13" fillId="0" borderId="8" xfId="0" applyFont="1" applyBorder="1" applyAlignment="1"/>
    <xf numFmtId="0" fontId="14" fillId="8" borderId="0" xfId="1" applyFont="1" applyFill="1" applyBorder="1" applyAlignment="1" applyProtection="1">
      <alignment horizontal="center" vertical="center"/>
    </xf>
    <xf numFmtId="0" fontId="14" fillId="0" borderId="6" xfId="1" applyFont="1" applyBorder="1" applyAlignment="1" applyProtection="1">
      <alignment horizontal="center" vertical="center"/>
    </xf>
    <xf numFmtId="0" fontId="30" fillId="0" borderId="17" xfId="0" applyFont="1" applyBorder="1" applyAlignment="1">
      <alignment horizontal="center" vertical="center"/>
    </xf>
    <xf numFmtId="0" fontId="0" fillId="0" borderId="16" xfId="0" applyBorder="1" applyAlignment="1"/>
    <xf numFmtId="0" fontId="0" fillId="0" borderId="12" xfId="0" applyBorder="1" applyAlignment="1"/>
    <xf numFmtId="0" fontId="31" fillId="0" borderId="17" xfId="0" applyFont="1" applyBorder="1" applyAlignment="1">
      <alignment vertical="top" wrapText="1"/>
    </xf>
    <xf numFmtId="0" fontId="0" fillId="0" borderId="16" xfId="0" applyBorder="1" applyAlignment="1">
      <alignment horizontal="center" vertical="center"/>
    </xf>
    <xf numFmtId="0" fontId="0" fillId="0" borderId="16" xfId="0" applyBorder="1" applyAlignment="1">
      <alignment vertical="top" wrapText="1"/>
    </xf>
    <xf numFmtId="0" fontId="0" fillId="0" borderId="12" xfId="0" applyBorder="1" applyAlignment="1">
      <alignment vertical="top" wrapText="1"/>
    </xf>
    <xf numFmtId="0" fontId="30" fillId="0" borderId="16" xfId="0" applyFont="1" applyBorder="1" applyAlignment="1">
      <alignment vertical="top" wrapText="1"/>
    </xf>
    <xf numFmtId="0" fontId="0" fillId="0" borderId="12" xfId="0" applyBorder="1" applyAlignment="1">
      <alignment horizontal="center" vertical="center"/>
    </xf>
    <xf numFmtId="0" fontId="16" fillId="8" borderId="3" xfId="0" applyFont="1" applyFill="1" applyBorder="1" applyAlignment="1">
      <alignment horizontal="center" vertical="top" wrapText="1"/>
    </xf>
    <xf numFmtId="0" fontId="16" fillId="8" borderId="4" xfId="0" applyFont="1" applyFill="1" applyBorder="1" applyAlignment="1">
      <alignment horizontal="center" vertical="top" wrapText="1"/>
    </xf>
    <xf numFmtId="0" fontId="16" fillId="8" borderId="0" xfId="0" applyFont="1" applyFill="1" applyBorder="1" applyAlignment="1">
      <alignment horizontal="center" vertical="top" wrapText="1"/>
    </xf>
    <xf numFmtId="0" fontId="16" fillId="8" borderId="6" xfId="0" applyFont="1" applyFill="1" applyBorder="1" applyAlignment="1">
      <alignment horizontal="center" vertical="top" wrapText="1"/>
    </xf>
    <xf numFmtId="0" fontId="23" fillId="8" borderId="1" xfId="0" applyFont="1" applyFill="1" applyBorder="1" applyAlignment="1">
      <alignment horizontal="center" wrapText="1"/>
    </xf>
    <xf numFmtId="0" fontId="23" fillId="8" borderId="2" xfId="0" applyFont="1" applyFill="1" applyBorder="1" applyAlignment="1">
      <alignment horizontal="center" wrapText="1"/>
    </xf>
    <xf numFmtId="0" fontId="23" fillId="8" borderId="14" xfId="0" applyFont="1" applyFill="1" applyBorder="1" applyAlignment="1">
      <alignment horizontal="center" wrapText="1"/>
    </xf>
    <xf numFmtId="0" fontId="4" fillId="8" borderId="7" xfId="0" applyFont="1" applyFill="1" applyBorder="1" applyAlignment="1">
      <alignment horizontal="center" vertical="center" wrapText="1"/>
    </xf>
    <xf numFmtId="0" fontId="24" fillId="8" borderId="8" xfId="0" applyFont="1" applyFill="1" applyBorder="1" applyAlignment="1">
      <alignment horizontal="center" vertical="center" wrapText="1"/>
    </xf>
    <xf numFmtId="0" fontId="24" fillId="8" borderId="13" xfId="0" applyFont="1" applyFill="1" applyBorder="1" applyAlignment="1">
      <alignment horizontal="center" vertical="center" wrapText="1"/>
    </xf>
    <xf numFmtId="0" fontId="16" fillId="8" borderId="2" xfId="0" applyFont="1" applyFill="1" applyBorder="1" applyAlignment="1">
      <alignment horizontal="center"/>
    </xf>
    <xf numFmtId="0" fontId="16" fillId="8" borderId="14" xfId="0" applyFont="1" applyFill="1" applyBorder="1" applyAlignment="1">
      <alignment horizontal="center"/>
    </xf>
    <xf numFmtId="0" fontId="15" fillId="8" borderId="0" xfId="0" applyFont="1" applyFill="1" applyBorder="1" applyAlignment="1">
      <alignment horizontal="center" vertical="center" wrapText="1"/>
    </xf>
    <xf numFmtId="0" fontId="16" fillId="8" borderId="0" xfId="0" applyFont="1" applyFill="1" applyBorder="1" applyAlignment="1">
      <alignment horizontal="center" vertical="center"/>
    </xf>
    <xf numFmtId="0" fontId="15" fillId="8" borderId="8" xfId="0" applyFont="1" applyFill="1" applyBorder="1" applyAlignment="1">
      <alignment horizontal="center" vertical="center" wrapText="1"/>
    </xf>
    <xf numFmtId="0" fontId="0" fillId="8" borderId="8" xfId="0" applyFill="1" applyBorder="1" applyAlignment="1">
      <alignment horizontal="center" vertical="center"/>
    </xf>
    <xf numFmtId="0" fontId="0" fillId="0" borderId="61" xfId="0" applyBorder="1"/>
    <xf numFmtId="0" fontId="0" fillId="0" borderId="62" xfId="0" applyBorder="1"/>
    <xf numFmtId="0" fontId="0" fillId="0" borderId="63" xfId="0" applyBorder="1"/>
    <xf numFmtId="0" fontId="5" fillId="0" borderId="61" xfId="0" applyFont="1" applyBorder="1"/>
    <xf numFmtId="0" fontId="1" fillId="0" borderId="122" xfId="5" applyFont="1" applyBorder="1" applyAlignment="1">
      <alignment horizontal="center" vertical="center" wrapText="1"/>
    </xf>
    <xf numFmtId="0" fontId="1" fillId="0" borderId="123" xfId="5" applyFont="1" applyBorder="1" applyAlignment="1">
      <alignment horizontal="center" vertical="center" wrapText="1"/>
    </xf>
  </cellXfs>
  <cellStyles count="6">
    <cellStyle name="Hyperlink" xfId="1" builtinId="8"/>
    <cellStyle name="Hyperlink 2" xfId="4"/>
    <cellStyle name="Normal" xfId="0" builtinId="0"/>
    <cellStyle name="Normal 2" xfId="3"/>
    <cellStyle name="Normal 3" xfId="5"/>
    <cellStyle name="Percent" xfId="2" builtinId="5"/>
  </cellStyles>
  <dxfs count="107">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s>
  <tableStyles count="0" defaultTableStyle="TableStyleMedium9" defaultPivotStyle="PivotStyleLight16"/>
  <colors>
    <mruColors>
      <color rgb="FFCCCC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attachedToolbars" Target="attachedToolbars.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 Responses - Business Survey</a:t>
            </a:r>
          </a:p>
        </c:rich>
      </c:tx>
      <c:layout>
        <c:manualLayout>
          <c:xMode val="edge"/>
          <c:yMode val="edge"/>
          <c:x val="0.24032587510719591"/>
          <c:y val="3.1862701100186311E-2"/>
        </c:manualLayout>
      </c:layout>
      <c:spPr>
        <a:noFill/>
        <a:ln w="25400">
          <a:noFill/>
        </a:ln>
      </c:spPr>
    </c:title>
    <c:plotArea>
      <c:layout>
        <c:manualLayout>
          <c:layoutTarget val="inner"/>
          <c:xMode val="edge"/>
          <c:yMode val="edge"/>
          <c:x val="0.12219959266802446"/>
          <c:y val="0.17402002436625011"/>
          <c:w val="0.84928716904275725"/>
          <c:h val="0.43382456778629469"/>
        </c:manualLayout>
      </c:layout>
      <c:barChart>
        <c:barDir val="col"/>
        <c:grouping val="clustered"/>
        <c:ser>
          <c:idx val="0"/>
          <c:order val="0"/>
          <c:spPr>
            <a:solidFill>
              <a:srgbClr val="9999FF"/>
            </a:solidFill>
            <a:ln w="12700">
              <a:solidFill>
                <a:srgbClr val="000000"/>
              </a:solidFill>
              <a:prstDash val="solid"/>
            </a:ln>
          </c:spPr>
          <c:cat>
            <c:strRef>
              <c:f>Lookups!$B$6:$B$16</c:f>
              <c:strCache>
                <c:ptCount val="11"/>
                <c:pt idx="0">
                  <c:v>Data Services</c:v>
                </c:pt>
                <c:pt idx="1">
                  <c:v>eBusiness</c:v>
                </c:pt>
                <c:pt idx="2">
                  <c:v>Help Desk</c:v>
                </c:pt>
                <c:pt idx="3">
                  <c:v>IT Finance</c:v>
                </c:pt>
                <c:pt idx="4">
                  <c:v>IT Operations</c:v>
                </c:pt>
                <c:pt idx="5">
                  <c:v>IT Producer</c:v>
                </c:pt>
                <c:pt idx="6">
                  <c:v>Viewpoint</c:v>
                </c:pt>
                <c:pt idx="7">
                  <c:v>IT Sales</c:v>
                </c:pt>
                <c:pt idx="8">
                  <c:v>IT Service</c:v>
                </c:pt>
                <c:pt idx="9">
                  <c:v>Product Admin</c:v>
                </c:pt>
                <c:pt idx="10">
                  <c:v>Workflow</c:v>
                </c:pt>
              </c:strCache>
            </c:strRef>
          </c:cat>
          <c:val>
            <c:numRef>
              <c:f>Lookups!$G$6:$G$16</c:f>
              <c:numCache>
                <c:formatCode>0%</c:formatCode>
                <c:ptCount val="11"/>
                <c:pt idx="1">
                  <c:v>0</c:v>
                </c:pt>
                <c:pt idx="3">
                  <c:v>0</c:v>
                </c:pt>
                <c:pt idx="5">
                  <c:v>0</c:v>
                </c:pt>
                <c:pt idx="6">
                  <c:v>0</c:v>
                </c:pt>
                <c:pt idx="7">
                  <c:v>0</c:v>
                </c:pt>
                <c:pt idx="8">
                  <c:v>0</c:v>
                </c:pt>
                <c:pt idx="9">
                  <c:v>0</c:v>
                </c:pt>
                <c:pt idx="10">
                  <c:v>0</c:v>
                </c:pt>
              </c:numCache>
            </c:numRef>
          </c:val>
        </c:ser>
        <c:axId val="171560320"/>
        <c:axId val="173360256"/>
      </c:barChart>
      <c:catAx>
        <c:axId val="171560320"/>
        <c:scaling>
          <c:orientation val="minMax"/>
        </c:scaling>
        <c:axPos val="b"/>
        <c:numFmt formatCode="General" sourceLinked="1"/>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173360256"/>
        <c:crosses val="autoZero"/>
        <c:auto val="1"/>
        <c:lblAlgn val="ctr"/>
        <c:lblOffset val="100"/>
        <c:tickLblSkip val="1"/>
        <c:tickMarkSkip val="1"/>
      </c:catAx>
      <c:valAx>
        <c:axId val="173360256"/>
        <c:scaling>
          <c:orientation val="minMax"/>
          <c:max val="1"/>
        </c:scaling>
        <c:axPos val="l"/>
        <c:majorGridlines>
          <c:spPr>
            <a:ln w="3175">
              <a:solidFill>
                <a:srgbClr val="000000"/>
              </a:solidFill>
              <a:prstDash val="solid"/>
            </a:ln>
          </c:spPr>
        </c:majorGridlines>
        <c:numFmt formatCode="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1560320"/>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81" r="0.7500000000000081"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IT helps support my organization and enables my team to more efficiently service PL customers.</a:t>
            </a:r>
          </a:p>
          <a:p>
            <a:pPr>
              <a:defRPr sz="1200" b="1" i="0" u="none" strike="noStrike" baseline="0">
                <a:latin typeface="Arial"/>
                <a:ea typeface="Arial"/>
                <a:cs typeface="Arial"/>
              </a:defRPr>
            </a:pPr>
            <a:r>
              <a:rPr lang="en-US"/>
              <a:t> (4.0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Data'!$F$16:$F$21</c:f>
              <c:numCache>
                <c:formatCode>General</c:formatCode>
                <c:ptCount val="6"/>
                <c:pt idx="0">
                  <c:v>1</c:v>
                </c:pt>
                <c:pt idx="1">
                  <c:v>0</c:v>
                </c:pt>
                <c:pt idx="2">
                  <c:v>0</c:v>
                </c:pt>
                <c:pt idx="3">
                  <c:v>0</c:v>
                </c:pt>
                <c:pt idx="4">
                  <c:v>0</c:v>
                </c:pt>
                <c:pt idx="5">
                  <c:v>0</c:v>
                </c:pt>
              </c:numCache>
            </c:numRef>
          </c:val>
        </c:ser>
        <c:axId val="183820288"/>
        <c:axId val="184288384"/>
      </c:barChart>
      <c:catAx>
        <c:axId val="18382028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288384"/>
        <c:crosses val="autoZero"/>
        <c:auto val="1"/>
        <c:lblAlgn val="ctr"/>
        <c:lblOffset val="100"/>
      </c:catAx>
      <c:valAx>
        <c:axId val="18428838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382028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understand the allocation of IT resources for my area and the projects I am sponsoring.</a:t>
            </a:r>
          </a:p>
          <a:p>
            <a:pPr>
              <a:defRPr sz="1200" b="1" i="0" u="none" strike="noStrike" baseline="0">
                <a:latin typeface="Arial"/>
                <a:ea typeface="Arial"/>
                <a:cs typeface="Arial"/>
              </a:defRPr>
            </a:pPr>
            <a:r>
              <a:rPr lang="en-US"/>
              <a:t> (4.0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Data'!$H$16:$H$21</c:f>
              <c:numCache>
                <c:formatCode>General</c:formatCode>
                <c:ptCount val="6"/>
                <c:pt idx="0">
                  <c:v>1</c:v>
                </c:pt>
                <c:pt idx="1">
                  <c:v>0</c:v>
                </c:pt>
                <c:pt idx="2">
                  <c:v>0</c:v>
                </c:pt>
                <c:pt idx="3">
                  <c:v>0</c:v>
                </c:pt>
                <c:pt idx="4">
                  <c:v>0</c:v>
                </c:pt>
                <c:pt idx="5">
                  <c:v>0</c:v>
                </c:pt>
              </c:numCache>
            </c:numRef>
          </c:val>
        </c:ser>
        <c:axId val="214424960"/>
        <c:axId val="149615744"/>
      </c:barChart>
      <c:catAx>
        <c:axId val="21442496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9615744"/>
        <c:crosses val="autoZero"/>
        <c:auto val="1"/>
        <c:lblAlgn val="ctr"/>
        <c:lblOffset val="100"/>
      </c:catAx>
      <c:valAx>
        <c:axId val="14961574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214424960"/>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I have the influence I need on IT resource allocation.</a:t>
            </a:r>
          </a:p>
          <a:p>
            <a:pPr>
              <a:defRPr sz="1200" b="1" i="0" u="none" strike="noStrike" baseline="0">
                <a:latin typeface="Arial"/>
                <a:ea typeface="Arial"/>
                <a:cs typeface="Arial"/>
              </a:defRPr>
            </a:pPr>
            <a:r>
              <a:rPr lang="en-US"/>
              <a:t> (3.0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Data'!$J$16:$J$21</c:f>
              <c:numCache>
                <c:formatCode>General</c:formatCode>
                <c:ptCount val="6"/>
                <c:pt idx="0">
                  <c:v>1</c:v>
                </c:pt>
                <c:pt idx="1">
                  <c:v>0</c:v>
                </c:pt>
                <c:pt idx="2">
                  <c:v>0</c:v>
                </c:pt>
                <c:pt idx="3">
                  <c:v>0</c:v>
                </c:pt>
                <c:pt idx="4">
                  <c:v>0</c:v>
                </c:pt>
                <c:pt idx="5">
                  <c:v>0</c:v>
                </c:pt>
              </c:numCache>
            </c:numRef>
          </c:val>
        </c:ser>
        <c:axId val="149628032"/>
        <c:axId val="149629568"/>
      </c:barChart>
      <c:catAx>
        <c:axId val="14962803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9629568"/>
        <c:crosses val="autoZero"/>
        <c:auto val="1"/>
        <c:lblAlgn val="ctr"/>
        <c:lblOffset val="100"/>
      </c:catAx>
      <c:valAx>
        <c:axId val="1496295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9628032"/>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I feel the options presented for getting work done (e.g., Staffing, Budget, Scope, Timing, Use of New Technologies) enable me to make decisions.</a:t>
            </a:r>
          </a:p>
          <a:p>
            <a:pPr>
              <a:defRPr sz="1200" b="1" i="0" u="none" strike="noStrike" baseline="0">
                <a:latin typeface="Arial"/>
                <a:ea typeface="Arial"/>
                <a:cs typeface="Arial"/>
              </a:defRPr>
            </a:pPr>
            <a:r>
              <a:rPr lang="en-US"/>
              <a:t> (3.0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Data'!$L$16:$L$21</c:f>
              <c:numCache>
                <c:formatCode>General</c:formatCode>
                <c:ptCount val="6"/>
                <c:pt idx="0">
                  <c:v>1</c:v>
                </c:pt>
                <c:pt idx="1">
                  <c:v>0</c:v>
                </c:pt>
                <c:pt idx="2">
                  <c:v>0</c:v>
                </c:pt>
                <c:pt idx="3">
                  <c:v>0</c:v>
                </c:pt>
                <c:pt idx="4">
                  <c:v>0</c:v>
                </c:pt>
                <c:pt idx="5">
                  <c:v>0</c:v>
                </c:pt>
              </c:numCache>
            </c:numRef>
          </c:val>
        </c:ser>
        <c:axId val="149662336"/>
        <c:axId val="149668224"/>
      </c:barChart>
      <c:catAx>
        <c:axId val="14966233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9668224"/>
        <c:crosses val="autoZero"/>
        <c:auto val="1"/>
        <c:lblAlgn val="ctr"/>
        <c:lblOffset val="100"/>
      </c:catAx>
      <c:valAx>
        <c:axId val="14966822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9662336"/>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IT communicates adequate, clear, timely, and useful information to me.</a:t>
            </a:r>
          </a:p>
          <a:p>
            <a:pPr>
              <a:defRPr sz="1200" b="1" i="0" u="none" strike="noStrike" baseline="0">
                <a:latin typeface="Arial"/>
                <a:ea typeface="Arial"/>
                <a:cs typeface="Arial"/>
              </a:defRPr>
            </a:pPr>
            <a:r>
              <a:rPr lang="en-US"/>
              <a:t> (-2146826281.0 +/- -2146826281.0)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Data'!$N$16:$N$21</c:f>
              <c:numCache>
                <c:formatCode>General</c:formatCode>
                <c:ptCount val="6"/>
                <c:pt idx="0">
                  <c:v>0</c:v>
                </c:pt>
                <c:pt idx="1">
                  <c:v>1</c:v>
                </c:pt>
                <c:pt idx="2">
                  <c:v>0</c:v>
                </c:pt>
                <c:pt idx="3">
                  <c:v>0</c:v>
                </c:pt>
                <c:pt idx="4">
                  <c:v>0</c:v>
                </c:pt>
                <c:pt idx="5">
                  <c:v>0</c:v>
                </c:pt>
              </c:numCache>
            </c:numRef>
          </c:val>
        </c:ser>
        <c:axId val="149689088"/>
        <c:axId val="149690624"/>
      </c:barChart>
      <c:catAx>
        <c:axId val="14968908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9690624"/>
        <c:crosses val="autoZero"/>
        <c:auto val="1"/>
        <c:lblAlgn val="ctr"/>
        <c:lblOffset val="100"/>
      </c:catAx>
      <c:valAx>
        <c:axId val="14969062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968908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am satisfied with IT staff's support of production applications.</a:t>
            </a:r>
          </a:p>
          <a:p>
            <a:pPr>
              <a:defRPr sz="1200" b="1" i="0" u="none" strike="noStrike" baseline="0">
                <a:latin typeface="Arial"/>
                <a:ea typeface="Arial"/>
                <a:cs typeface="Arial"/>
              </a:defRPr>
            </a:pPr>
            <a:r>
              <a:rPr lang="en-US"/>
              <a:t> (4.0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Data'!$P$16:$P$21</c:f>
              <c:numCache>
                <c:formatCode>General</c:formatCode>
                <c:ptCount val="6"/>
                <c:pt idx="0">
                  <c:v>0</c:v>
                </c:pt>
                <c:pt idx="1">
                  <c:v>1</c:v>
                </c:pt>
                <c:pt idx="2">
                  <c:v>0</c:v>
                </c:pt>
                <c:pt idx="3">
                  <c:v>0</c:v>
                </c:pt>
                <c:pt idx="4">
                  <c:v>0</c:v>
                </c:pt>
                <c:pt idx="5">
                  <c:v>0</c:v>
                </c:pt>
              </c:numCache>
            </c:numRef>
          </c:val>
        </c:ser>
        <c:axId val="149711104"/>
        <c:axId val="149725184"/>
      </c:barChart>
      <c:catAx>
        <c:axId val="14971110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9725184"/>
        <c:crosses val="autoZero"/>
        <c:auto val="1"/>
        <c:lblAlgn val="ctr"/>
        <c:lblOffset val="100"/>
      </c:catAx>
      <c:valAx>
        <c:axId val="14972518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971110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Overall, IT is managing their work well (people, issues, resourceful, good work management).</a:t>
            </a:r>
          </a:p>
          <a:p>
            <a:pPr>
              <a:defRPr sz="1200" b="1" i="0" u="none" strike="noStrike" baseline="0">
                <a:latin typeface="Arial"/>
                <a:ea typeface="Arial"/>
                <a:cs typeface="Arial"/>
              </a:defRPr>
            </a:pPr>
            <a:r>
              <a:rPr lang="en-US"/>
              <a:t> (-2146826281.0 +/- -2146826281.0)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Data'!$R$16:$R$21</c:f>
              <c:numCache>
                <c:formatCode>General</c:formatCode>
                <c:ptCount val="6"/>
                <c:pt idx="0">
                  <c:v>1</c:v>
                </c:pt>
                <c:pt idx="1">
                  <c:v>0</c:v>
                </c:pt>
                <c:pt idx="2">
                  <c:v>0</c:v>
                </c:pt>
                <c:pt idx="3">
                  <c:v>0</c:v>
                </c:pt>
                <c:pt idx="4">
                  <c:v>0</c:v>
                </c:pt>
                <c:pt idx="5">
                  <c:v>0</c:v>
                </c:pt>
              </c:numCache>
            </c:numRef>
          </c:val>
        </c:ser>
        <c:axId val="149766144"/>
        <c:axId val="149767680"/>
      </c:barChart>
      <c:catAx>
        <c:axId val="14976614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9767680"/>
        <c:crosses val="autoZero"/>
        <c:auto val="1"/>
        <c:lblAlgn val="ctr"/>
        <c:lblOffset val="100"/>
      </c:catAx>
      <c:valAx>
        <c:axId val="14976768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976614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Overall, I am satisfied when I work with IT.</a:t>
            </a:r>
          </a:p>
          <a:p>
            <a:pPr>
              <a:defRPr sz="1200" b="1" i="0" u="none" strike="noStrike" baseline="0">
                <a:latin typeface="Arial"/>
                <a:ea typeface="Arial"/>
                <a:cs typeface="Arial"/>
              </a:defRPr>
            </a:pPr>
            <a:r>
              <a:rPr lang="en-US"/>
              <a:t> (4.0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Data'!$T$16:$T$21</c:f>
              <c:numCache>
                <c:formatCode>General</c:formatCode>
                <c:ptCount val="6"/>
                <c:pt idx="0">
                  <c:v>1</c:v>
                </c:pt>
                <c:pt idx="1">
                  <c:v>0</c:v>
                </c:pt>
                <c:pt idx="2">
                  <c:v>0</c:v>
                </c:pt>
                <c:pt idx="3">
                  <c:v>0</c:v>
                </c:pt>
                <c:pt idx="4">
                  <c:v>0</c:v>
                </c:pt>
                <c:pt idx="5">
                  <c:v>0</c:v>
                </c:pt>
              </c:numCache>
            </c:numRef>
          </c:val>
        </c:ser>
        <c:axId val="149779968"/>
        <c:axId val="149781504"/>
      </c:barChart>
      <c:catAx>
        <c:axId val="1497799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9781504"/>
        <c:crosses val="autoZero"/>
        <c:auto val="1"/>
        <c:lblAlgn val="ctr"/>
        <c:lblOffset val="100"/>
      </c:catAx>
      <c:valAx>
        <c:axId val="1497815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977996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IT helps support my organization and enables my team to more efficiently service PL customers.</a:t>
            </a:r>
          </a:p>
          <a:p>
            <a:pPr>
              <a:defRPr sz="1200" b="1" i="0" u="none" strike="noStrike" baseline="0">
                <a:latin typeface="Arial"/>
                <a:ea typeface="Arial"/>
                <a:cs typeface="Arial"/>
              </a:defRPr>
            </a:pPr>
            <a:r>
              <a:rPr lang="en-US"/>
              <a:t> (4.1 +/- 0.3)</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(1)'!$F$16:$F$21</c:f>
              <c:numCache>
                <c:formatCode>General</c:formatCode>
                <c:ptCount val="6"/>
                <c:pt idx="0">
                  <c:v>1</c:v>
                </c:pt>
                <c:pt idx="1">
                  <c:v>0</c:v>
                </c:pt>
                <c:pt idx="2">
                  <c:v>0</c:v>
                </c:pt>
                <c:pt idx="3">
                  <c:v>0</c:v>
                </c:pt>
                <c:pt idx="4">
                  <c:v>0</c:v>
                </c:pt>
                <c:pt idx="5">
                  <c:v>0</c:v>
                </c:pt>
              </c:numCache>
            </c:numRef>
          </c:val>
        </c:ser>
        <c:axId val="171552768"/>
        <c:axId val="171554304"/>
      </c:barChart>
      <c:catAx>
        <c:axId val="1715527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1554304"/>
        <c:crosses val="autoZero"/>
        <c:auto val="1"/>
        <c:lblAlgn val="ctr"/>
        <c:lblOffset val="100"/>
      </c:catAx>
      <c:valAx>
        <c:axId val="1715543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155276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understand the allocation of IT resources for my area and the projects I am sponsoring.</a:t>
            </a:r>
          </a:p>
          <a:p>
            <a:pPr>
              <a:defRPr sz="1200" b="1" i="0" u="none" strike="noStrike" baseline="0">
                <a:latin typeface="Arial"/>
                <a:ea typeface="Arial"/>
                <a:cs typeface="Arial"/>
              </a:defRPr>
            </a:pPr>
            <a:r>
              <a:rPr lang="en-US"/>
              <a:t> (4.2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(1)'!$H$16:$H$21</c:f>
              <c:numCache>
                <c:formatCode>General</c:formatCode>
                <c:ptCount val="6"/>
                <c:pt idx="0">
                  <c:v>1</c:v>
                </c:pt>
                <c:pt idx="1">
                  <c:v>0</c:v>
                </c:pt>
                <c:pt idx="2">
                  <c:v>0</c:v>
                </c:pt>
                <c:pt idx="3">
                  <c:v>0</c:v>
                </c:pt>
                <c:pt idx="4">
                  <c:v>0</c:v>
                </c:pt>
                <c:pt idx="5">
                  <c:v>0</c:v>
                </c:pt>
              </c:numCache>
            </c:numRef>
          </c:val>
        </c:ser>
        <c:axId val="172967424"/>
        <c:axId val="172968960"/>
      </c:barChart>
      <c:catAx>
        <c:axId val="17296742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2968960"/>
        <c:crosses val="autoZero"/>
        <c:auto val="1"/>
        <c:lblAlgn val="ctr"/>
        <c:lblOffset val="100"/>
      </c:catAx>
      <c:valAx>
        <c:axId val="17296896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296742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I have the influence I need on IT resource allocation.</a:t>
            </a:r>
          </a:p>
          <a:p>
            <a:pPr>
              <a:defRPr sz="1200" b="1" i="0" u="none" strike="noStrike" baseline="0">
                <a:latin typeface="Arial"/>
                <a:ea typeface="Arial"/>
                <a:cs typeface="Arial"/>
              </a:defRPr>
            </a:pPr>
            <a:r>
              <a:rPr lang="en-US"/>
              <a:t> (3.7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(1)'!$J$16:$J$21</c:f>
              <c:numCache>
                <c:formatCode>General</c:formatCode>
                <c:ptCount val="6"/>
                <c:pt idx="0">
                  <c:v>1</c:v>
                </c:pt>
                <c:pt idx="1">
                  <c:v>0</c:v>
                </c:pt>
                <c:pt idx="2">
                  <c:v>0</c:v>
                </c:pt>
                <c:pt idx="3">
                  <c:v>0</c:v>
                </c:pt>
                <c:pt idx="4">
                  <c:v>0</c:v>
                </c:pt>
                <c:pt idx="5">
                  <c:v>0</c:v>
                </c:pt>
              </c:numCache>
            </c:numRef>
          </c:val>
        </c:ser>
        <c:axId val="173001728"/>
        <c:axId val="173003520"/>
      </c:barChart>
      <c:catAx>
        <c:axId val="17300172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3003520"/>
        <c:crosses val="autoZero"/>
        <c:auto val="1"/>
        <c:lblAlgn val="ctr"/>
        <c:lblOffset val="100"/>
      </c:catAx>
      <c:valAx>
        <c:axId val="17300352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300172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I feel the options presented for getting work done (e.g., Staffing, Budget, Scope, Timing, Use of New Technologies) enable me to make decisions.</a:t>
            </a:r>
          </a:p>
          <a:p>
            <a:pPr>
              <a:defRPr sz="1200" b="1" i="0" u="none" strike="noStrike" baseline="0">
                <a:latin typeface="Arial"/>
                <a:ea typeface="Arial"/>
                <a:cs typeface="Arial"/>
              </a:defRPr>
            </a:pPr>
            <a:r>
              <a:rPr lang="en-US"/>
              <a:t> (3.6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(1)'!$L$16:$L$21</c:f>
              <c:numCache>
                <c:formatCode>General</c:formatCode>
                <c:ptCount val="6"/>
                <c:pt idx="0">
                  <c:v>1</c:v>
                </c:pt>
                <c:pt idx="1">
                  <c:v>0</c:v>
                </c:pt>
                <c:pt idx="2">
                  <c:v>0</c:v>
                </c:pt>
                <c:pt idx="3">
                  <c:v>0</c:v>
                </c:pt>
                <c:pt idx="4">
                  <c:v>0</c:v>
                </c:pt>
                <c:pt idx="5">
                  <c:v>0</c:v>
                </c:pt>
              </c:numCache>
            </c:numRef>
          </c:val>
        </c:ser>
        <c:axId val="173089536"/>
        <c:axId val="173091072"/>
      </c:barChart>
      <c:catAx>
        <c:axId val="17308953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3091072"/>
        <c:crosses val="autoZero"/>
        <c:auto val="1"/>
        <c:lblAlgn val="ctr"/>
        <c:lblOffset val="100"/>
      </c:catAx>
      <c:valAx>
        <c:axId val="17309107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3089536"/>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IT communicates adequate, clear, timely, and useful information to me.</a:t>
            </a:r>
          </a:p>
          <a:p>
            <a:pPr>
              <a:defRPr sz="1200" b="1" i="0" u="none" strike="noStrike" baseline="0">
                <a:latin typeface="Arial"/>
                <a:ea typeface="Arial"/>
                <a:cs typeface="Arial"/>
              </a:defRPr>
            </a:pPr>
            <a:r>
              <a:rPr lang="en-US"/>
              <a:t> (4.2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(1)'!$N$16:$N$21</c:f>
              <c:numCache>
                <c:formatCode>General</c:formatCode>
                <c:ptCount val="6"/>
                <c:pt idx="0">
                  <c:v>0</c:v>
                </c:pt>
                <c:pt idx="1">
                  <c:v>1</c:v>
                </c:pt>
                <c:pt idx="2">
                  <c:v>0</c:v>
                </c:pt>
                <c:pt idx="3">
                  <c:v>0</c:v>
                </c:pt>
                <c:pt idx="4">
                  <c:v>0</c:v>
                </c:pt>
                <c:pt idx="5">
                  <c:v>0</c:v>
                </c:pt>
              </c:numCache>
            </c:numRef>
          </c:val>
        </c:ser>
        <c:axId val="173148800"/>
        <c:axId val="173154688"/>
      </c:barChart>
      <c:catAx>
        <c:axId val="17314880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3154688"/>
        <c:crosses val="autoZero"/>
        <c:auto val="1"/>
        <c:lblAlgn val="ctr"/>
        <c:lblOffset val="100"/>
      </c:catAx>
      <c:valAx>
        <c:axId val="17315468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3148800"/>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am satisfied with IT staff's support of production applications.</a:t>
            </a:r>
          </a:p>
          <a:p>
            <a:pPr>
              <a:defRPr sz="1200" b="1" i="0" u="none" strike="noStrike" baseline="0">
                <a:latin typeface="Arial"/>
                <a:ea typeface="Arial"/>
                <a:cs typeface="Arial"/>
              </a:defRPr>
            </a:pPr>
            <a:r>
              <a:rPr lang="en-US"/>
              <a:t> (3.9 +/- 0.2)</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(1)'!$P$16:$P$21</c:f>
              <c:numCache>
                <c:formatCode>General</c:formatCode>
                <c:ptCount val="6"/>
                <c:pt idx="0">
                  <c:v>0</c:v>
                </c:pt>
                <c:pt idx="1">
                  <c:v>1</c:v>
                </c:pt>
                <c:pt idx="2">
                  <c:v>0</c:v>
                </c:pt>
                <c:pt idx="3">
                  <c:v>0</c:v>
                </c:pt>
                <c:pt idx="4">
                  <c:v>0</c:v>
                </c:pt>
                <c:pt idx="5">
                  <c:v>0</c:v>
                </c:pt>
              </c:numCache>
            </c:numRef>
          </c:val>
        </c:ser>
        <c:axId val="173175168"/>
        <c:axId val="173176704"/>
      </c:barChart>
      <c:catAx>
        <c:axId val="1731751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3176704"/>
        <c:crosses val="autoZero"/>
        <c:auto val="1"/>
        <c:lblAlgn val="ctr"/>
        <c:lblOffset val="100"/>
      </c:catAx>
      <c:valAx>
        <c:axId val="1731767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317516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Overall, IT is managing their work well (people, issues, resourceful, good work management).</a:t>
            </a:r>
          </a:p>
          <a:p>
            <a:pPr>
              <a:defRPr sz="1200" b="1" i="0" u="none" strike="noStrike" baseline="0">
                <a:latin typeface="Arial"/>
                <a:ea typeface="Arial"/>
                <a:cs typeface="Arial"/>
              </a:defRPr>
            </a:pPr>
            <a:r>
              <a:rPr lang="en-US"/>
              <a:t> (4.3 +/- 0.4)</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(1)'!$R$16:$R$21</c:f>
              <c:numCache>
                <c:formatCode>General</c:formatCode>
                <c:ptCount val="6"/>
                <c:pt idx="0">
                  <c:v>1</c:v>
                </c:pt>
                <c:pt idx="1">
                  <c:v>0</c:v>
                </c:pt>
                <c:pt idx="2">
                  <c:v>0</c:v>
                </c:pt>
                <c:pt idx="3">
                  <c:v>0</c:v>
                </c:pt>
                <c:pt idx="4">
                  <c:v>0</c:v>
                </c:pt>
                <c:pt idx="5">
                  <c:v>0</c:v>
                </c:pt>
              </c:numCache>
            </c:numRef>
          </c:val>
        </c:ser>
        <c:axId val="173197184"/>
        <c:axId val="173198720"/>
      </c:barChart>
      <c:catAx>
        <c:axId val="17319718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3198720"/>
        <c:crosses val="autoZero"/>
        <c:auto val="1"/>
        <c:lblAlgn val="ctr"/>
        <c:lblOffset val="100"/>
      </c:catAx>
      <c:valAx>
        <c:axId val="17319872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319718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Overall, I am satisfied when I work with IT.</a:t>
            </a:r>
          </a:p>
          <a:p>
            <a:pPr>
              <a:defRPr sz="1200" b="1" i="0" u="none" strike="noStrike" baseline="0">
                <a:latin typeface="Arial"/>
                <a:ea typeface="Arial"/>
                <a:cs typeface="Arial"/>
              </a:defRPr>
            </a:pPr>
            <a:r>
              <a:rPr lang="en-US"/>
              <a:t> (4.1 +/- 0.2)</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 (1)'!$E$16:$E$21</c:f>
              <c:strCache>
                <c:ptCount val="6"/>
                <c:pt idx="0">
                  <c:v>Strongly Agree</c:v>
                </c:pt>
                <c:pt idx="1">
                  <c:v>Agree</c:v>
                </c:pt>
                <c:pt idx="2">
                  <c:v>Neutral</c:v>
                </c:pt>
                <c:pt idx="3">
                  <c:v>Disagree</c:v>
                </c:pt>
                <c:pt idx="4">
                  <c:v>Strongly Disagree</c:v>
                </c:pt>
                <c:pt idx="5">
                  <c:v>Not Applicable</c:v>
                </c:pt>
              </c:strCache>
            </c:strRef>
          </c:cat>
          <c:val>
            <c:numRef>
              <c:f>'Partner Survey Data (1)'!$T$16:$T$21</c:f>
              <c:numCache>
                <c:formatCode>General</c:formatCode>
                <c:ptCount val="6"/>
                <c:pt idx="0">
                  <c:v>1</c:v>
                </c:pt>
                <c:pt idx="1">
                  <c:v>0</c:v>
                </c:pt>
                <c:pt idx="2">
                  <c:v>0</c:v>
                </c:pt>
                <c:pt idx="3">
                  <c:v>0</c:v>
                </c:pt>
                <c:pt idx="4">
                  <c:v>0</c:v>
                </c:pt>
                <c:pt idx="5">
                  <c:v>0</c:v>
                </c:pt>
              </c:numCache>
            </c:numRef>
          </c:val>
        </c:ser>
        <c:axId val="173354368"/>
        <c:axId val="173364352"/>
      </c:barChart>
      <c:catAx>
        <c:axId val="1733543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3364352"/>
        <c:crosses val="autoZero"/>
        <c:auto val="1"/>
        <c:lblAlgn val="ctr"/>
        <c:lblOffset val="100"/>
      </c:catAx>
      <c:valAx>
        <c:axId val="17336435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335436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IT took appropriate time to understand my problem or need before solving or meeting it.</a:t>
            </a:r>
          </a:p>
          <a:p>
            <a:pPr>
              <a:defRPr sz="1200" b="1" i="0" u="none" strike="noStrike" baseline="0">
                <a:latin typeface="Arial"/>
                <a:ea typeface="Arial"/>
                <a:cs typeface="Arial"/>
              </a:defRPr>
            </a:pPr>
            <a:r>
              <a:rPr lang="en-US"/>
              <a:t> (4.0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Data'!$F$16:$F$21</c:f>
              <c:numCache>
                <c:formatCode>General</c:formatCode>
                <c:ptCount val="6"/>
                <c:pt idx="0">
                  <c:v>3</c:v>
                </c:pt>
                <c:pt idx="1">
                  <c:v>2</c:v>
                </c:pt>
                <c:pt idx="2">
                  <c:v>1</c:v>
                </c:pt>
                <c:pt idx="3">
                  <c:v>1</c:v>
                </c:pt>
                <c:pt idx="4">
                  <c:v>0</c:v>
                </c:pt>
                <c:pt idx="5">
                  <c:v>1</c:v>
                </c:pt>
              </c:numCache>
            </c:numRef>
          </c:val>
        </c:ser>
        <c:axId val="176854912"/>
        <c:axId val="176856448"/>
      </c:barChart>
      <c:catAx>
        <c:axId val="17685491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6856448"/>
        <c:crosses val="autoZero"/>
        <c:auto val="1"/>
        <c:lblAlgn val="ctr"/>
        <c:lblOffset val="100"/>
      </c:catAx>
      <c:valAx>
        <c:axId val="17685644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6854912"/>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had adequate opportunity to review the work effort at the end of Analyze and Design stage, and was given an opportunity to accept, change, or reject it.</a:t>
            </a:r>
          </a:p>
          <a:p>
            <a:pPr>
              <a:defRPr sz="1200" b="1" i="0" u="none" strike="noStrike" baseline="0">
                <a:latin typeface="Arial"/>
                <a:ea typeface="Arial"/>
                <a:cs typeface="Arial"/>
              </a:defRPr>
            </a:pPr>
            <a:r>
              <a:rPr lang="en-US"/>
              <a:t> (4.0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Data'!$H$16:$H$21</c:f>
              <c:numCache>
                <c:formatCode>General</c:formatCode>
                <c:ptCount val="6"/>
                <c:pt idx="0">
                  <c:v>2</c:v>
                </c:pt>
                <c:pt idx="1">
                  <c:v>5</c:v>
                </c:pt>
                <c:pt idx="2">
                  <c:v>0</c:v>
                </c:pt>
                <c:pt idx="3">
                  <c:v>0</c:v>
                </c:pt>
                <c:pt idx="4">
                  <c:v>0</c:v>
                </c:pt>
                <c:pt idx="5">
                  <c:v>1</c:v>
                </c:pt>
              </c:numCache>
            </c:numRef>
          </c:val>
        </c:ser>
        <c:axId val="176877568"/>
        <c:axId val="176879104"/>
      </c:barChart>
      <c:catAx>
        <c:axId val="1768775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6879104"/>
        <c:crosses val="autoZero"/>
        <c:auto val="1"/>
        <c:lblAlgn val="ctr"/>
        <c:lblOffset val="100"/>
      </c:catAx>
      <c:valAx>
        <c:axId val="1768791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687756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The quality of the solutions delivered by IT met my expectations.</a:t>
            </a:r>
          </a:p>
          <a:p>
            <a:pPr>
              <a:defRPr sz="1200" b="1" i="0" u="none" strike="noStrike" baseline="0">
                <a:latin typeface="Arial"/>
                <a:ea typeface="Arial"/>
                <a:cs typeface="Arial"/>
              </a:defRPr>
            </a:pPr>
            <a:r>
              <a:rPr lang="en-US"/>
              <a:t> (4.1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Data'!$J$16:$J$21</c:f>
              <c:numCache>
                <c:formatCode>General</c:formatCode>
                <c:ptCount val="6"/>
                <c:pt idx="0">
                  <c:v>1</c:v>
                </c:pt>
                <c:pt idx="1">
                  <c:v>6</c:v>
                </c:pt>
                <c:pt idx="2">
                  <c:v>0</c:v>
                </c:pt>
                <c:pt idx="3">
                  <c:v>0</c:v>
                </c:pt>
                <c:pt idx="4">
                  <c:v>0</c:v>
                </c:pt>
                <c:pt idx="5">
                  <c:v>1</c:v>
                </c:pt>
              </c:numCache>
            </c:numRef>
          </c:val>
        </c:ser>
        <c:axId val="176981504"/>
        <c:axId val="176983040"/>
      </c:barChart>
      <c:catAx>
        <c:axId val="17698150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6983040"/>
        <c:crosses val="autoZero"/>
        <c:auto val="1"/>
        <c:lblAlgn val="ctr"/>
        <c:lblOffset val="100"/>
      </c:catAx>
      <c:valAx>
        <c:axId val="17698304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698150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Overall, I feel the LDM processes are effective in helping IT to deliver solutions.</a:t>
            </a:r>
          </a:p>
          <a:p>
            <a:pPr>
              <a:defRPr sz="1200" b="1" i="0" u="none" strike="noStrike" baseline="0">
                <a:latin typeface="Arial"/>
                <a:ea typeface="Arial"/>
                <a:cs typeface="Arial"/>
              </a:defRPr>
            </a:pPr>
            <a:r>
              <a:rPr lang="en-US"/>
              <a:t> (3.8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Data'!$L$16:$L$21</c:f>
              <c:numCache>
                <c:formatCode>General</c:formatCode>
                <c:ptCount val="6"/>
                <c:pt idx="0">
                  <c:v>2</c:v>
                </c:pt>
                <c:pt idx="1">
                  <c:v>4</c:v>
                </c:pt>
                <c:pt idx="2">
                  <c:v>1</c:v>
                </c:pt>
                <c:pt idx="3">
                  <c:v>1</c:v>
                </c:pt>
                <c:pt idx="4">
                  <c:v>0</c:v>
                </c:pt>
                <c:pt idx="5">
                  <c:v>0</c:v>
                </c:pt>
              </c:numCache>
            </c:numRef>
          </c:val>
        </c:ser>
        <c:axId val="177155072"/>
        <c:axId val="177181440"/>
      </c:barChart>
      <c:catAx>
        <c:axId val="17715507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7181440"/>
        <c:crosses val="autoZero"/>
        <c:auto val="1"/>
        <c:lblAlgn val="ctr"/>
        <c:lblOffset val="100"/>
      </c:catAx>
      <c:valAx>
        <c:axId val="17718144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155072"/>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Overall, I feel IT effectively used the LDM processes to deliver solutions.</a:t>
            </a:r>
          </a:p>
          <a:p>
            <a:pPr>
              <a:defRPr sz="1200" b="1" i="0" u="none" strike="noStrike" baseline="0">
                <a:latin typeface="Arial"/>
                <a:ea typeface="Arial"/>
                <a:cs typeface="Arial"/>
              </a:defRPr>
            </a:pPr>
            <a:r>
              <a:rPr lang="en-US"/>
              <a:t> (3.8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Data'!$N$16:$N$21</c:f>
              <c:numCache>
                <c:formatCode>General</c:formatCode>
                <c:ptCount val="6"/>
                <c:pt idx="0">
                  <c:v>2</c:v>
                </c:pt>
                <c:pt idx="1">
                  <c:v>4</c:v>
                </c:pt>
                <c:pt idx="2">
                  <c:v>2</c:v>
                </c:pt>
                <c:pt idx="3">
                  <c:v>0</c:v>
                </c:pt>
                <c:pt idx="4">
                  <c:v>0</c:v>
                </c:pt>
                <c:pt idx="5">
                  <c:v>0</c:v>
                </c:pt>
              </c:numCache>
            </c:numRef>
          </c:val>
        </c:ser>
        <c:axId val="177345280"/>
        <c:axId val="177346816"/>
      </c:barChart>
      <c:catAx>
        <c:axId val="1773452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7346816"/>
        <c:crosses val="autoZero"/>
        <c:auto val="1"/>
        <c:lblAlgn val="ctr"/>
        <c:lblOffset val="100"/>
      </c:catAx>
      <c:valAx>
        <c:axId val="17734681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345280"/>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am satisfied with the speed and efficiency that issues were resolved by IT.</a:t>
            </a:r>
          </a:p>
          <a:p>
            <a:pPr>
              <a:defRPr sz="1200" b="1" i="0" u="none" strike="noStrike" baseline="0">
                <a:latin typeface="Arial"/>
                <a:ea typeface="Arial"/>
                <a:cs typeface="Arial"/>
              </a:defRPr>
            </a:pPr>
            <a:r>
              <a:rPr lang="en-US"/>
              <a:t> (3.9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Data'!$P$16:$P$21</c:f>
              <c:numCache>
                <c:formatCode>General</c:formatCode>
                <c:ptCount val="6"/>
                <c:pt idx="0">
                  <c:v>2</c:v>
                </c:pt>
                <c:pt idx="1">
                  <c:v>4</c:v>
                </c:pt>
                <c:pt idx="2">
                  <c:v>1</c:v>
                </c:pt>
                <c:pt idx="3">
                  <c:v>1</c:v>
                </c:pt>
                <c:pt idx="4">
                  <c:v>0</c:v>
                </c:pt>
                <c:pt idx="5">
                  <c:v>0</c:v>
                </c:pt>
              </c:numCache>
            </c:numRef>
          </c:val>
        </c:ser>
        <c:axId val="177367296"/>
        <c:axId val="177373184"/>
      </c:barChart>
      <c:catAx>
        <c:axId val="17736729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7373184"/>
        <c:crosses val="autoZero"/>
        <c:auto val="1"/>
        <c:lblAlgn val="ctr"/>
        <c:lblOffset val="100"/>
      </c:catAx>
      <c:valAx>
        <c:axId val="17737318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367296"/>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I am satisfied with the speed and efficiency that outages (times when production is down) were resolved.</a:t>
            </a:r>
          </a:p>
          <a:p>
            <a:pPr>
              <a:defRPr sz="1200" b="1" i="0" u="none" strike="noStrike" baseline="0">
                <a:latin typeface="Arial"/>
                <a:ea typeface="Arial"/>
                <a:cs typeface="Arial"/>
              </a:defRPr>
            </a:pPr>
            <a:r>
              <a:rPr lang="en-US"/>
              <a:t> (4.1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Data'!$R$16:$R$21</c:f>
              <c:numCache>
                <c:formatCode>General</c:formatCode>
                <c:ptCount val="6"/>
                <c:pt idx="0">
                  <c:v>2</c:v>
                </c:pt>
                <c:pt idx="1">
                  <c:v>6</c:v>
                </c:pt>
                <c:pt idx="2">
                  <c:v>0</c:v>
                </c:pt>
                <c:pt idx="3">
                  <c:v>0</c:v>
                </c:pt>
                <c:pt idx="4">
                  <c:v>0</c:v>
                </c:pt>
                <c:pt idx="5">
                  <c:v>0</c:v>
                </c:pt>
              </c:numCache>
            </c:numRef>
          </c:val>
        </c:ser>
        <c:axId val="177393664"/>
        <c:axId val="177395200"/>
      </c:barChart>
      <c:catAx>
        <c:axId val="17739366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7395200"/>
        <c:crosses val="autoZero"/>
        <c:auto val="1"/>
        <c:lblAlgn val="ctr"/>
        <c:lblOffset val="100"/>
      </c:catAx>
      <c:valAx>
        <c:axId val="17739520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39366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IT performed adequate research and performed effective and timely follow up when requested.</a:t>
            </a:r>
          </a:p>
          <a:p>
            <a:pPr>
              <a:defRPr sz="1200" b="1" i="0" u="none" strike="noStrike" baseline="0">
                <a:latin typeface="Arial"/>
                <a:ea typeface="Arial"/>
                <a:cs typeface="Arial"/>
              </a:defRPr>
            </a:pPr>
            <a:r>
              <a:rPr lang="en-US"/>
              <a:t> (4.1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Data'!$T$16:$T$21</c:f>
              <c:numCache>
                <c:formatCode>General</c:formatCode>
                <c:ptCount val="6"/>
                <c:pt idx="0">
                  <c:v>3</c:v>
                </c:pt>
                <c:pt idx="1">
                  <c:v>4</c:v>
                </c:pt>
                <c:pt idx="2">
                  <c:v>1</c:v>
                </c:pt>
                <c:pt idx="3">
                  <c:v>0</c:v>
                </c:pt>
                <c:pt idx="4">
                  <c:v>0</c:v>
                </c:pt>
                <c:pt idx="5">
                  <c:v>0</c:v>
                </c:pt>
              </c:numCache>
            </c:numRef>
          </c:val>
        </c:ser>
        <c:axId val="177432064"/>
        <c:axId val="177433600"/>
      </c:barChart>
      <c:catAx>
        <c:axId val="17743206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7433600"/>
        <c:crosses val="autoZero"/>
        <c:auto val="1"/>
        <c:lblAlgn val="ctr"/>
        <c:lblOffset val="100"/>
      </c:catAx>
      <c:valAx>
        <c:axId val="17743360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43206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Q9 - IT staff provided support in a professional and courteous manner and considered input and suggestions from others.</a:t>
            </a:r>
          </a:p>
          <a:p>
            <a:pPr>
              <a:defRPr sz="1200" b="1" i="0" u="none" strike="noStrike" baseline="0">
                <a:latin typeface="Arial"/>
                <a:ea typeface="Arial"/>
                <a:cs typeface="Arial"/>
              </a:defRPr>
            </a:pPr>
            <a:r>
              <a:rPr lang="en-US"/>
              <a:t> (4.3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Data'!$V$16:$V$21</c:f>
              <c:numCache>
                <c:formatCode>General</c:formatCode>
                <c:ptCount val="6"/>
                <c:pt idx="0">
                  <c:v>5</c:v>
                </c:pt>
                <c:pt idx="1">
                  <c:v>3</c:v>
                </c:pt>
                <c:pt idx="2">
                  <c:v>0</c:v>
                </c:pt>
                <c:pt idx="3">
                  <c:v>0</c:v>
                </c:pt>
                <c:pt idx="4">
                  <c:v>0</c:v>
                </c:pt>
                <c:pt idx="5">
                  <c:v>0</c:v>
                </c:pt>
              </c:numCache>
            </c:numRef>
          </c:val>
        </c:ser>
        <c:axId val="177458176"/>
        <c:axId val="177939200"/>
      </c:barChart>
      <c:catAx>
        <c:axId val="17745817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7939200"/>
        <c:crosses val="autoZero"/>
        <c:auto val="1"/>
        <c:lblAlgn val="ctr"/>
        <c:lblOffset val="100"/>
      </c:catAx>
      <c:valAx>
        <c:axId val="17793920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458176"/>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Q10 - IT staff members are knowledgeable about my business and the applications I depend on, and they understood the impact issues can have on my business.</a:t>
            </a:r>
          </a:p>
          <a:p>
            <a:pPr>
              <a:defRPr sz="1200" b="1" i="0" u="none" strike="noStrike" baseline="0">
                <a:latin typeface="Arial"/>
                <a:ea typeface="Arial"/>
                <a:cs typeface="Arial"/>
              </a:defRPr>
            </a:pPr>
            <a:r>
              <a:rPr lang="en-US"/>
              <a:t> (4.1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Data'!$X$16:$X$21</c:f>
              <c:numCache>
                <c:formatCode>General</c:formatCode>
                <c:ptCount val="6"/>
                <c:pt idx="0">
                  <c:v>3</c:v>
                </c:pt>
                <c:pt idx="1">
                  <c:v>3</c:v>
                </c:pt>
                <c:pt idx="2">
                  <c:v>0</c:v>
                </c:pt>
                <c:pt idx="3">
                  <c:v>0</c:v>
                </c:pt>
                <c:pt idx="4">
                  <c:v>1</c:v>
                </c:pt>
                <c:pt idx="5">
                  <c:v>1</c:v>
                </c:pt>
              </c:numCache>
            </c:numRef>
          </c:val>
        </c:ser>
        <c:axId val="177947392"/>
        <c:axId val="177948928"/>
      </c:barChart>
      <c:catAx>
        <c:axId val="17794739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7948928"/>
        <c:crosses val="autoZero"/>
        <c:auto val="1"/>
        <c:lblAlgn val="ctr"/>
        <c:lblOffset val="100"/>
      </c:catAx>
      <c:valAx>
        <c:axId val="17794892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947392"/>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Q11 - Overall, IT communicated adequate, clear, timely and useful information to me.</a:t>
            </a:r>
          </a:p>
          <a:p>
            <a:pPr>
              <a:defRPr sz="1200" b="1" i="0" u="none" strike="noStrike" baseline="0">
                <a:latin typeface="Arial"/>
                <a:ea typeface="Arial"/>
                <a:cs typeface="Arial"/>
              </a:defRPr>
            </a:pPr>
            <a:r>
              <a:rPr lang="en-US"/>
              <a:t> (4.2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Data'!$Z$16:$Z$21</c:f>
              <c:numCache>
                <c:formatCode>General</c:formatCode>
                <c:ptCount val="6"/>
                <c:pt idx="0">
                  <c:v>3</c:v>
                </c:pt>
                <c:pt idx="1">
                  <c:v>4</c:v>
                </c:pt>
                <c:pt idx="2">
                  <c:v>1</c:v>
                </c:pt>
                <c:pt idx="3">
                  <c:v>0</c:v>
                </c:pt>
                <c:pt idx="4">
                  <c:v>0</c:v>
                </c:pt>
                <c:pt idx="5">
                  <c:v>0</c:v>
                </c:pt>
              </c:numCache>
            </c:numRef>
          </c:val>
        </c:ser>
        <c:axId val="177994368"/>
        <c:axId val="178131328"/>
      </c:barChart>
      <c:catAx>
        <c:axId val="1779943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8131328"/>
        <c:crosses val="autoZero"/>
        <c:auto val="1"/>
        <c:lblAlgn val="ctr"/>
        <c:lblOffset val="100"/>
      </c:catAx>
      <c:valAx>
        <c:axId val="17813132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799436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Q12 - Overall, IT did a good job managing their resources and ensuring follow-through on commitments.</a:t>
            </a:r>
          </a:p>
          <a:p>
            <a:pPr>
              <a:defRPr sz="1200" b="1" i="0" u="none" strike="noStrike" baseline="0">
                <a:latin typeface="Arial"/>
                <a:ea typeface="Arial"/>
                <a:cs typeface="Arial"/>
              </a:defRPr>
            </a:pPr>
            <a:r>
              <a:rPr lang="en-US"/>
              <a:t> (4.0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Data'!$AB$16:$AB$21</c:f>
              <c:numCache>
                <c:formatCode>General</c:formatCode>
                <c:ptCount val="6"/>
                <c:pt idx="0">
                  <c:v>3</c:v>
                </c:pt>
                <c:pt idx="1">
                  <c:v>5</c:v>
                </c:pt>
                <c:pt idx="2">
                  <c:v>0</c:v>
                </c:pt>
                <c:pt idx="3">
                  <c:v>0</c:v>
                </c:pt>
                <c:pt idx="4">
                  <c:v>0</c:v>
                </c:pt>
                <c:pt idx="5">
                  <c:v>0</c:v>
                </c:pt>
              </c:numCache>
            </c:numRef>
          </c:val>
        </c:ser>
        <c:axId val="178151808"/>
        <c:axId val="178153344"/>
      </c:barChart>
      <c:catAx>
        <c:axId val="17815180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8153344"/>
        <c:crosses val="autoZero"/>
        <c:auto val="1"/>
        <c:lblAlgn val="ctr"/>
        <c:lblOffset val="100"/>
      </c:catAx>
      <c:valAx>
        <c:axId val="17815334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8151808"/>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Q13 - Overall, I am satisfied with IT staff's support of production applications.</a:t>
            </a:r>
          </a:p>
          <a:p>
            <a:pPr>
              <a:defRPr sz="1200" b="1" i="0" u="none" strike="noStrike" baseline="0">
                <a:latin typeface="Arial"/>
                <a:ea typeface="Arial"/>
                <a:cs typeface="Arial"/>
              </a:defRPr>
            </a:pPr>
            <a:r>
              <a:rPr lang="en-US"/>
              <a:t> (4.1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Data'!$AD$16:$AD$21</c:f>
              <c:numCache>
                <c:formatCode>General</c:formatCode>
                <c:ptCount val="6"/>
                <c:pt idx="0">
                  <c:v>2</c:v>
                </c:pt>
                <c:pt idx="1">
                  <c:v>6</c:v>
                </c:pt>
                <c:pt idx="2">
                  <c:v>0</c:v>
                </c:pt>
                <c:pt idx="3">
                  <c:v>0</c:v>
                </c:pt>
                <c:pt idx="4">
                  <c:v>0</c:v>
                </c:pt>
                <c:pt idx="5">
                  <c:v>0</c:v>
                </c:pt>
              </c:numCache>
            </c:numRef>
          </c:val>
        </c:ser>
        <c:axId val="178173824"/>
        <c:axId val="178175360"/>
      </c:barChart>
      <c:catAx>
        <c:axId val="17817382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8175360"/>
        <c:crosses val="autoZero"/>
        <c:auto val="1"/>
        <c:lblAlgn val="ctr"/>
        <c:lblOffset val="100"/>
      </c:catAx>
      <c:valAx>
        <c:axId val="17817536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8173824"/>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Q14 - IT properly managed deployments, including deployments that were dependent on other App Team deployments.</a:t>
            </a:r>
          </a:p>
          <a:p>
            <a:pPr>
              <a:defRPr sz="1200" b="1" i="0" u="none" strike="noStrike" baseline="0">
                <a:latin typeface="Arial"/>
                <a:ea typeface="Arial"/>
                <a:cs typeface="Arial"/>
              </a:defRPr>
            </a:pPr>
            <a:r>
              <a:rPr lang="en-US"/>
              <a:t> (4.0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Data'!$AF$16:$AF$21</c:f>
              <c:numCache>
                <c:formatCode>General</c:formatCode>
                <c:ptCount val="6"/>
                <c:pt idx="0">
                  <c:v>3</c:v>
                </c:pt>
                <c:pt idx="1">
                  <c:v>5</c:v>
                </c:pt>
                <c:pt idx="2">
                  <c:v>0</c:v>
                </c:pt>
                <c:pt idx="3">
                  <c:v>0</c:v>
                </c:pt>
                <c:pt idx="4">
                  <c:v>0</c:v>
                </c:pt>
                <c:pt idx="5">
                  <c:v>0</c:v>
                </c:pt>
              </c:numCache>
            </c:numRef>
          </c:val>
        </c:ser>
        <c:axId val="178216960"/>
        <c:axId val="178218496"/>
      </c:barChart>
      <c:catAx>
        <c:axId val="17821696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8218496"/>
        <c:crosses val="autoZero"/>
        <c:auto val="1"/>
        <c:lblAlgn val="ctr"/>
        <c:lblOffset val="100"/>
      </c:catAx>
      <c:valAx>
        <c:axId val="17821849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8216960"/>
        <c:crosses val="autoZero"/>
        <c:crossBetween val="between"/>
        <c:minorUnit val="1"/>
      </c:valAx>
    </c:plotArea>
    <c:plotVisOnly val="1"/>
  </c:chart>
  <c:printSettings>
    <c:headerFooter/>
    <c:pageMargins b="0.750000000000001" l="0.70000000000000062" r="0.70000000000000062" t="0.750000000000001"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The recognition I receive is appropriate for the contributions that I make.</a:t>
            </a:r>
          </a:p>
          <a:p>
            <a:pPr>
              <a:defRPr sz="1200" b="1" i="0" u="none" strike="noStrike" baseline="0">
                <a:latin typeface="Arial"/>
                <a:ea typeface="Arial"/>
                <a:cs typeface="Arial"/>
              </a:defRPr>
            </a:pPr>
            <a:r>
              <a:rPr lang="en-US"/>
              <a:t> (3.6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Data'!$F$16:$F$21</c:f>
              <c:numCache>
                <c:formatCode>General</c:formatCode>
                <c:ptCount val="6"/>
                <c:pt idx="0">
                  <c:v>1</c:v>
                </c:pt>
                <c:pt idx="1">
                  <c:v>5</c:v>
                </c:pt>
                <c:pt idx="2">
                  <c:v>1</c:v>
                </c:pt>
                <c:pt idx="3">
                  <c:v>0</c:v>
                </c:pt>
                <c:pt idx="4">
                  <c:v>0</c:v>
                </c:pt>
                <c:pt idx="5">
                  <c:v>0</c:v>
                </c:pt>
              </c:numCache>
            </c:numRef>
          </c:val>
        </c:ser>
        <c:axId val="179096192"/>
        <c:axId val="179110272"/>
      </c:barChart>
      <c:catAx>
        <c:axId val="17909619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9110272"/>
        <c:crosses val="autoZero"/>
        <c:auto val="1"/>
        <c:lblAlgn val="ctr"/>
        <c:lblOffset val="100"/>
      </c:catAx>
      <c:valAx>
        <c:axId val="17911027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909619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am aware of the options available to express my opinion and feel it is taken into account.</a:t>
            </a:r>
          </a:p>
          <a:p>
            <a:pPr>
              <a:defRPr sz="1200" b="1" i="0" u="none" strike="noStrike" baseline="0">
                <a:latin typeface="Arial"/>
                <a:ea typeface="Arial"/>
                <a:cs typeface="Arial"/>
              </a:defRPr>
            </a:pPr>
            <a:r>
              <a:rPr lang="en-US"/>
              <a:t> (3.8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Data'!$H$16:$H$21</c:f>
              <c:numCache>
                <c:formatCode>General</c:formatCode>
                <c:ptCount val="6"/>
                <c:pt idx="0">
                  <c:v>1</c:v>
                </c:pt>
                <c:pt idx="1">
                  <c:v>5</c:v>
                </c:pt>
                <c:pt idx="2">
                  <c:v>1</c:v>
                </c:pt>
                <c:pt idx="3">
                  <c:v>0</c:v>
                </c:pt>
                <c:pt idx="4">
                  <c:v>0</c:v>
                </c:pt>
                <c:pt idx="5">
                  <c:v>0</c:v>
                </c:pt>
              </c:numCache>
            </c:numRef>
          </c:val>
        </c:ser>
        <c:axId val="179143040"/>
        <c:axId val="179144576"/>
      </c:barChart>
      <c:catAx>
        <c:axId val="17914304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9144576"/>
        <c:crosses val="autoZero"/>
        <c:auto val="1"/>
        <c:lblAlgn val="ctr"/>
        <c:lblOffset val="100"/>
      </c:catAx>
      <c:valAx>
        <c:axId val="17914457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9143040"/>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I am adequately trained to do my job.</a:t>
            </a:r>
          </a:p>
          <a:p>
            <a:pPr>
              <a:defRPr sz="1200" b="1" i="0" u="none" strike="noStrike" baseline="0">
                <a:latin typeface="Arial"/>
                <a:ea typeface="Arial"/>
                <a:cs typeface="Arial"/>
              </a:defRPr>
            </a:pPr>
            <a:r>
              <a:rPr lang="en-US"/>
              <a:t> (3.8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Data'!$J$16:$J$21</c:f>
              <c:numCache>
                <c:formatCode>General</c:formatCode>
                <c:ptCount val="6"/>
                <c:pt idx="0">
                  <c:v>0</c:v>
                </c:pt>
                <c:pt idx="1">
                  <c:v>7</c:v>
                </c:pt>
                <c:pt idx="2">
                  <c:v>0</c:v>
                </c:pt>
                <c:pt idx="3">
                  <c:v>0</c:v>
                </c:pt>
                <c:pt idx="4">
                  <c:v>0</c:v>
                </c:pt>
                <c:pt idx="5">
                  <c:v>0</c:v>
                </c:pt>
              </c:numCache>
            </c:numRef>
          </c:val>
        </c:ser>
        <c:axId val="179165056"/>
        <c:axId val="179166592"/>
      </c:barChart>
      <c:catAx>
        <c:axId val="17916505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9166592"/>
        <c:crosses val="autoZero"/>
        <c:auto val="1"/>
        <c:lblAlgn val="ctr"/>
        <c:lblOffset val="100"/>
      </c:catAx>
      <c:valAx>
        <c:axId val="17916659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9165056"/>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I feel I am adequately trained to apply the LDM to my work.</a:t>
            </a:r>
          </a:p>
          <a:p>
            <a:pPr>
              <a:defRPr sz="1200" b="1" i="0" u="none" strike="noStrike" baseline="0">
                <a:latin typeface="Arial"/>
                <a:ea typeface="Arial"/>
                <a:cs typeface="Arial"/>
              </a:defRPr>
            </a:pPr>
            <a:r>
              <a:rPr lang="en-US"/>
              <a:t> (3.8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Data'!$L$16:$L$21</c:f>
              <c:numCache>
                <c:formatCode>General</c:formatCode>
                <c:ptCount val="6"/>
                <c:pt idx="0">
                  <c:v>3</c:v>
                </c:pt>
                <c:pt idx="1">
                  <c:v>3</c:v>
                </c:pt>
                <c:pt idx="2">
                  <c:v>1</c:v>
                </c:pt>
                <c:pt idx="3">
                  <c:v>0</c:v>
                </c:pt>
                <c:pt idx="4">
                  <c:v>0</c:v>
                </c:pt>
                <c:pt idx="5">
                  <c:v>0</c:v>
                </c:pt>
              </c:numCache>
            </c:numRef>
          </c:val>
        </c:ser>
        <c:axId val="179207552"/>
        <c:axId val="179225728"/>
      </c:barChart>
      <c:catAx>
        <c:axId val="17920755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9225728"/>
        <c:crosses val="autoZero"/>
        <c:auto val="1"/>
        <c:lblAlgn val="ctr"/>
        <c:lblOffset val="100"/>
      </c:catAx>
      <c:valAx>
        <c:axId val="17922572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920755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I have the tools, materials and equipment to accomplish my job.</a:t>
            </a:r>
          </a:p>
          <a:p>
            <a:pPr>
              <a:defRPr sz="1200" b="1" i="0" u="none" strike="noStrike" baseline="0">
                <a:latin typeface="Arial"/>
                <a:ea typeface="Arial"/>
                <a:cs typeface="Arial"/>
              </a:defRPr>
            </a:pPr>
            <a:r>
              <a:rPr lang="en-US"/>
              <a:t> (3.8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Data'!$N$16:$N$21</c:f>
              <c:numCache>
                <c:formatCode>General</c:formatCode>
                <c:ptCount val="6"/>
                <c:pt idx="0">
                  <c:v>4</c:v>
                </c:pt>
                <c:pt idx="1">
                  <c:v>3</c:v>
                </c:pt>
                <c:pt idx="2">
                  <c:v>0</c:v>
                </c:pt>
                <c:pt idx="3">
                  <c:v>0</c:v>
                </c:pt>
                <c:pt idx="4">
                  <c:v>0</c:v>
                </c:pt>
                <c:pt idx="5">
                  <c:v>0</c:v>
                </c:pt>
              </c:numCache>
            </c:numRef>
          </c:val>
        </c:ser>
        <c:axId val="179274880"/>
        <c:axId val="179276416"/>
      </c:barChart>
      <c:catAx>
        <c:axId val="1792748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79276416"/>
        <c:crosses val="autoZero"/>
        <c:auto val="1"/>
        <c:lblAlgn val="ctr"/>
        <c:lblOffset val="100"/>
      </c:catAx>
      <c:valAx>
        <c:axId val="17927641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9274880"/>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understand and support the Life IT Vision and Mission.</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Data'!$P$16:$P$21</c:f>
              <c:numCache>
                <c:formatCode>General</c:formatCode>
                <c:ptCount val="6"/>
                <c:pt idx="0">
                  <c:v>3</c:v>
                </c:pt>
                <c:pt idx="1">
                  <c:v>2</c:v>
                </c:pt>
                <c:pt idx="2">
                  <c:v>2</c:v>
                </c:pt>
                <c:pt idx="3">
                  <c:v>0</c:v>
                </c:pt>
                <c:pt idx="4">
                  <c:v>0</c:v>
                </c:pt>
                <c:pt idx="5">
                  <c:v>0</c:v>
                </c:pt>
              </c:numCache>
            </c:numRef>
          </c:val>
        </c:ser>
        <c:axId val="179284608"/>
        <c:axId val="183570816"/>
      </c:barChart>
      <c:catAx>
        <c:axId val="17928460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3570816"/>
        <c:crosses val="autoZero"/>
        <c:auto val="1"/>
        <c:lblAlgn val="ctr"/>
        <c:lblOffset val="100"/>
      </c:catAx>
      <c:valAx>
        <c:axId val="18357081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79284608"/>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I understand my customers and their expectations of me and my team.</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Data'!$R$16:$R$21</c:f>
              <c:numCache>
                <c:formatCode>General</c:formatCode>
                <c:ptCount val="6"/>
                <c:pt idx="0">
                  <c:v>3</c:v>
                </c:pt>
                <c:pt idx="1">
                  <c:v>3</c:v>
                </c:pt>
                <c:pt idx="2">
                  <c:v>0</c:v>
                </c:pt>
                <c:pt idx="3">
                  <c:v>1</c:v>
                </c:pt>
                <c:pt idx="4">
                  <c:v>0</c:v>
                </c:pt>
                <c:pt idx="5">
                  <c:v>0</c:v>
                </c:pt>
              </c:numCache>
            </c:numRef>
          </c:val>
        </c:ser>
        <c:axId val="183603584"/>
        <c:axId val="183605120"/>
      </c:barChart>
      <c:catAx>
        <c:axId val="18360358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3605120"/>
        <c:crosses val="autoZero"/>
        <c:auto val="1"/>
        <c:lblAlgn val="ctr"/>
        <c:lblOffset val="100"/>
      </c:catAx>
      <c:valAx>
        <c:axId val="18360512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3603584"/>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I understand my job responsibilities and work related roles.</a:t>
            </a:r>
          </a:p>
          <a:p>
            <a:pPr>
              <a:defRPr sz="1200" b="1" i="0" u="none" strike="noStrike" baseline="0">
                <a:latin typeface="Arial"/>
                <a:ea typeface="Arial"/>
                <a:cs typeface="Arial"/>
              </a:defRPr>
            </a:pPr>
            <a:r>
              <a:rPr lang="en-US"/>
              <a:t> (4.2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Data'!$T$16:$T$21</c:f>
              <c:numCache>
                <c:formatCode>General</c:formatCode>
                <c:ptCount val="6"/>
                <c:pt idx="0">
                  <c:v>3</c:v>
                </c:pt>
                <c:pt idx="1">
                  <c:v>4</c:v>
                </c:pt>
                <c:pt idx="2">
                  <c:v>0</c:v>
                </c:pt>
                <c:pt idx="3">
                  <c:v>0</c:v>
                </c:pt>
                <c:pt idx="4">
                  <c:v>0</c:v>
                </c:pt>
                <c:pt idx="5">
                  <c:v>0</c:v>
                </c:pt>
              </c:numCache>
            </c:numRef>
          </c:val>
        </c:ser>
        <c:axId val="183641984"/>
        <c:axId val="183643520"/>
      </c:barChart>
      <c:catAx>
        <c:axId val="18364198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3643520"/>
        <c:crosses val="autoZero"/>
        <c:auto val="1"/>
        <c:lblAlgn val="ctr"/>
        <c:lblOffset val="100"/>
      </c:catAx>
      <c:valAx>
        <c:axId val="18364352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3641984"/>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Q9 - I understand how I am being evaluated.</a:t>
            </a:r>
          </a:p>
          <a:p>
            <a:pPr>
              <a:defRPr sz="1200" b="1" i="0" u="none" strike="noStrike" baseline="0">
                <a:latin typeface="Arial"/>
                <a:ea typeface="Arial"/>
                <a:cs typeface="Arial"/>
              </a:defRPr>
            </a:pPr>
            <a:r>
              <a:rPr lang="en-US"/>
              <a:t> (3.8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Data'!$V$16:$V$21</c:f>
              <c:numCache>
                <c:formatCode>General</c:formatCode>
                <c:ptCount val="6"/>
                <c:pt idx="0">
                  <c:v>1</c:v>
                </c:pt>
                <c:pt idx="1">
                  <c:v>4</c:v>
                </c:pt>
                <c:pt idx="2">
                  <c:v>1</c:v>
                </c:pt>
                <c:pt idx="3">
                  <c:v>1</c:v>
                </c:pt>
                <c:pt idx="4">
                  <c:v>0</c:v>
                </c:pt>
                <c:pt idx="5">
                  <c:v>0</c:v>
                </c:pt>
              </c:numCache>
            </c:numRef>
          </c:val>
        </c:ser>
        <c:axId val="183713152"/>
        <c:axId val="183719040"/>
      </c:barChart>
      <c:catAx>
        <c:axId val="18371315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3719040"/>
        <c:crosses val="autoZero"/>
        <c:auto val="1"/>
        <c:lblAlgn val="ctr"/>
        <c:lblOffset val="100"/>
      </c:catAx>
      <c:valAx>
        <c:axId val="18371904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371315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Q10 - I feel that I meet frequently enough with my supervisor to discuss and review my performance.</a:t>
            </a:r>
          </a:p>
          <a:p>
            <a:pPr>
              <a:defRPr sz="1200" b="1" i="0" u="none" strike="noStrike" baseline="0">
                <a:latin typeface="Arial"/>
                <a:ea typeface="Arial"/>
                <a:cs typeface="Arial"/>
              </a:defRPr>
            </a:pPr>
            <a:r>
              <a:rPr lang="en-US"/>
              <a:t> (3.9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Data'!$X$16:$X$21</c:f>
              <c:numCache>
                <c:formatCode>General</c:formatCode>
                <c:ptCount val="6"/>
                <c:pt idx="0">
                  <c:v>1</c:v>
                </c:pt>
                <c:pt idx="1">
                  <c:v>6</c:v>
                </c:pt>
                <c:pt idx="2">
                  <c:v>0</c:v>
                </c:pt>
                <c:pt idx="3">
                  <c:v>0</c:v>
                </c:pt>
                <c:pt idx="4">
                  <c:v>0</c:v>
                </c:pt>
                <c:pt idx="5">
                  <c:v>0</c:v>
                </c:pt>
              </c:numCache>
            </c:numRef>
          </c:val>
        </c:ser>
        <c:axId val="183768192"/>
        <c:axId val="183769728"/>
      </c:barChart>
      <c:catAx>
        <c:axId val="18376819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3769728"/>
        <c:crosses val="autoZero"/>
        <c:auto val="1"/>
        <c:lblAlgn val="ctr"/>
        <c:lblOffset val="100"/>
      </c:catAx>
      <c:valAx>
        <c:axId val="18376972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376819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Q11 - My supervisor communicates effectively with me.</a:t>
            </a:r>
          </a:p>
          <a:p>
            <a:pPr>
              <a:defRPr sz="1200" b="1" i="0" u="none" strike="noStrike" baseline="0">
                <a:latin typeface="Arial"/>
                <a:ea typeface="Arial"/>
                <a:cs typeface="Arial"/>
              </a:defRPr>
            </a:pPr>
            <a:r>
              <a:rPr lang="en-US"/>
              <a:t> (4.1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Data'!$Z$16:$Z$21</c:f>
              <c:numCache>
                <c:formatCode>General</c:formatCode>
                <c:ptCount val="6"/>
                <c:pt idx="0">
                  <c:v>3</c:v>
                </c:pt>
                <c:pt idx="1">
                  <c:v>3</c:v>
                </c:pt>
                <c:pt idx="2">
                  <c:v>1</c:v>
                </c:pt>
                <c:pt idx="3">
                  <c:v>0</c:v>
                </c:pt>
                <c:pt idx="4">
                  <c:v>0</c:v>
                </c:pt>
                <c:pt idx="5">
                  <c:v>0</c:v>
                </c:pt>
              </c:numCache>
            </c:numRef>
          </c:val>
        </c:ser>
        <c:axId val="183798400"/>
        <c:axId val="183816576"/>
      </c:barChart>
      <c:catAx>
        <c:axId val="18379840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3816576"/>
        <c:crosses val="autoZero"/>
        <c:auto val="1"/>
        <c:lblAlgn val="ctr"/>
        <c:lblOffset val="100"/>
      </c:catAx>
      <c:valAx>
        <c:axId val="18381657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3798400"/>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Q12 - I have sufficient access to my supervisor to meet my needs.</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Data'!$AB$16:$AB$21</c:f>
              <c:numCache>
                <c:formatCode>General</c:formatCode>
                <c:ptCount val="6"/>
                <c:pt idx="0">
                  <c:v>3</c:v>
                </c:pt>
                <c:pt idx="1">
                  <c:v>4</c:v>
                </c:pt>
                <c:pt idx="2">
                  <c:v>0</c:v>
                </c:pt>
                <c:pt idx="3">
                  <c:v>0</c:v>
                </c:pt>
                <c:pt idx="4">
                  <c:v>0</c:v>
                </c:pt>
                <c:pt idx="5">
                  <c:v>0</c:v>
                </c:pt>
              </c:numCache>
            </c:numRef>
          </c:val>
        </c:ser>
        <c:axId val="184246656"/>
        <c:axId val="184248192"/>
      </c:barChart>
      <c:catAx>
        <c:axId val="18424665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248192"/>
        <c:crosses val="autoZero"/>
        <c:auto val="1"/>
        <c:lblAlgn val="ctr"/>
        <c:lblOffset val="100"/>
      </c:catAx>
      <c:valAx>
        <c:axId val="18424819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246656"/>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Q13 - My team is able to appropriately size and tailor the LDM for the kinds of work we do.</a:t>
            </a:r>
          </a:p>
          <a:p>
            <a:pPr>
              <a:defRPr sz="1200" b="1" i="0" u="none" strike="noStrike" baseline="0">
                <a:latin typeface="Arial"/>
                <a:ea typeface="Arial"/>
                <a:cs typeface="Arial"/>
              </a:defRPr>
            </a:pPr>
            <a:r>
              <a:rPr lang="en-US"/>
              <a:t> (3.7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Data'!$AD$16:$AD$21</c:f>
              <c:numCache>
                <c:formatCode>General</c:formatCode>
                <c:ptCount val="6"/>
                <c:pt idx="0">
                  <c:v>4</c:v>
                </c:pt>
                <c:pt idx="1">
                  <c:v>2</c:v>
                </c:pt>
                <c:pt idx="2">
                  <c:v>1</c:v>
                </c:pt>
                <c:pt idx="3">
                  <c:v>0</c:v>
                </c:pt>
                <c:pt idx="4">
                  <c:v>0</c:v>
                </c:pt>
                <c:pt idx="5">
                  <c:v>0</c:v>
                </c:pt>
              </c:numCache>
            </c:numRef>
          </c:val>
        </c:ser>
        <c:axId val="184268672"/>
        <c:axId val="184270208"/>
      </c:barChart>
      <c:catAx>
        <c:axId val="18426867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270208"/>
        <c:crosses val="autoZero"/>
        <c:auto val="1"/>
        <c:lblAlgn val="ctr"/>
        <c:lblOffset val="100"/>
      </c:catAx>
      <c:valAx>
        <c:axId val="18427020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26867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Q14 - The LDM enables me and my team be more effective in the work we perform.</a:t>
            </a:r>
          </a:p>
          <a:p>
            <a:pPr>
              <a:defRPr sz="1200" b="1" i="0" u="none" strike="noStrike" baseline="0">
                <a:latin typeface="Arial"/>
                <a:ea typeface="Arial"/>
                <a:cs typeface="Arial"/>
              </a:defRPr>
            </a:pPr>
            <a:r>
              <a:rPr lang="en-US"/>
              <a:t> (3.6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Data'!$AF$16:$AF$21</c:f>
              <c:numCache>
                <c:formatCode>General</c:formatCode>
                <c:ptCount val="6"/>
                <c:pt idx="0">
                  <c:v>3</c:v>
                </c:pt>
                <c:pt idx="1">
                  <c:v>3</c:v>
                </c:pt>
                <c:pt idx="2">
                  <c:v>1</c:v>
                </c:pt>
                <c:pt idx="3">
                  <c:v>0</c:v>
                </c:pt>
                <c:pt idx="4">
                  <c:v>0</c:v>
                </c:pt>
                <c:pt idx="5">
                  <c:v>0</c:v>
                </c:pt>
              </c:numCache>
            </c:numRef>
          </c:val>
        </c:ser>
        <c:axId val="184352768"/>
        <c:axId val="184354304"/>
      </c:barChart>
      <c:catAx>
        <c:axId val="1843527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354304"/>
        <c:crosses val="autoZero"/>
        <c:auto val="1"/>
        <c:lblAlgn val="ctr"/>
        <c:lblOffset val="100"/>
      </c:catAx>
      <c:valAx>
        <c:axId val="1843543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352768"/>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Q15 - My work products are regularly reviewed by others.</a:t>
            </a:r>
          </a:p>
          <a:p>
            <a:pPr>
              <a:defRPr sz="1200" b="1" i="0" u="none" strike="noStrike" baseline="0">
                <a:latin typeface="Arial"/>
                <a:ea typeface="Arial"/>
                <a:cs typeface="Arial"/>
              </a:defRPr>
            </a:pPr>
            <a:r>
              <a:rPr lang="en-US"/>
              <a:t> (3.9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Data'!$AH$16:$AH$21</c:f>
              <c:numCache>
                <c:formatCode>General</c:formatCode>
                <c:ptCount val="6"/>
                <c:pt idx="0">
                  <c:v>3</c:v>
                </c:pt>
                <c:pt idx="1">
                  <c:v>3</c:v>
                </c:pt>
                <c:pt idx="2">
                  <c:v>1</c:v>
                </c:pt>
                <c:pt idx="3">
                  <c:v>0</c:v>
                </c:pt>
                <c:pt idx="4">
                  <c:v>0</c:v>
                </c:pt>
                <c:pt idx="5">
                  <c:v>0</c:v>
                </c:pt>
              </c:numCache>
            </c:numRef>
          </c:val>
        </c:ser>
        <c:axId val="184387072"/>
        <c:axId val="184388608"/>
      </c:barChart>
      <c:catAx>
        <c:axId val="18438707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388608"/>
        <c:crosses val="autoZero"/>
        <c:auto val="1"/>
        <c:lblAlgn val="ctr"/>
        <c:lblOffset val="100"/>
      </c:catAx>
      <c:valAx>
        <c:axId val="18438860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38707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Q16 - I regularly participate in the review of other people's work products.</a:t>
            </a:r>
          </a:p>
          <a:p>
            <a:pPr>
              <a:defRPr sz="1200" b="1" i="0" u="none" strike="noStrike" baseline="0">
                <a:latin typeface="Arial"/>
                <a:ea typeface="Arial"/>
                <a:cs typeface="Arial"/>
              </a:defRPr>
            </a:pPr>
            <a:r>
              <a:rPr lang="en-US"/>
              <a:t> (3.6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Data'!$AJ$16:$AJ$21</c:f>
              <c:numCache>
                <c:formatCode>General</c:formatCode>
                <c:ptCount val="6"/>
                <c:pt idx="0">
                  <c:v>1</c:v>
                </c:pt>
                <c:pt idx="1">
                  <c:v>4</c:v>
                </c:pt>
                <c:pt idx="2">
                  <c:v>1</c:v>
                </c:pt>
                <c:pt idx="3">
                  <c:v>0</c:v>
                </c:pt>
                <c:pt idx="4">
                  <c:v>0</c:v>
                </c:pt>
                <c:pt idx="5">
                  <c:v>1</c:v>
                </c:pt>
              </c:numCache>
            </c:numRef>
          </c:val>
        </c:ser>
        <c:axId val="184343552"/>
        <c:axId val="184427264"/>
      </c:barChart>
      <c:catAx>
        <c:axId val="18434355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427264"/>
        <c:crosses val="autoZero"/>
        <c:auto val="1"/>
        <c:lblAlgn val="ctr"/>
        <c:lblOffset val="100"/>
      </c:catAx>
      <c:valAx>
        <c:axId val="18442726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34355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Q17 - I understand how my team's Scorecard is created and the impact I can have on it.</a:t>
            </a:r>
          </a:p>
          <a:p>
            <a:pPr>
              <a:defRPr sz="1200" b="1" i="0" u="none" strike="noStrike" baseline="0">
                <a:latin typeface="Arial"/>
                <a:ea typeface="Arial"/>
                <a:cs typeface="Arial"/>
              </a:defRPr>
            </a:pPr>
            <a:r>
              <a:rPr lang="en-US"/>
              <a:t> (3.3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Data'!$AL$16:$AL$21</c:f>
              <c:numCache>
                <c:formatCode>General</c:formatCode>
                <c:ptCount val="6"/>
                <c:pt idx="0">
                  <c:v>1</c:v>
                </c:pt>
                <c:pt idx="1">
                  <c:v>2</c:v>
                </c:pt>
                <c:pt idx="2">
                  <c:v>2</c:v>
                </c:pt>
                <c:pt idx="3">
                  <c:v>1</c:v>
                </c:pt>
                <c:pt idx="4">
                  <c:v>0</c:v>
                </c:pt>
                <c:pt idx="5">
                  <c:v>1</c:v>
                </c:pt>
              </c:numCache>
            </c:numRef>
          </c:val>
        </c:ser>
        <c:axId val="184574720"/>
        <c:axId val="184576256"/>
      </c:barChart>
      <c:catAx>
        <c:axId val="18457472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576256"/>
        <c:crosses val="autoZero"/>
        <c:auto val="1"/>
        <c:lblAlgn val="ctr"/>
        <c:lblOffset val="100"/>
      </c:catAx>
      <c:valAx>
        <c:axId val="18457625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574720"/>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Q18 - I feel other members of my team are working diligently and effectively.</a:t>
            </a:r>
          </a:p>
          <a:p>
            <a:pPr>
              <a:defRPr sz="1200" b="1" i="0" u="none" strike="noStrike" baseline="0">
                <a:latin typeface="Arial"/>
                <a:ea typeface="Arial"/>
                <a:cs typeface="Arial"/>
              </a:defRPr>
            </a:pPr>
            <a:r>
              <a:rPr lang="en-US"/>
              <a:t> (3.9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Data'!$AN$16:$AN$21</c:f>
              <c:numCache>
                <c:formatCode>General</c:formatCode>
                <c:ptCount val="6"/>
                <c:pt idx="0">
                  <c:v>1</c:v>
                </c:pt>
                <c:pt idx="1">
                  <c:v>5</c:v>
                </c:pt>
                <c:pt idx="2">
                  <c:v>1</c:v>
                </c:pt>
                <c:pt idx="3">
                  <c:v>0</c:v>
                </c:pt>
                <c:pt idx="4">
                  <c:v>0</c:v>
                </c:pt>
                <c:pt idx="5">
                  <c:v>0</c:v>
                </c:pt>
              </c:numCache>
            </c:numRef>
          </c:val>
        </c:ser>
        <c:axId val="184600832"/>
        <c:axId val="184631296"/>
      </c:barChart>
      <c:catAx>
        <c:axId val="18460083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631296"/>
        <c:crosses val="autoZero"/>
        <c:auto val="1"/>
        <c:lblAlgn val="ctr"/>
        <c:lblOffset val="100"/>
      </c:catAx>
      <c:valAx>
        <c:axId val="18463129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600832"/>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Q19 - I feel other IT teams are working diligently and effectively.</a:t>
            </a:r>
          </a:p>
          <a:p>
            <a:pPr>
              <a:defRPr sz="1200" b="1" i="0" u="none" strike="noStrike" baseline="0">
                <a:latin typeface="Arial"/>
                <a:ea typeface="Arial"/>
                <a:cs typeface="Arial"/>
              </a:defRPr>
            </a:pPr>
            <a:r>
              <a:rPr lang="en-US"/>
              <a:t> (3.6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Data'!$AP$16:$AP$21</c:f>
              <c:numCache>
                <c:formatCode>General</c:formatCode>
                <c:ptCount val="6"/>
                <c:pt idx="0">
                  <c:v>1</c:v>
                </c:pt>
                <c:pt idx="1">
                  <c:v>3</c:v>
                </c:pt>
                <c:pt idx="2">
                  <c:v>2</c:v>
                </c:pt>
                <c:pt idx="3">
                  <c:v>1</c:v>
                </c:pt>
                <c:pt idx="4">
                  <c:v>0</c:v>
                </c:pt>
                <c:pt idx="5">
                  <c:v>0</c:v>
                </c:pt>
              </c:numCache>
            </c:numRef>
          </c:val>
        </c:ser>
        <c:axId val="184659968"/>
        <c:axId val="184661504"/>
      </c:barChart>
      <c:catAx>
        <c:axId val="1846599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661504"/>
        <c:crosses val="autoZero"/>
        <c:auto val="1"/>
        <c:lblAlgn val="ctr"/>
        <c:lblOffset val="100"/>
      </c:catAx>
      <c:valAx>
        <c:axId val="1846615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659968"/>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Q20 - When we have been dependent on work from other teams (in the last 6 months), it was delivered on time, and as committed.</a:t>
            </a:r>
          </a:p>
          <a:p>
            <a:pPr>
              <a:defRPr sz="1200" b="1" i="0" u="none" strike="noStrike" baseline="0">
                <a:latin typeface="Arial"/>
                <a:ea typeface="Arial"/>
                <a:cs typeface="Arial"/>
              </a:defRPr>
            </a:pPr>
            <a:r>
              <a:rPr lang="en-US"/>
              <a:t> (3.5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Data'!$AR$16:$AR$21</c:f>
              <c:numCache>
                <c:formatCode>General</c:formatCode>
                <c:ptCount val="6"/>
                <c:pt idx="0">
                  <c:v>1</c:v>
                </c:pt>
                <c:pt idx="1">
                  <c:v>3</c:v>
                </c:pt>
                <c:pt idx="2">
                  <c:v>1</c:v>
                </c:pt>
                <c:pt idx="3">
                  <c:v>2</c:v>
                </c:pt>
                <c:pt idx="4">
                  <c:v>0</c:v>
                </c:pt>
                <c:pt idx="5">
                  <c:v>0</c:v>
                </c:pt>
              </c:numCache>
            </c:numRef>
          </c:val>
        </c:ser>
        <c:axId val="184711424"/>
        <c:axId val="184729600"/>
      </c:barChart>
      <c:catAx>
        <c:axId val="18471142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729600"/>
        <c:crosses val="autoZero"/>
        <c:auto val="1"/>
        <c:lblAlgn val="ctr"/>
        <c:lblOffset val="100"/>
      </c:catAx>
      <c:valAx>
        <c:axId val="18472960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711424"/>
        <c:crosses val="autoZero"/>
        <c:crossBetween val="between"/>
        <c:minorUnit val="1"/>
      </c:valAx>
    </c:plotArea>
    <c:plotVisOnly val="1"/>
  </c:chart>
  <c:printSettings>
    <c:headerFooter/>
    <c:pageMargins b="0.75000000000000111" l="0.70000000000000062" r="0.70000000000000062" t="0.75000000000000111"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eBusiness On-Time Data</a:t>
            </a:r>
          </a:p>
        </c:rich>
      </c:tx>
    </c:title>
    <c:plotArea>
      <c:layout/>
      <c:barChart>
        <c:barDir val="col"/>
        <c:grouping val="clustered"/>
        <c:ser>
          <c:idx val="0"/>
          <c:order val="0"/>
          <c:tx>
            <c:v>Series1</c:v>
          </c:tx>
          <c:val>
            <c:numRef>
              <c:f>'eBusiness On-Time Data'!$G$34:$G$46</c:f>
              <c:numCache>
                <c:formatCode>0%</c:formatCode>
                <c:ptCount val="13"/>
                <c:pt idx="0">
                  <c:v>1.0197368421052631</c:v>
                </c:pt>
                <c:pt idx="1">
                  <c:v>1.0618556701030928</c:v>
                </c:pt>
                <c:pt idx="2">
                  <c:v>0.98536585365853657</c:v>
                </c:pt>
                <c:pt idx="3">
                  <c:v>1</c:v>
                </c:pt>
                <c:pt idx="4">
                  <c:v>0.75747508305647837</c:v>
                </c:pt>
                <c:pt idx="5">
                  <c:v>1</c:v>
                </c:pt>
                <c:pt idx="6">
                  <c:v>1</c:v>
                </c:pt>
                <c:pt idx="7">
                  <c:v>1</c:v>
                </c:pt>
                <c:pt idx="8">
                  <c:v>0.93948126801152743</c:v>
                </c:pt>
                <c:pt idx="9">
                  <c:v>1</c:v>
                </c:pt>
                <c:pt idx="10">
                  <c:v>1</c:v>
                </c:pt>
                <c:pt idx="11">
                  <c:v>1</c:v>
                </c:pt>
                <c:pt idx="12">
                  <c:v>1</c:v>
                </c:pt>
              </c:numCache>
            </c:numRef>
          </c:val>
        </c:ser>
        <c:axId val="184736384"/>
        <c:axId val="184898304"/>
      </c:barChart>
      <c:catAx>
        <c:axId val="184736384"/>
        <c:scaling>
          <c:orientation val="minMax"/>
        </c:scaling>
        <c:axPos val="b"/>
        <c:title>
          <c:tx>
            <c:rich>
              <a:bodyPr/>
              <a:lstStyle/>
              <a:p>
                <a:pPr>
                  <a:defRPr/>
                </a:pPr>
                <a:r>
                  <a:rPr lang="en-US"/>
                  <a:t>Releases (13)</a:t>
                </a:r>
                <a:endParaRPr/>
              </a:p>
            </c:rich>
          </c:tx>
        </c:title>
        <c:tickLblPos val="nextTo"/>
        <c:crossAx val="184898304"/>
        <c:crosses val="autoZero"/>
        <c:auto val="1"/>
        <c:lblAlgn val="ctr"/>
        <c:lblOffset val="100"/>
      </c:catAx>
      <c:valAx>
        <c:axId val="184898304"/>
        <c:scaling>
          <c:orientation val="minMax"/>
          <c:min val="0"/>
        </c:scaling>
        <c:axPos val="l"/>
        <c:majorGridlines/>
        <c:title>
          <c:tx>
            <c:rich>
              <a:bodyPr rot="-5400000" vert="horz"/>
              <a:lstStyle/>
              <a:p>
                <a:pPr>
                  <a:defRPr/>
                </a:pPr>
                <a:r>
                  <a:rPr lang="en-US"/>
                  <a:t>% of Estimated Schedule Time used</a:t>
                </a:r>
              </a:p>
            </c:rich>
          </c:tx>
        </c:title>
        <c:numFmt formatCode="0%" sourceLinked="1"/>
        <c:tickLblPos val="nextTo"/>
        <c:crossAx val="184736384"/>
        <c:crosses val="autoZero"/>
        <c:crossBetween val="between"/>
        <c:majorUnit val="0.2"/>
      </c:valAx>
    </c:plotArea>
    <c:plotVisOnly val="1"/>
  </c:chart>
  <c:printSettings>
    <c:headerFooter/>
    <c:pageMargins b="0.75000000000000433" l="0.70000000000000062" r="0.70000000000000062" t="0.750000000000004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IT Finance On-Time Data</a:t>
            </a:r>
          </a:p>
        </c:rich>
      </c:tx>
    </c:title>
    <c:plotArea>
      <c:layout/>
      <c:barChart>
        <c:barDir val="col"/>
        <c:grouping val="clustered"/>
        <c:ser>
          <c:idx val="0"/>
          <c:order val="0"/>
          <c:tx>
            <c:v>Series1</c:v>
          </c:tx>
          <c:val>
            <c:numRef>
              <c:f>'IT Finance On-Time Data'!$G$34:$G$61</c:f>
              <c:numCache>
                <c:formatCode>0%</c:formatCode>
                <c:ptCount val="28"/>
                <c:pt idx="0">
                  <c:v>0.7</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numCache>
            </c:numRef>
          </c:val>
        </c:ser>
        <c:axId val="185049856"/>
        <c:axId val="185051776"/>
      </c:barChart>
      <c:catAx>
        <c:axId val="185049856"/>
        <c:scaling>
          <c:orientation val="minMax"/>
        </c:scaling>
        <c:axPos val="b"/>
        <c:title>
          <c:tx>
            <c:rich>
              <a:bodyPr/>
              <a:lstStyle/>
              <a:p>
                <a:pPr>
                  <a:defRPr/>
                </a:pPr>
                <a:r>
                  <a:rPr lang="en-US"/>
                  <a:t>Releases (28)</a:t>
                </a:r>
                <a:endParaRPr/>
              </a:p>
            </c:rich>
          </c:tx>
        </c:title>
        <c:tickLblPos val="nextTo"/>
        <c:crossAx val="185051776"/>
        <c:crosses val="autoZero"/>
        <c:auto val="1"/>
        <c:lblAlgn val="ctr"/>
        <c:lblOffset val="100"/>
      </c:catAx>
      <c:valAx>
        <c:axId val="185051776"/>
        <c:scaling>
          <c:orientation val="minMax"/>
          <c:min val="0"/>
        </c:scaling>
        <c:axPos val="l"/>
        <c:majorGridlines/>
        <c:title>
          <c:tx>
            <c:rich>
              <a:bodyPr rot="-5400000" vert="horz"/>
              <a:lstStyle/>
              <a:p>
                <a:pPr>
                  <a:defRPr/>
                </a:pPr>
                <a:r>
                  <a:rPr lang="en-US"/>
                  <a:t>% of Estimated Schedule Time used</a:t>
                </a:r>
              </a:p>
            </c:rich>
          </c:tx>
        </c:title>
        <c:numFmt formatCode="0%" sourceLinked="1"/>
        <c:tickLblPos val="nextTo"/>
        <c:crossAx val="185049856"/>
        <c:crosses val="autoZero"/>
        <c:crossBetween val="between"/>
        <c:majorUnit val="0.2"/>
      </c:valAx>
    </c:plotArea>
    <c:plotVisOnly val="1"/>
  </c:chart>
  <c:printSettings>
    <c:headerFooter/>
    <c:pageMargins b="0.75000000000000466" l="0.70000000000000062" r="0.70000000000000062" t="0.75000000000000466"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IT Producer On-Time Delivery</a:t>
            </a:r>
          </a:p>
        </c:rich>
      </c:tx>
    </c:title>
    <c:plotArea>
      <c:layout/>
      <c:barChart>
        <c:barDir val="col"/>
        <c:grouping val="clustered"/>
        <c:ser>
          <c:idx val="0"/>
          <c:order val="0"/>
          <c:tx>
            <c:v>Series1</c:v>
          </c:tx>
          <c:val>
            <c:numRef>
              <c:f>'IT Producer On-Time Delivery'!$G$34:$G$69</c:f>
              <c:numCache>
                <c:formatCode>0%</c:formatCode>
                <c:ptCount val="36"/>
                <c:pt idx="0">
                  <c:v>0.96969696969696972</c:v>
                </c:pt>
                <c:pt idx="1">
                  <c:v>1</c:v>
                </c:pt>
                <c:pt idx="2">
                  <c:v>1</c:v>
                </c:pt>
                <c:pt idx="3">
                  <c:v>1</c:v>
                </c:pt>
                <c:pt idx="4">
                  <c:v>1</c:v>
                </c:pt>
                <c:pt idx="5">
                  <c:v>1</c:v>
                </c:pt>
                <c:pt idx="6">
                  <c:v>1.1702127659574468</c:v>
                </c:pt>
                <c:pt idx="7">
                  <c:v>1</c:v>
                </c:pt>
                <c:pt idx="8">
                  <c:v>1</c:v>
                </c:pt>
                <c:pt idx="9">
                  <c:v>1</c:v>
                </c:pt>
                <c:pt idx="10">
                  <c:v>1</c:v>
                </c:pt>
                <c:pt idx="11">
                  <c:v>1</c:v>
                </c:pt>
                <c:pt idx="12">
                  <c:v>1</c:v>
                </c:pt>
                <c:pt idx="13">
                  <c:v>1</c:v>
                </c:pt>
                <c:pt idx="14">
                  <c:v>1</c:v>
                </c:pt>
                <c:pt idx="15">
                  <c:v>1</c:v>
                </c:pt>
                <c:pt idx="16">
                  <c:v>1</c:v>
                </c:pt>
                <c:pt idx="17">
                  <c:v>1</c:v>
                </c:pt>
                <c:pt idx="18">
                  <c:v>1.0256410256410255</c:v>
                </c:pt>
                <c:pt idx="19">
                  <c:v>1.1142857142857143</c:v>
                </c:pt>
                <c:pt idx="20">
                  <c:v>1</c:v>
                </c:pt>
                <c:pt idx="21">
                  <c:v>1</c:v>
                </c:pt>
                <c:pt idx="22">
                  <c:v>1</c:v>
                </c:pt>
                <c:pt idx="23">
                  <c:v>1</c:v>
                </c:pt>
                <c:pt idx="24">
                  <c:v>1</c:v>
                </c:pt>
                <c:pt idx="25">
                  <c:v>1</c:v>
                </c:pt>
                <c:pt idx="26">
                  <c:v>1</c:v>
                </c:pt>
                <c:pt idx="27">
                  <c:v>0.51428571428571423</c:v>
                </c:pt>
                <c:pt idx="28">
                  <c:v>1</c:v>
                </c:pt>
                <c:pt idx="29">
                  <c:v>1</c:v>
                </c:pt>
                <c:pt idx="30">
                  <c:v>1</c:v>
                </c:pt>
                <c:pt idx="31">
                  <c:v>1</c:v>
                </c:pt>
                <c:pt idx="32">
                  <c:v>1</c:v>
                </c:pt>
                <c:pt idx="33">
                  <c:v>0.90909090909090906</c:v>
                </c:pt>
                <c:pt idx="34">
                  <c:v>1</c:v>
                </c:pt>
                <c:pt idx="35">
                  <c:v>0.625</c:v>
                </c:pt>
              </c:numCache>
            </c:numRef>
          </c:val>
        </c:ser>
        <c:axId val="185617024"/>
        <c:axId val="188433152"/>
      </c:barChart>
      <c:catAx>
        <c:axId val="185617024"/>
        <c:scaling>
          <c:orientation val="minMax"/>
        </c:scaling>
        <c:axPos val="b"/>
        <c:title>
          <c:tx>
            <c:rich>
              <a:bodyPr/>
              <a:lstStyle/>
              <a:p>
                <a:pPr>
                  <a:defRPr/>
                </a:pPr>
                <a:r>
                  <a:rPr lang="en-US"/>
                  <a:t>Releases (46)</a:t>
                </a:r>
                <a:endParaRPr/>
              </a:p>
            </c:rich>
          </c:tx>
        </c:title>
        <c:tickLblPos val="nextTo"/>
        <c:crossAx val="188433152"/>
        <c:crosses val="autoZero"/>
        <c:auto val="1"/>
        <c:lblAlgn val="ctr"/>
        <c:lblOffset val="100"/>
      </c:catAx>
      <c:valAx>
        <c:axId val="188433152"/>
        <c:scaling>
          <c:orientation val="minMax"/>
          <c:min val="0"/>
        </c:scaling>
        <c:axPos val="l"/>
        <c:majorGridlines/>
        <c:title>
          <c:tx>
            <c:rich>
              <a:bodyPr rot="-5400000" vert="horz"/>
              <a:lstStyle/>
              <a:p>
                <a:pPr>
                  <a:defRPr/>
                </a:pPr>
                <a:r>
                  <a:rPr lang="en-US"/>
                  <a:t>% of Estimated Schedule Time used</a:t>
                </a:r>
              </a:p>
            </c:rich>
          </c:tx>
        </c:title>
        <c:numFmt formatCode="0%" sourceLinked="1"/>
        <c:tickLblPos val="nextTo"/>
        <c:crossAx val="185617024"/>
        <c:crosses val="autoZero"/>
        <c:crossBetween val="between"/>
        <c:majorUnit val="0.2"/>
      </c:valAx>
    </c:plotArea>
    <c:plotVisOnly val="1"/>
  </c:chart>
  <c:printSettings>
    <c:headerFooter/>
    <c:pageMargins b="0.75000000000000466" l="0.70000000000000062" r="0.70000000000000062" t="0.75000000000000466"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Product Admin On-Time Delivery</a:t>
            </a:r>
          </a:p>
        </c:rich>
      </c:tx>
    </c:title>
    <c:plotArea>
      <c:layout/>
      <c:barChart>
        <c:barDir val="col"/>
        <c:grouping val="clustered"/>
        <c:ser>
          <c:idx val="0"/>
          <c:order val="0"/>
          <c:tx>
            <c:v>Series1</c:v>
          </c:tx>
          <c:val>
            <c:numRef>
              <c:f>'Product Admin On-Time Delivery'!$G$34:$G$43</c:f>
              <c:numCache>
                <c:formatCode>0%</c:formatCode>
                <c:ptCount val="10"/>
                <c:pt idx="0">
                  <c:v>1</c:v>
                </c:pt>
                <c:pt idx="1">
                  <c:v>0.46511627906976744</c:v>
                </c:pt>
                <c:pt idx="2">
                  <c:v>0.9107142857142857</c:v>
                </c:pt>
                <c:pt idx="3">
                  <c:v>0.9107142857142857</c:v>
                </c:pt>
                <c:pt idx="4">
                  <c:v>0.8</c:v>
                </c:pt>
                <c:pt idx="5">
                  <c:v>1</c:v>
                </c:pt>
                <c:pt idx="6">
                  <c:v>1</c:v>
                </c:pt>
                <c:pt idx="7">
                  <c:v>1</c:v>
                </c:pt>
                <c:pt idx="8">
                  <c:v>2.1479591836734695</c:v>
                </c:pt>
                <c:pt idx="9">
                  <c:v>1.1683673469387754</c:v>
                </c:pt>
              </c:numCache>
            </c:numRef>
          </c:val>
        </c:ser>
        <c:axId val="188441728"/>
        <c:axId val="188582528"/>
      </c:barChart>
      <c:catAx>
        <c:axId val="188441728"/>
        <c:scaling>
          <c:orientation val="minMax"/>
        </c:scaling>
        <c:axPos val="b"/>
        <c:title>
          <c:tx>
            <c:rich>
              <a:bodyPr/>
              <a:lstStyle/>
              <a:p>
                <a:pPr>
                  <a:defRPr/>
                </a:pPr>
                <a:r>
                  <a:rPr lang="en-US"/>
                  <a:t>Releases (10)</a:t>
                </a:r>
                <a:endParaRPr/>
              </a:p>
            </c:rich>
          </c:tx>
        </c:title>
        <c:tickLblPos val="nextTo"/>
        <c:crossAx val="188582528"/>
        <c:crosses val="autoZero"/>
        <c:auto val="1"/>
        <c:lblAlgn val="ctr"/>
        <c:lblOffset val="100"/>
      </c:catAx>
      <c:valAx>
        <c:axId val="188582528"/>
        <c:scaling>
          <c:orientation val="minMax"/>
          <c:min val="0"/>
        </c:scaling>
        <c:axPos val="l"/>
        <c:majorGridlines/>
        <c:title>
          <c:tx>
            <c:rich>
              <a:bodyPr rot="-5400000" vert="horz"/>
              <a:lstStyle/>
              <a:p>
                <a:pPr>
                  <a:defRPr/>
                </a:pPr>
                <a:r>
                  <a:rPr lang="en-US"/>
                  <a:t>% of Estimated Schedule Time used</a:t>
                </a:r>
              </a:p>
            </c:rich>
          </c:tx>
        </c:title>
        <c:numFmt formatCode="0%" sourceLinked="1"/>
        <c:tickLblPos val="nextTo"/>
        <c:crossAx val="188441728"/>
        <c:crosses val="autoZero"/>
        <c:crossBetween val="between"/>
        <c:majorUnit val="0.2"/>
      </c:valAx>
    </c:plotArea>
    <c:plotVisOnly val="1"/>
  </c:chart>
  <c:printSettings>
    <c:headerFooter/>
    <c:pageMargins b="0.75000000000000466" l="0.70000000000000062" r="0.70000000000000062" t="0.75000000000000466"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Workflow On-Time Data</a:t>
            </a:r>
          </a:p>
        </c:rich>
      </c:tx>
    </c:title>
    <c:plotArea>
      <c:layout/>
      <c:barChart>
        <c:barDir val="col"/>
        <c:grouping val="clustered"/>
        <c:ser>
          <c:idx val="0"/>
          <c:order val="0"/>
          <c:tx>
            <c:v>Series1</c:v>
          </c:tx>
          <c:val>
            <c:numRef>
              <c:f>'Workflow On-Time Data'!$G$33:$G$37</c:f>
              <c:numCache>
                <c:formatCode>0%</c:formatCode>
                <c:ptCount val="5"/>
                <c:pt idx="0">
                  <c:v>1</c:v>
                </c:pt>
                <c:pt idx="1">
                  <c:v>1</c:v>
                </c:pt>
                <c:pt idx="2">
                  <c:v>1</c:v>
                </c:pt>
                <c:pt idx="3">
                  <c:v>1</c:v>
                </c:pt>
                <c:pt idx="4">
                  <c:v>1</c:v>
                </c:pt>
              </c:numCache>
            </c:numRef>
          </c:val>
        </c:ser>
        <c:axId val="188603008"/>
        <c:axId val="191590784"/>
      </c:barChart>
      <c:catAx>
        <c:axId val="188603008"/>
        <c:scaling>
          <c:orientation val="minMax"/>
        </c:scaling>
        <c:axPos val="b"/>
        <c:title>
          <c:tx>
            <c:rich>
              <a:bodyPr/>
              <a:lstStyle/>
              <a:p>
                <a:pPr>
                  <a:defRPr/>
                </a:pPr>
                <a:r>
                  <a:rPr lang="en-US"/>
                  <a:t>Releases (5)</a:t>
                </a:r>
                <a:endParaRPr/>
              </a:p>
            </c:rich>
          </c:tx>
        </c:title>
        <c:tickLblPos val="nextTo"/>
        <c:crossAx val="191590784"/>
        <c:crosses val="autoZero"/>
        <c:auto val="1"/>
        <c:lblAlgn val="ctr"/>
        <c:lblOffset val="100"/>
      </c:catAx>
      <c:valAx>
        <c:axId val="191590784"/>
        <c:scaling>
          <c:orientation val="minMax"/>
          <c:min val="0"/>
        </c:scaling>
        <c:axPos val="l"/>
        <c:majorGridlines/>
        <c:title>
          <c:tx>
            <c:rich>
              <a:bodyPr rot="-5400000" vert="horz"/>
              <a:lstStyle/>
              <a:p>
                <a:pPr>
                  <a:defRPr/>
                </a:pPr>
                <a:r>
                  <a:rPr lang="en-US"/>
                  <a:t>% of Estimated Schedule Time used</a:t>
                </a:r>
              </a:p>
            </c:rich>
          </c:tx>
        </c:title>
        <c:numFmt formatCode="0%" sourceLinked="1"/>
        <c:tickLblPos val="nextTo"/>
        <c:crossAx val="188603008"/>
        <c:crosses val="autoZero"/>
        <c:crossBetween val="between"/>
        <c:majorUnit val="0.2"/>
      </c:valAx>
    </c:plotArea>
    <c:plotVisOnly val="1"/>
  </c:chart>
  <c:printSettings>
    <c:headerFooter/>
    <c:pageMargins b="0.75000000000000466" l="0.70000000000000062" r="0.70000000000000062" t="0.75000000000000466"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Viewpoint On-Time Delivery</a:t>
            </a:r>
          </a:p>
        </c:rich>
      </c:tx>
    </c:title>
    <c:plotArea>
      <c:layout/>
      <c:barChart>
        <c:barDir val="col"/>
        <c:grouping val="clustered"/>
        <c:ser>
          <c:idx val="0"/>
          <c:order val="0"/>
          <c:tx>
            <c:v>Series1</c:v>
          </c:tx>
          <c:val>
            <c:numRef>
              <c:f>'Viewpoint On-Time Delivery'!$G$34:$G$39</c:f>
              <c:numCache>
                <c:formatCode>0%</c:formatCode>
                <c:ptCount val="6"/>
                <c:pt idx="0">
                  <c:v>1</c:v>
                </c:pt>
                <c:pt idx="1">
                  <c:v>0.88079470198675491</c:v>
                </c:pt>
                <c:pt idx="2">
                  <c:v>1</c:v>
                </c:pt>
                <c:pt idx="3">
                  <c:v>1</c:v>
                </c:pt>
                <c:pt idx="4">
                  <c:v>1</c:v>
                </c:pt>
                <c:pt idx="5">
                  <c:v>1</c:v>
                </c:pt>
              </c:numCache>
            </c:numRef>
          </c:val>
        </c:ser>
        <c:axId val="192721280"/>
        <c:axId val="192723200"/>
      </c:barChart>
      <c:catAx>
        <c:axId val="192721280"/>
        <c:scaling>
          <c:orientation val="minMax"/>
        </c:scaling>
        <c:axPos val="b"/>
        <c:title>
          <c:tx>
            <c:rich>
              <a:bodyPr/>
              <a:lstStyle/>
              <a:p>
                <a:pPr>
                  <a:defRPr/>
                </a:pPr>
                <a:r>
                  <a:rPr lang="en-US"/>
                  <a:t>Releases (6)</a:t>
                </a:r>
                <a:endParaRPr/>
              </a:p>
            </c:rich>
          </c:tx>
        </c:title>
        <c:tickLblPos val="nextTo"/>
        <c:crossAx val="192723200"/>
        <c:crosses val="autoZero"/>
        <c:auto val="1"/>
        <c:lblAlgn val="ctr"/>
        <c:lblOffset val="100"/>
      </c:catAx>
      <c:valAx>
        <c:axId val="192723200"/>
        <c:scaling>
          <c:orientation val="minMax"/>
          <c:min val="0"/>
        </c:scaling>
        <c:axPos val="l"/>
        <c:majorGridlines/>
        <c:title>
          <c:tx>
            <c:rich>
              <a:bodyPr rot="-5400000" vert="horz"/>
              <a:lstStyle/>
              <a:p>
                <a:pPr>
                  <a:defRPr/>
                </a:pPr>
                <a:r>
                  <a:rPr lang="en-US"/>
                  <a:t>% of Estimated Schedule Time used</a:t>
                </a:r>
              </a:p>
            </c:rich>
          </c:tx>
        </c:title>
        <c:numFmt formatCode="0%" sourceLinked="1"/>
        <c:tickLblPos val="nextTo"/>
        <c:crossAx val="192721280"/>
        <c:crosses val="autoZero"/>
        <c:crossBetween val="between"/>
        <c:majorUnit val="0.2"/>
      </c:valAx>
    </c:plotArea>
    <c:plotVisOnly val="1"/>
  </c:chart>
  <c:printSettings>
    <c:headerFooter/>
    <c:pageMargins b="0.75000000000000466" l="0.70000000000000062" r="0.70000000000000062" t="0.75000000000000466"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IT Service On-Time Delivery</a:t>
            </a:r>
          </a:p>
        </c:rich>
      </c:tx>
    </c:title>
    <c:plotArea>
      <c:layout/>
      <c:barChart>
        <c:barDir val="col"/>
        <c:grouping val="clustered"/>
        <c:ser>
          <c:idx val="0"/>
          <c:order val="0"/>
          <c:tx>
            <c:v>Series1</c:v>
          </c:tx>
          <c:val>
            <c:numRef>
              <c:f>'IT Service On-Time Delivery'!$G$34:$G$74</c:f>
              <c:numCache>
                <c:formatCode>0%</c:formatCode>
                <c:ptCount val="41"/>
                <c:pt idx="0">
                  <c:v>1.0152671755725191</c:v>
                </c:pt>
                <c:pt idx="1">
                  <c:v>0.98245614035087714</c:v>
                </c:pt>
                <c:pt idx="2">
                  <c:v>1</c:v>
                </c:pt>
                <c:pt idx="3">
                  <c:v>1</c:v>
                </c:pt>
                <c:pt idx="4">
                  <c:v>0.99193548387096775</c:v>
                </c:pt>
                <c:pt idx="5">
                  <c:v>1</c:v>
                </c:pt>
                <c:pt idx="6">
                  <c:v>0.875</c:v>
                </c:pt>
                <c:pt idx="7">
                  <c:v>1</c:v>
                </c:pt>
                <c:pt idx="8">
                  <c:v>1</c:v>
                </c:pt>
                <c:pt idx="9">
                  <c:v>1</c:v>
                </c:pt>
                <c:pt idx="10">
                  <c:v>1</c:v>
                </c:pt>
                <c:pt idx="11">
                  <c:v>0.875</c:v>
                </c:pt>
                <c:pt idx="12">
                  <c:v>1</c:v>
                </c:pt>
                <c:pt idx="13">
                  <c:v>1</c:v>
                </c:pt>
                <c:pt idx="14">
                  <c:v>1</c:v>
                </c:pt>
                <c:pt idx="15">
                  <c:v>1.0347222222222223</c:v>
                </c:pt>
                <c:pt idx="16">
                  <c:v>1</c:v>
                </c:pt>
                <c:pt idx="17">
                  <c:v>1</c:v>
                </c:pt>
                <c:pt idx="18">
                  <c:v>0.8</c:v>
                </c:pt>
                <c:pt idx="19">
                  <c:v>1</c:v>
                </c:pt>
                <c:pt idx="20">
                  <c:v>1</c:v>
                </c:pt>
                <c:pt idx="21">
                  <c:v>1</c:v>
                </c:pt>
                <c:pt idx="22">
                  <c:v>1</c:v>
                </c:pt>
                <c:pt idx="23">
                  <c:v>1</c:v>
                </c:pt>
                <c:pt idx="24">
                  <c:v>1</c:v>
                </c:pt>
                <c:pt idx="25">
                  <c:v>1</c:v>
                </c:pt>
                <c:pt idx="26">
                  <c:v>1</c:v>
                </c:pt>
                <c:pt idx="27">
                  <c:v>1</c:v>
                </c:pt>
                <c:pt idx="28">
                  <c:v>1</c:v>
                </c:pt>
                <c:pt idx="29">
                  <c:v>0.80769230769230771</c:v>
                </c:pt>
                <c:pt idx="30">
                  <c:v>1.069767441860465</c:v>
                </c:pt>
                <c:pt idx="31">
                  <c:v>1</c:v>
                </c:pt>
                <c:pt idx="32">
                  <c:v>1</c:v>
                </c:pt>
                <c:pt idx="33">
                  <c:v>1</c:v>
                </c:pt>
                <c:pt idx="34">
                  <c:v>1</c:v>
                </c:pt>
                <c:pt idx="35">
                  <c:v>1</c:v>
                </c:pt>
                <c:pt idx="36">
                  <c:v>0.94736842105263153</c:v>
                </c:pt>
                <c:pt idx="37">
                  <c:v>0.90909090909090906</c:v>
                </c:pt>
                <c:pt idx="38">
                  <c:v>0.99285714285714288</c:v>
                </c:pt>
                <c:pt idx="39">
                  <c:v>1</c:v>
                </c:pt>
                <c:pt idx="40">
                  <c:v>0.81132075471698117</c:v>
                </c:pt>
              </c:numCache>
            </c:numRef>
          </c:val>
        </c:ser>
        <c:axId val="192764928"/>
        <c:axId val="192791680"/>
      </c:barChart>
      <c:catAx>
        <c:axId val="192764928"/>
        <c:scaling>
          <c:orientation val="minMax"/>
        </c:scaling>
        <c:axPos val="b"/>
        <c:title>
          <c:tx>
            <c:rich>
              <a:bodyPr/>
              <a:lstStyle/>
              <a:p>
                <a:pPr>
                  <a:defRPr/>
                </a:pPr>
                <a:r>
                  <a:rPr lang="en-US"/>
                  <a:t>Releases (41)</a:t>
                </a:r>
                <a:endParaRPr/>
              </a:p>
            </c:rich>
          </c:tx>
        </c:title>
        <c:tickLblPos val="nextTo"/>
        <c:crossAx val="192791680"/>
        <c:crosses val="autoZero"/>
        <c:auto val="1"/>
        <c:lblAlgn val="ctr"/>
        <c:lblOffset val="100"/>
      </c:catAx>
      <c:valAx>
        <c:axId val="192791680"/>
        <c:scaling>
          <c:orientation val="minMax"/>
          <c:min val="0"/>
        </c:scaling>
        <c:axPos val="l"/>
        <c:majorGridlines/>
        <c:title>
          <c:tx>
            <c:rich>
              <a:bodyPr rot="-5400000" vert="horz"/>
              <a:lstStyle/>
              <a:p>
                <a:pPr>
                  <a:defRPr/>
                </a:pPr>
                <a:r>
                  <a:rPr lang="en-US"/>
                  <a:t>% of Estimated Schedule Time used</a:t>
                </a:r>
              </a:p>
            </c:rich>
          </c:tx>
        </c:title>
        <c:numFmt formatCode="0%" sourceLinked="1"/>
        <c:tickLblPos val="nextTo"/>
        <c:crossAx val="192764928"/>
        <c:crosses val="autoZero"/>
        <c:crossBetween val="between"/>
        <c:majorUnit val="0.2"/>
      </c:valAx>
    </c:plotArea>
    <c:plotVisOnly val="1"/>
  </c:chart>
  <c:printSettings>
    <c:headerFooter/>
    <c:pageMargins b="0.75000000000000444" l="0.70000000000000062" r="0.70000000000000062" t="0.75000000000000444"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5.xml"/><Relationship Id="rId13" Type="http://schemas.openxmlformats.org/officeDocument/2006/relationships/chart" Target="../charts/chart30.xml"/><Relationship Id="rId3" Type="http://schemas.openxmlformats.org/officeDocument/2006/relationships/chart" Target="../charts/chart20.xml"/><Relationship Id="rId7" Type="http://schemas.openxmlformats.org/officeDocument/2006/relationships/chart" Target="../charts/chart24.xml"/><Relationship Id="rId12" Type="http://schemas.openxmlformats.org/officeDocument/2006/relationships/chart" Target="../charts/chart29.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11" Type="http://schemas.openxmlformats.org/officeDocument/2006/relationships/chart" Target="../charts/chart28.xml"/><Relationship Id="rId5" Type="http://schemas.openxmlformats.org/officeDocument/2006/relationships/chart" Target="../charts/chart22.xml"/><Relationship Id="rId10" Type="http://schemas.openxmlformats.org/officeDocument/2006/relationships/chart" Target="../charts/chart27.xml"/><Relationship Id="rId4" Type="http://schemas.openxmlformats.org/officeDocument/2006/relationships/chart" Target="../charts/chart21.xml"/><Relationship Id="rId9" Type="http://schemas.openxmlformats.org/officeDocument/2006/relationships/chart" Target="../charts/chart26.xml"/><Relationship Id="rId14" Type="http://schemas.openxmlformats.org/officeDocument/2006/relationships/chart" Target="../charts/chart3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9.xml"/><Relationship Id="rId13" Type="http://schemas.openxmlformats.org/officeDocument/2006/relationships/chart" Target="../charts/chart44.xml"/><Relationship Id="rId18" Type="http://schemas.openxmlformats.org/officeDocument/2006/relationships/chart" Target="../charts/chart49.xml"/><Relationship Id="rId3" Type="http://schemas.openxmlformats.org/officeDocument/2006/relationships/chart" Target="../charts/chart34.xml"/><Relationship Id="rId7" Type="http://schemas.openxmlformats.org/officeDocument/2006/relationships/chart" Target="../charts/chart38.xml"/><Relationship Id="rId12" Type="http://schemas.openxmlformats.org/officeDocument/2006/relationships/chart" Target="../charts/chart43.xml"/><Relationship Id="rId17" Type="http://schemas.openxmlformats.org/officeDocument/2006/relationships/chart" Target="../charts/chart48.xml"/><Relationship Id="rId2" Type="http://schemas.openxmlformats.org/officeDocument/2006/relationships/chart" Target="../charts/chart33.xml"/><Relationship Id="rId16" Type="http://schemas.openxmlformats.org/officeDocument/2006/relationships/chart" Target="../charts/chart47.xml"/><Relationship Id="rId20" Type="http://schemas.openxmlformats.org/officeDocument/2006/relationships/chart" Target="../charts/chart51.xml"/><Relationship Id="rId1" Type="http://schemas.openxmlformats.org/officeDocument/2006/relationships/chart" Target="../charts/chart32.xml"/><Relationship Id="rId6" Type="http://schemas.openxmlformats.org/officeDocument/2006/relationships/chart" Target="../charts/chart37.xml"/><Relationship Id="rId11" Type="http://schemas.openxmlformats.org/officeDocument/2006/relationships/chart" Target="../charts/chart42.xml"/><Relationship Id="rId5" Type="http://schemas.openxmlformats.org/officeDocument/2006/relationships/chart" Target="../charts/chart36.xml"/><Relationship Id="rId15" Type="http://schemas.openxmlformats.org/officeDocument/2006/relationships/chart" Target="../charts/chart46.xml"/><Relationship Id="rId10" Type="http://schemas.openxmlformats.org/officeDocument/2006/relationships/chart" Target="../charts/chart41.xml"/><Relationship Id="rId19" Type="http://schemas.openxmlformats.org/officeDocument/2006/relationships/chart" Target="../charts/chart50.xml"/><Relationship Id="rId4" Type="http://schemas.openxmlformats.org/officeDocument/2006/relationships/chart" Target="../charts/chart35.xml"/><Relationship Id="rId9" Type="http://schemas.openxmlformats.org/officeDocument/2006/relationships/chart" Target="../charts/chart40.xml"/><Relationship Id="rId14" Type="http://schemas.openxmlformats.org/officeDocument/2006/relationships/chart" Target="../charts/chart4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58.xml"/></Relationships>
</file>

<file path=xl/drawings/drawing1.xml><?xml version="1.0" encoding="utf-8"?>
<xdr:wsDr xmlns:xdr="http://schemas.openxmlformats.org/drawingml/2006/spreadsheetDrawing" xmlns:a="http://schemas.openxmlformats.org/drawingml/2006/main">
  <xdr:twoCellAnchor>
    <xdr:from>
      <xdr:col>7</xdr:col>
      <xdr:colOff>323850</xdr:colOff>
      <xdr:row>5</xdr:row>
      <xdr:rowOff>9525</xdr:rowOff>
    </xdr:from>
    <xdr:to>
      <xdr:col>13</xdr:col>
      <xdr:colOff>514350</xdr:colOff>
      <xdr:row>16</xdr:row>
      <xdr:rowOff>66675</xdr:rowOff>
    </xdr:to>
    <xdr:graphicFrame macro="">
      <xdr:nvGraphicFramePr>
        <xdr:cNvPr id="112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0.58303</cdr:x>
      <cdr:y>0.54784</cdr:y>
    </cdr:from>
    <cdr:to>
      <cdr:x>0.63054</cdr:x>
      <cdr:y>0.63371</cdr:y>
    </cdr:to>
    <cdr:sp macro="" textlink="">
      <cdr:nvSpPr>
        <cdr:cNvPr id="2049" name="Text Box 1"/>
        <cdr:cNvSpPr txBox="1">
          <a:spLocks xmlns:a="http://schemas.openxmlformats.org/drawingml/2006/main" noChangeArrowheads="1"/>
        </cdr:cNvSpPr>
      </cdr:nvSpPr>
      <cdr:spPr bwMode="auto">
        <a:xfrm xmlns:a="http://schemas.openxmlformats.org/drawingml/2006/main">
          <a:off x="2735416" y="2141061"/>
          <a:ext cx="222666" cy="3382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1">
            <a:defRPr sz="1000"/>
          </a:pPr>
          <a:r>
            <a:rPr lang="en-US" sz="1000" b="0" i="0" strike="noStrike">
              <a:solidFill>
                <a:srgbClr val="000000"/>
              </a:solidFill>
              <a:latin typeface="Arial"/>
              <a:cs typeface="Arial"/>
            </a:rPr>
            <a:t>%</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53975</xdr:colOff>
      <xdr:row>0</xdr:row>
      <xdr:rowOff>12700</xdr:rowOff>
    </xdr:from>
    <xdr:to>
      <xdr:col>6</xdr:col>
      <xdr:colOff>6911975</xdr:colOff>
      <xdr:row>21</xdr:row>
      <xdr:rowOff>41275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50800</xdr:colOff>
      <xdr:row>0</xdr:row>
      <xdr:rowOff>12700</xdr:rowOff>
    </xdr:from>
    <xdr:to>
      <xdr:col>8</xdr:col>
      <xdr:colOff>6908800</xdr:colOff>
      <xdr:row>21</xdr:row>
      <xdr:rowOff>41275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47625</xdr:colOff>
      <xdr:row>0</xdr:row>
      <xdr:rowOff>12700</xdr:rowOff>
    </xdr:from>
    <xdr:to>
      <xdr:col>10</xdr:col>
      <xdr:colOff>6905625</xdr:colOff>
      <xdr:row>21</xdr:row>
      <xdr:rowOff>41275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44450</xdr:colOff>
      <xdr:row>0</xdr:row>
      <xdr:rowOff>12700</xdr:rowOff>
    </xdr:from>
    <xdr:to>
      <xdr:col>12</xdr:col>
      <xdr:colOff>6902450</xdr:colOff>
      <xdr:row>21</xdr:row>
      <xdr:rowOff>41275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422275</xdr:colOff>
      <xdr:row>0</xdr:row>
      <xdr:rowOff>12700</xdr:rowOff>
    </xdr:from>
    <xdr:to>
      <xdr:col>14</xdr:col>
      <xdr:colOff>6765925</xdr:colOff>
      <xdr:row>21</xdr:row>
      <xdr:rowOff>41275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285750</xdr:colOff>
      <xdr:row>0</xdr:row>
      <xdr:rowOff>12700</xdr:rowOff>
    </xdr:from>
    <xdr:to>
      <xdr:col>16</xdr:col>
      <xdr:colOff>6762750</xdr:colOff>
      <xdr:row>21</xdr:row>
      <xdr:rowOff>41275</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282575</xdr:colOff>
      <xdr:row>0</xdr:row>
      <xdr:rowOff>12700</xdr:rowOff>
    </xdr:from>
    <xdr:to>
      <xdr:col>18</xdr:col>
      <xdr:colOff>6759575</xdr:colOff>
      <xdr:row>21</xdr:row>
      <xdr:rowOff>41275</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279400</xdr:colOff>
      <xdr:row>0</xdr:row>
      <xdr:rowOff>12700</xdr:rowOff>
    </xdr:from>
    <xdr:to>
      <xdr:col>20</xdr:col>
      <xdr:colOff>6756400</xdr:colOff>
      <xdr:row>21</xdr:row>
      <xdr:rowOff>41275</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44450</xdr:colOff>
      <xdr:row>0</xdr:row>
      <xdr:rowOff>12700</xdr:rowOff>
    </xdr:from>
    <xdr:to>
      <xdr:col>6</xdr:col>
      <xdr:colOff>6902450</xdr:colOff>
      <xdr:row>21</xdr:row>
      <xdr:rowOff>41275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41275</xdr:colOff>
      <xdr:row>0</xdr:row>
      <xdr:rowOff>12700</xdr:rowOff>
    </xdr:from>
    <xdr:to>
      <xdr:col>8</xdr:col>
      <xdr:colOff>6899275</xdr:colOff>
      <xdr:row>21</xdr:row>
      <xdr:rowOff>41275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38100</xdr:colOff>
      <xdr:row>0</xdr:row>
      <xdr:rowOff>12700</xdr:rowOff>
    </xdr:from>
    <xdr:to>
      <xdr:col>10</xdr:col>
      <xdr:colOff>6896100</xdr:colOff>
      <xdr:row>21</xdr:row>
      <xdr:rowOff>41275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34925</xdr:colOff>
      <xdr:row>0</xdr:row>
      <xdr:rowOff>12700</xdr:rowOff>
    </xdr:from>
    <xdr:to>
      <xdr:col>12</xdr:col>
      <xdr:colOff>6892925</xdr:colOff>
      <xdr:row>21</xdr:row>
      <xdr:rowOff>41275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31750</xdr:colOff>
      <xdr:row>0</xdr:row>
      <xdr:rowOff>12700</xdr:rowOff>
    </xdr:from>
    <xdr:to>
      <xdr:col>14</xdr:col>
      <xdr:colOff>6889750</xdr:colOff>
      <xdr:row>21</xdr:row>
      <xdr:rowOff>41275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28575</xdr:colOff>
      <xdr:row>0</xdr:row>
      <xdr:rowOff>12700</xdr:rowOff>
    </xdr:from>
    <xdr:to>
      <xdr:col>16</xdr:col>
      <xdr:colOff>6886575</xdr:colOff>
      <xdr:row>21</xdr:row>
      <xdr:rowOff>41275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25400</xdr:colOff>
      <xdr:row>0</xdr:row>
      <xdr:rowOff>12700</xdr:rowOff>
    </xdr:from>
    <xdr:to>
      <xdr:col>18</xdr:col>
      <xdr:colOff>6883400</xdr:colOff>
      <xdr:row>21</xdr:row>
      <xdr:rowOff>41275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22225</xdr:colOff>
      <xdr:row>0</xdr:row>
      <xdr:rowOff>12700</xdr:rowOff>
    </xdr:from>
    <xdr:to>
      <xdr:col>20</xdr:col>
      <xdr:colOff>6880225</xdr:colOff>
      <xdr:row>21</xdr:row>
      <xdr:rowOff>41275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206375</xdr:colOff>
      <xdr:row>0</xdr:row>
      <xdr:rowOff>12700</xdr:rowOff>
    </xdr:from>
    <xdr:to>
      <xdr:col>6</xdr:col>
      <xdr:colOff>7064375</xdr:colOff>
      <xdr:row>21</xdr:row>
      <xdr:rowOff>41275</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203200</xdr:colOff>
      <xdr:row>0</xdr:row>
      <xdr:rowOff>12700</xdr:rowOff>
    </xdr:from>
    <xdr:to>
      <xdr:col>8</xdr:col>
      <xdr:colOff>7061200</xdr:colOff>
      <xdr:row>21</xdr:row>
      <xdr:rowOff>41275</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200025</xdr:colOff>
      <xdr:row>0</xdr:row>
      <xdr:rowOff>12700</xdr:rowOff>
    </xdr:from>
    <xdr:to>
      <xdr:col>10</xdr:col>
      <xdr:colOff>7058025</xdr:colOff>
      <xdr:row>21</xdr:row>
      <xdr:rowOff>41275</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196850</xdr:colOff>
      <xdr:row>0</xdr:row>
      <xdr:rowOff>12700</xdr:rowOff>
    </xdr:from>
    <xdr:to>
      <xdr:col>12</xdr:col>
      <xdr:colOff>7054850</xdr:colOff>
      <xdr:row>21</xdr:row>
      <xdr:rowOff>41275</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193675</xdr:colOff>
      <xdr:row>0</xdr:row>
      <xdr:rowOff>12700</xdr:rowOff>
    </xdr:from>
    <xdr:to>
      <xdr:col>14</xdr:col>
      <xdr:colOff>7051675</xdr:colOff>
      <xdr:row>21</xdr:row>
      <xdr:rowOff>41275</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190500</xdr:colOff>
      <xdr:row>0</xdr:row>
      <xdr:rowOff>12700</xdr:rowOff>
    </xdr:from>
    <xdr:to>
      <xdr:col>16</xdr:col>
      <xdr:colOff>7048500</xdr:colOff>
      <xdr:row>21</xdr:row>
      <xdr:rowOff>41275</xdr:rowOff>
    </xdr:to>
    <xdr:graphicFrame macro="">
      <xdr:nvGraphicFramePr>
        <xdr:cNvPr id="21" name="Chart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187325</xdr:colOff>
      <xdr:row>0</xdr:row>
      <xdr:rowOff>12700</xdr:rowOff>
    </xdr:from>
    <xdr:to>
      <xdr:col>18</xdr:col>
      <xdr:colOff>7045325</xdr:colOff>
      <xdr:row>21</xdr:row>
      <xdr:rowOff>41275</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184150</xdr:colOff>
      <xdr:row>0</xdr:row>
      <xdr:rowOff>12700</xdr:rowOff>
    </xdr:from>
    <xdr:to>
      <xdr:col>20</xdr:col>
      <xdr:colOff>7042150</xdr:colOff>
      <xdr:row>21</xdr:row>
      <xdr:rowOff>41275</xdr:rowOff>
    </xdr:to>
    <xdr:graphicFrame macro="">
      <xdr:nvGraphicFramePr>
        <xdr:cNvPr id="23"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180975</xdr:colOff>
      <xdr:row>0</xdr:row>
      <xdr:rowOff>12700</xdr:rowOff>
    </xdr:from>
    <xdr:to>
      <xdr:col>22</xdr:col>
      <xdr:colOff>7038975</xdr:colOff>
      <xdr:row>21</xdr:row>
      <xdr:rowOff>41275</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177800</xdr:colOff>
      <xdr:row>0</xdr:row>
      <xdr:rowOff>12700</xdr:rowOff>
    </xdr:from>
    <xdr:to>
      <xdr:col>24</xdr:col>
      <xdr:colOff>7035800</xdr:colOff>
      <xdr:row>21</xdr:row>
      <xdr:rowOff>41275</xdr:rowOff>
    </xdr:to>
    <xdr:graphicFrame macro="">
      <xdr:nvGraphicFramePr>
        <xdr:cNvPr id="25" name="Chart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26</xdr:col>
      <xdr:colOff>174625</xdr:colOff>
      <xdr:row>0</xdr:row>
      <xdr:rowOff>12700</xdr:rowOff>
    </xdr:from>
    <xdr:to>
      <xdr:col>26</xdr:col>
      <xdr:colOff>7032625</xdr:colOff>
      <xdr:row>21</xdr:row>
      <xdr:rowOff>41275</xdr:rowOff>
    </xdr:to>
    <xdr:graphicFrame macro="">
      <xdr:nvGraphicFramePr>
        <xdr:cNvPr id="26" name="Chart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28</xdr:col>
      <xdr:colOff>171450</xdr:colOff>
      <xdr:row>0</xdr:row>
      <xdr:rowOff>12700</xdr:rowOff>
    </xdr:from>
    <xdr:to>
      <xdr:col>28</xdr:col>
      <xdr:colOff>7029450</xdr:colOff>
      <xdr:row>21</xdr:row>
      <xdr:rowOff>41275</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30</xdr:col>
      <xdr:colOff>168275</xdr:colOff>
      <xdr:row>0</xdr:row>
      <xdr:rowOff>12700</xdr:rowOff>
    </xdr:from>
    <xdr:to>
      <xdr:col>30</xdr:col>
      <xdr:colOff>7026275</xdr:colOff>
      <xdr:row>21</xdr:row>
      <xdr:rowOff>41275</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32</xdr:col>
      <xdr:colOff>165100</xdr:colOff>
      <xdr:row>0</xdr:row>
      <xdr:rowOff>12700</xdr:rowOff>
    </xdr:from>
    <xdr:to>
      <xdr:col>32</xdr:col>
      <xdr:colOff>7023100</xdr:colOff>
      <xdr:row>21</xdr:row>
      <xdr:rowOff>41275</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254000</xdr:colOff>
      <xdr:row>0</xdr:row>
      <xdr:rowOff>12700</xdr:rowOff>
    </xdr:from>
    <xdr:to>
      <xdr:col>6</xdr:col>
      <xdr:colOff>6731000</xdr:colOff>
      <xdr:row>21</xdr:row>
      <xdr:rowOff>41275</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250825</xdr:colOff>
      <xdr:row>0</xdr:row>
      <xdr:rowOff>12700</xdr:rowOff>
    </xdr:from>
    <xdr:to>
      <xdr:col>8</xdr:col>
      <xdr:colOff>6727825</xdr:colOff>
      <xdr:row>21</xdr:row>
      <xdr:rowOff>41275</xdr:rowOff>
    </xdr:to>
    <xdr:graphicFrame macro="">
      <xdr:nvGraphicFramePr>
        <xdr:cNvPr id="23"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247650</xdr:colOff>
      <xdr:row>0</xdr:row>
      <xdr:rowOff>12700</xdr:rowOff>
    </xdr:from>
    <xdr:to>
      <xdr:col>10</xdr:col>
      <xdr:colOff>6724650</xdr:colOff>
      <xdr:row>21</xdr:row>
      <xdr:rowOff>41275</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244475</xdr:colOff>
      <xdr:row>0</xdr:row>
      <xdr:rowOff>12700</xdr:rowOff>
    </xdr:from>
    <xdr:to>
      <xdr:col>12</xdr:col>
      <xdr:colOff>6721475</xdr:colOff>
      <xdr:row>21</xdr:row>
      <xdr:rowOff>41275</xdr:rowOff>
    </xdr:to>
    <xdr:graphicFrame macro="">
      <xdr:nvGraphicFramePr>
        <xdr:cNvPr id="25" name="Chart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241300</xdr:colOff>
      <xdr:row>0</xdr:row>
      <xdr:rowOff>12700</xdr:rowOff>
    </xdr:from>
    <xdr:to>
      <xdr:col>14</xdr:col>
      <xdr:colOff>6718300</xdr:colOff>
      <xdr:row>21</xdr:row>
      <xdr:rowOff>41275</xdr:rowOff>
    </xdr:to>
    <xdr:graphicFrame macro="">
      <xdr:nvGraphicFramePr>
        <xdr:cNvPr id="26" name="Chart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238125</xdr:colOff>
      <xdr:row>0</xdr:row>
      <xdr:rowOff>12700</xdr:rowOff>
    </xdr:from>
    <xdr:to>
      <xdr:col>16</xdr:col>
      <xdr:colOff>6715125</xdr:colOff>
      <xdr:row>21</xdr:row>
      <xdr:rowOff>41275</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234950</xdr:colOff>
      <xdr:row>0</xdr:row>
      <xdr:rowOff>12700</xdr:rowOff>
    </xdr:from>
    <xdr:to>
      <xdr:col>18</xdr:col>
      <xdr:colOff>6711950</xdr:colOff>
      <xdr:row>21</xdr:row>
      <xdr:rowOff>41275</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231775</xdr:colOff>
      <xdr:row>0</xdr:row>
      <xdr:rowOff>12700</xdr:rowOff>
    </xdr:from>
    <xdr:to>
      <xdr:col>20</xdr:col>
      <xdr:colOff>6708775</xdr:colOff>
      <xdr:row>21</xdr:row>
      <xdr:rowOff>41275</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228600</xdr:colOff>
      <xdr:row>0</xdr:row>
      <xdr:rowOff>12700</xdr:rowOff>
    </xdr:from>
    <xdr:to>
      <xdr:col>22</xdr:col>
      <xdr:colOff>6705600</xdr:colOff>
      <xdr:row>21</xdr:row>
      <xdr:rowOff>41275</xdr:rowOff>
    </xdr:to>
    <xdr:graphicFrame macro="">
      <xdr:nvGraphicFramePr>
        <xdr:cNvPr id="30" name="Chart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225425</xdr:colOff>
      <xdr:row>0</xdr:row>
      <xdr:rowOff>12700</xdr:rowOff>
    </xdr:from>
    <xdr:to>
      <xdr:col>24</xdr:col>
      <xdr:colOff>6702425</xdr:colOff>
      <xdr:row>21</xdr:row>
      <xdr:rowOff>41275</xdr:rowOff>
    </xdr:to>
    <xdr:graphicFrame macro="">
      <xdr:nvGraphicFramePr>
        <xdr:cNvPr id="31" name="Chart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222250</xdr:colOff>
      <xdr:row>0</xdr:row>
      <xdr:rowOff>12700</xdr:rowOff>
    </xdr:from>
    <xdr:to>
      <xdr:col>26</xdr:col>
      <xdr:colOff>6699250</xdr:colOff>
      <xdr:row>21</xdr:row>
      <xdr:rowOff>41275</xdr:rowOff>
    </xdr:to>
    <xdr:graphicFrame macro="">
      <xdr:nvGraphicFramePr>
        <xdr:cNvPr id="32" name="Chart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219075</xdr:colOff>
      <xdr:row>0</xdr:row>
      <xdr:rowOff>12700</xdr:rowOff>
    </xdr:from>
    <xdr:to>
      <xdr:col>28</xdr:col>
      <xdr:colOff>6696075</xdr:colOff>
      <xdr:row>21</xdr:row>
      <xdr:rowOff>41275</xdr:rowOff>
    </xdr:to>
    <xdr:graphicFrame macro="">
      <xdr:nvGraphicFramePr>
        <xdr:cNvPr id="33" name="Chart 3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215900</xdr:colOff>
      <xdr:row>0</xdr:row>
      <xdr:rowOff>12700</xdr:rowOff>
    </xdr:from>
    <xdr:to>
      <xdr:col>30</xdr:col>
      <xdr:colOff>6692900</xdr:colOff>
      <xdr:row>21</xdr:row>
      <xdr:rowOff>41275</xdr:rowOff>
    </xdr:to>
    <xdr:graphicFrame macro="">
      <xdr:nvGraphicFramePr>
        <xdr:cNvPr id="34" name="Chart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212725</xdr:colOff>
      <xdr:row>0</xdr:row>
      <xdr:rowOff>12700</xdr:rowOff>
    </xdr:from>
    <xdr:to>
      <xdr:col>32</xdr:col>
      <xdr:colOff>6689725</xdr:colOff>
      <xdr:row>21</xdr:row>
      <xdr:rowOff>41275</xdr:rowOff>
    </xdr:to>
    <xdr:graphicFrame macro="">
      <xdr:nvGraphicFramePr>
        <xdr:cNvPr id="35" name="Chart 3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33</xdr:col>
      <xdr:colOff>209550</xdr:colOff>
      <xdr:row>0</xdr:row>
      <xdr:rowOff>12700</xdr:rowOff>
    </xdr:from>
    <xdr:to>
      <xdr:col>34</xdr:col>
      <xdr:colOff>6686550</xdr:colOff>
      <xdr:row>21</xdr:row>
      <xdr:rowOff>41275</xdr:rowOff>
    </xdr:to>
    <xdr:graphicFrame macro="">
      <xdr:nvGraphicFramePr>
        <xdr:cNvPr id="36" name="Chart 3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35</xdr:col>
      <xdr:colOff>206375</xdr:colOff>
      <xdr:row>0</xdr:row>
      <xdr:rowOff>12700</xdr:rowOff>
    </xdr:from>
    <xdr:to>
      <xdr:col>36</xdr:col>
      <xdr:colOff>6683375</xdr:colOff>
      <xdr:row>21</xdr:row>
      <xdr:rowOff>41275</xdr:rowOff>
    </xdr:to>
    <xdr:graphicFrame macro="">
      <xdr:nvGraphicFramePr>
        <xdr:cNvPr id="37" name="Chart 3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37</xdr:col>
      <xdr:colOff>203200</xdr:colOff>
      <xdr:row>0</xdr:row>
      <xdr:rowOff>12700</xdr:rowOff>
    </xdr:from>
    <xdr:to>
      <xdr:col>38</xdr:col>
      <xdr:colOff>6680200</xdr:colOff>
      <xdr:row>21</xdr:row>
      <xdr:rowOff>41275</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39</xdr:col>
      <xdr:colOff>200025</xdr:colOff>
      <xdr:row>0</xdr:row>
      <xdr:rowOff>12700</xdr:rowOff>
    </xdr:from>
    <xdr:to>
      <xdr:col>40</xdr:col>
      <xdr:colOff>6677025</xdr:colOff>
      <xdr:row>21</xdr:row>
      <xdr:rowOff>41275</xdr:rowOff>
    </xdr:to>
    <xdr:graphicFrame macro="">
      <xdr:nvGraphicFramePr>
        <xdr:cNvPr id="39" name="Chart 3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196850</xdr:colOff>
      <xdr:row>0</xdr:row>
      <xdr:rowOff>12700</xdr:rowOff>
    </xdr:from>
    <xdr:to>
      <xdr:col>42</xdr:col>
      <xdr:colOff>6673850</xdr:colOff>
      <xdr:row>21</xdr:row>
      <xdr:rowOff>41275</xdr:rowOff>
    </xdr:to>
    <xdr:graphicFrame macro="">
      <xdr:nvGraphicFramePr>
        <xdr:cNvPr id="40" name="Chart 3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43</xdr:col>
      <xdr:colOff>193675</xdr:colOff>
      <xdr:row>0</xdr:row>
      <xdr:rowOff>12700</xdr:rowOff>
    </xdr:from>
    <xdr:to>
      <xdr:col>44</xdr:col>
      <xdr:colOff>6670675</xdr:colOff>
      <xdr:row>21</xdr:row>
      <xdr:rowOff>41275</xdr:rowOff>
    </xdr:to>
    <xdr:graphicFrame macro="">
      <xdr:nvGraphicFramePr>
        <xdr:cNvPr id="41" name="Chart 4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114300</xdr:colOff>
      <xdr:row>0</xdr:row>
      <xdr:rowOff>127000</xdr:rowOff>
    </xdr:from>
    <xdr:to>
      <xdr:col>12</xdr:col>
      <xdr:colOff>76200</xdr:colOff>
      <xdr:row>17</xdr:row>
      <xdr:rowOff>117475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114300</xdr:colOff>
      <xdr:row>0</xdr:row>
      <xdr:rowOff>127000</xdr:rowOff>
    </xdr:from>
    <xdr:to>
      <xdr:col>12</xdr:col>
      <xdr:colOff>76200</xdr:colOff>
      <xdr:row>17</xdr:row>
      <xdr:rowOff>117475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114300</xdr:colOff>
      <xdr:row>0</xdr:row>
      <xdr:rowOff>127000</xdr:rowOff>
    </xdr:from>
    <xdr:to>
      <xdr:col>12</xdr:col>
      <xdr:colOff>76200</xdr:colOff>
      <xdr:row>17</xdr:row>
      <xdr:rowOff>117475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114300</xdr:colOff>
      <xdr:row>0</xdr:row>
      <xdr:rowOff>127000</xdr:rowOff>
    </xdr:from>
    <xdr:to>
      <xdr:col>12</xdr:col>
      <xdr:colOff>76200</xdr:colOff>
      <xdr:row>17</xdr:row>
      <xdr:rowOff>117475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114300</xdr:colOff>
      <xdr:row>0</xdr:row>
      <xdr:rowOff>127000</xdr:rowOff>
    </xdr:from>
    <xdr:to>
      <xdr:col>12</xdr:col>
      <xdr:colOff>76200</xdr:colOff>
      <xdr:row>17</xdr:row>
      <xdr:rowOff>117475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114300</xdr:colOff>
      <xdr:row>0</xdr:row>
      <xdr:rowOff>127000</xdr:rowOff>
    </xdr:from>
    <xdr:to>
      <xdr:col>12</xdr:col>
      <xdr:colOff>76200</xdr:colOff>
      <xdr:row>17</xdr:row>
      <xdr:rowOff>117475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114300</xdr:colOff>
      <xdr:row>0</xdr:row>
      <xdr:rowOff>127000</xdr:rowOff>
    </xdr:from>
    <xdr:to>
      <xdr:col>12</xdr:col>
      <xdr:colOff>76200</xdr:colOff>
      <xdr:row>17</xdr:row>
      <xdr:rowOff>117475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chnology%20Office/IT%20Balanced%20Scorecard/ScoreCard%20Spreadsheet%20v2.0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nsole"/>
      <sheetName val="Admin Data"/>
      <sheetName val="Scorecard"/>
      <sheetName val="Analysis"/>
      <sheetName val="by Team"/>
      <sheetName val="Survey Worksheet"/>
      <sheetName val="Comments"/>
      <sheetName val="KRA-1 Team Excellence"/>
      <sheetName val="KI Budget Variance"/>
      <sheetName val="Work Management"/>
      <sheetName val="LDM Adopt"/>
      <sheetName val="On-Time Delivery"/>
      <sheetName val="Release Satisfaction"/>
      <sheetName val="App Support"/>
      <sheetName val="Help Desk"/>
    </sheetNames>
    <sheetDataSet>
      <sheetData sheetId="0" refreshError="1"/>
      <sheetData sheetId="1" refreshError="1"/>
      <sheetData sheetId="2" refreshError="1"/>
      <sheetData sheetId="3" refreshError="1"/>
      <sheetData sheetId="4" refreshError="1">
        <row r="1">
          <cell r="B1" t="str">
            <v>Life IT</v>
          </cell>
        </row>
        <row r="29">
          <cell r="F29">
            <v>3333</v>
          </cell>
          <cell r="G29">
            <v>2211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queryTables/queryTable1.xml><?xml version="1.0" encoding="utf-8"?>
<queryTable xmlns="http://schemas.openxmlformats.org/spreadsheetml/2006/main" name="ExternalData_1" connectionId="4" autoFormatId="16" applyNumberFormats="0" applyBorderFormats="0" applyFontFormats="1" applyPatternFormats="1" applyAlignmentFormats="0" applyWidthHeightFormats="0">
  <queryTableRefresh nextId="24">
    <queryTableFields count="23">
      <queryTableField id="1" name="RecordId" tableColumnId="22"/>
      <queryTableField id="2" name="QSurveyPeriod" tableColumnId="23"/>
      <queryTableField id="3" name="QYourName_1" tableColumnId="24"/>
      <queryTableField id="22" dataBound="0" tableColumnId="1"/>
      <queryTableField id="23" dataBound="0" tableColumnId="2"/>
      <queryTableField id="4" name="Q1" tableColumnId="25"/>
      <queryTableField id="5" name="Q1b" tableColumnId="26"/>
      <queryTableField id="6" name="Q2" tableColumnId="27"/>
      <queryTableField id="7" name="Q2b" tableColumnId="28"/>
      <queryTableField id="8" name="Q3" tableColumnId="29"/>
      <queryTableField id="9" name="Q3b" tableColumnId="30"/>
      <queryTableField id="10" name="Q4" tableColumnId="31"/>
      <queryTableField id="11" name="Q4b" tableColumnId="32"/>
      <queryTableField id="12" name="Q5" tableColumnId="33"/>
      <queryTableField id="13" name="Q5b" tableColumnId="34"/>
      <queryTableField id="14" name="Q6" tableColumnId="35"/>
      <queryTableField id="15" name="Q6b" tableColumnId="36"/>
      <queryTableField id="16" name="Q7" tableColumnId="37"/>
      <queryTableField id="17" name="Q7b" tableColumnId="38"/>
      <queryTableField id="18" name="Q8" tableColumnId="39"/>
      <queryTableField id="19" name="Q8b" tableColumnId="40"/>
      <queryTableField id="20" name="Q9" tableColumnId="41"/>
      <queryTableField id="21" name="Q10" tableColumnId="42"/>
    </queryTableFields>
  </queryTableRefresh>
</queryTable>
</file>

<file path=xl/queryTables/queryTable2.xml><?xml version="1.0" encoding="utf-8"?>
<queryTable xmlns="http://schemas.openxmlformats.org/spreadsheetml/2006/main" name="ExternalData_1" connectionId="3" autoFormatId="16" applyNumberFormats="0" applyBorderFormats="0" applyFontFormats="1" applyPatternFormats="1" applyAlignmentFormats="0" applyWidthHeightFormats="0">
  <queryTableRefresh nextId="24">
    <queryTableFields count="23">
      <queryTableField id="1" name="RecordId" tableColumnId="22"/>
      <queryTableField id="2" name="QSurveyPeriod" tableColumnId="23"/>
      <queryTableField id="3" name="QYourName_1" tableColumnId="24"/>
      <queryTableField id="22" dataBound="0" tableColumnId="43"/>
      <queryTableField id="23" dataBound="0" tableColumnId="44"/>
      <queryTableField id="4" name="Q1" tableColumnId="25"/>
      <queryTableField id="5" name="Q1b" tableColumnId="26"/>
      <queryTableField id="6" name="Q2" tableColumnId="27"/>
      <queryTableField id="7" name="Q2b" tableColumnId="28"/>
      <queryTableField id="8" name="Q3" tableColumnId="29"/>
      <queryTableField id="9" name="Q3b" tableColumnId="30"/>
      <queryTableField id="10" name="Q4" tableColumnId="31"/>
      <queryTableField id="11" name="Q4b" tableColumnId="32"/>
      <queryTableField id="12" name="Q5" tableColumnId="33"/>
      <queryTableField id="13" name="Q5b" tableColumnId="34"/>
      <queryTableField id="14" name="Q6" tableColumnId="35"/>
      <queryTableField id="15" name="Q6b" tableColumnId="36"/>
      <queryTableField id="16" name="Q7" tableColumnId="37"/>
      <queryTableField id="17" name="Q7b" tableColumnId="38"/>
      <queryTableField id="18" name="Q8" tableColumnId="39"/>
      <queryTableField id="19" name="Q8b" tableColumnId="40"/>
      <queryTableField id="20" name="Q9" tableColumnId="41"/>
      <queryTableField id="21" name="Q10" tableColumnId="42"/>
    </queryTableFields>
  </queryTableRefresh>
</queryTable>
</file>

<file path=xl/queryTables/queryTable3.xml><?xml version="1.0" encoding="utf-8"?>
<queryTable xmlns="http://schemas.openxmlformats.org/spreadsheetml/2006/main" name="ExternalData_1" connectionId="2" autoFormatId="16" applyNumberFormats="0" applyBorderFormats="0" applyFontFormats="1" applyPatternFormats="1" applyAlignmentFormats="0" applyWidthHeightFormats="0">
  <queryTableRefresh nextId="36">
    <queryTableFields count="35">
      <queryTableField id="1" name="RecordId" tableColumnId="35"/>
      <queryTableField id="2" name="QSurveyPeriod" tableColumnId="36"/>
      <queryTableField id="3" name="QYourName" tableColumnId="37"/>
      <queryTableField id="35" dataBound="0" tableColumnId="69"/>
      <queryTableField id="4" name="QITTeamName" tableColumnId="38"/>
      <queryTableField id="5" name="Q1" tableColumnId="39"/>
      <queryTableField id="6" name="Q1b" tableColumnId="40"/>
      <queryTableField id="7" name="Q2" tableColumnId="41"/>
      <queryTableField id="8" name="Q2b" tableColumnId="42"/>
      <queryTableField id="9" name="Q3" tableColumnId="43"/>
      <queryTableField id="10" name="Q3b" tableColumnId="44"/>
      <queryTableField id="11" name="Q4" tableColumnId="45"/>
      <queryTableField id="12" name="Q4b" tableColumnId="46"/>
      <queryTableField id="13" name="Q5" tableColumnId="47"/>
      <queryTableField id="14" name="Q5b" tableColumnId="48"/>
      <queryTableField id="15" name="Q6" tableColumnId="49"/>
      <queryTableField id="16" name="Q6b" tableColumnId="50"/>
      <queryTableField id="17" name="Q7" tableColumnId="51"/>
      <queryTableField id="18" name="Q7b" tableColumnId="52"/>
      <queryTableField id="19" name="Q8" tableColumnId="53"/>
      <queryTableField id="20" name="Q8b" tableColumnId="54"/>
      <queryTableField id="21" name="Q9" tableColumnId="55"/>
      <queryTableField id="22" name="Q9b" tableColumnId="56"/>
      <queryTableField id="23" name="Q10" tableColumnId="57"/>
      <queryTableField id="24" name="Q10b" tableColumnId="58"/>
      <queryTableField id="25" name="Q11" tableColumnId="59"/>
      <queryTableField id="26" name="Q11b" tableColumnId="60"/>
      <queryTableField id="27" name="Q12" tableColumnId="61"/>
      <queryTableField id="28" name="Q12b" tableColumnId="62"/>
      <queryTableField id="29" name="Q13" tableColumnId="63"/>
      <queryTableField id="30" name="Q13b" tableColumnId="64"/>
      <queryTableField id="31" name="Q14" tableColumnId="65"/>
      <queryTableField id="32" name="Q14b" tableColumnId="66"/>
      <queryTableField id="33" name="Q15" tableColumnId="67"/>
      <queryTableField id="34" name="Q16" tableColumnId="68"/>
    </queryTableFields>
  </queryTableRefresh>
</queryTable>
</file>

<file path=xl/queryTables/queryTable4.xml><?xml version="1.0" encoding="utf-8"?>
<queryTable xmlns="http://schemas.openxmlformats.org/spreadsheetml/2006/main" name="ExternalData_1" connectionId="1" autoFormatId="16" applyNumberFormats="0" applyBorderFormats="0" applyFontFormats="1" applyPatternFormats="1" applyAlignmentFormats="0" applyWidthHeightFormats="0">
  <queryTableRefresh nextId="47">
    <queryTableFields count="46">
      <queryTableField id="1" name="RecordId" tableColumnId="45"/>
      <queryTableField id="2" name="QSurveyPeriod" tableColumnId="46"/>
      <queryTableField id="45" dataBound="0" tableColumnId="89"/>
      <queryTableField id="46" dataBound="0" tableColumnId="90"/>
      <queryTableField id="3" name="QTeamName" tableColumnId="47"/>
      <queryTableField id="4" name="Q1" tableColumnId="48"/>
      <queryTableField id="5" name="Q1b" tableColumnId="49"/>
      <queryTableField id="6" name="Q2" tableColumnId="50"/>
      <queryTableField id="7" name="Q2b" tableColumnId="51"/>
      <queryTableField id="8" name="Q3" tableColumnId="52"/>
      <queryTableField id="9" name="Q3b" tableColumnId="53"/>
      <queryTableField id="10" name="Q4" tableColumnId="54"/>
      <queryTableField id="11" name="Q4b" tableColumnId="55"/>
      <queryTableField id="12" name="Q5" tableColumnId="56"/>
      <queryTableField id="13" name="Q5b" tableColumnId="57"/>
      <queryTableField id="14" name="Q6" tableColumnId="58"/>
      <queryTableField id="15" name="Q6b" tableColumnId="59"/>
      <queryTableField id="16" name="Q7" tableColumnId="60"/>
      <queryTableField id="17" name="Q7b" tableColumnId="61"/>
      <queryTableField id="18" name="Q8" tableColumnId="62"/>
      <queryTableField id="19" name="Q8b" tableColumnId="63"/>
      <queryTableField id="20" name="Q9" tableColumnId="64"/>
      <queryTableField id="21" name="Q9b" tableColumnId="65"/>
      <queryTableField id="22" name="Q10" tableColumnId="66"/>
      <queryTableField id="23" name="Q10b" tableColumnId="67"/>
      <queryTableField id="24" name="Q11" tableColumnId="68"/>
      <queryTableField id="25" name="Q11b" tableColumnId="69"/>
      <queryTableField id="26" name="Q12" tableColumnId="70"/>
      <queryTableField id="27" name="Q12b" tableColumnId="71"/>
      <queryTableField id="28" name="Q13" tableColumnId="72"/>
      <queryTableField id="29" name="Q13b" tableColumnId="73"/>
      <queryTableField id="30" name="Q14" tableColumnId="74"/>
      <queryTableField id="31" name="Q14b" tableColumnId="75"/>
      <queryTableField id="32" name="Q15" tableColumnId="76"/>
      <queryTableField id="33" name="Q15b" tableColumnId="77"/>
      <queryTableField id="34" name="Q16" tableColumnId="78"/>
      <queryTableField id="35" name="Q16b" tableColumnId="79"/>
      <queryTableField id="36" name="Q17" tableColumnId="80"/>
      <queryTableField id="37" name="Q17b" tableColumnId="81"/>
      <queryTableField id="38" name="Q18" tableColumnId="82"/>
      <queryTableField id="39" name="Q18b" tableColumnId="83"/>
      <queryTableField id="40" name="Q19" tableColumnId="84"/>
      <queryTableField id="41" name="Q19b" tableColumnId="85"/>
      <queryTableField id="42" name="Q20" tableColumnId="86"/>
      <queryTableField id="43" name="Q20b" tableColumnId="87"/>
      <queryTableField id="44" name="Q21" tableColumnId="8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3" name="Table_ExternalData_134" displayName="Table_ExternalData_134" ref="A30:W47" tableType="queryTable" totalsRowShown="0">
  <autoFilter ref="A30:W47">
    <filterColumn colId="3"/>
    <filterColumn colId="4"/>
  </autoFilter>
  <tableColumns count="23">
    <tableColumn id="22" uniqueName="22" name="RecordId" queryTableFieldId="1"/>
    <tableColumn id="23" uniqueName="23" name="QSurveyPeriod" queryTableFieldId="2"/>
    <tableColumn id="24" uniqueName="24" name="QYourName_1" queryTableFieldId="3"/>
    <tableColumn id="1" uniqueName="1" name="Team Name" queryTableFieldId="22">
      <calculatedColumnFormula>LOOKUP(E31,INDIRECT(Team_Name_Lookup))</calculatedColumnFormula>
    </tableColumn>
    <tableColumn id="2" uniqueName="2" name="&lt;blank&gt;" queryTableFieldId="23"/>
    <tableColumn id="25" uniqueName="25" name="Q1" queryTableFieldId="4" dataDxfId="106"/>
    <tableColumn id="26" uniqueName="26" name="Q1b" queryTableFieldId="5" dataDxfId="105"/>
    <tableColumn id="27" uniqueName="27" name="Q2" queryTableFieldId="6" dataDxfId="104"/>
    <tableColumn id="28" uniqueName="28" name="Q2b" queryTableFieldId="7" dataDxfId="103"/>
    <tableColumn id="29" uniqueName="29" name="Q3" queryTableFieldId="8" dataDxfId="102"/>
    <tableColumn id="30" uniqueName="30" name="Q3b" queryTableFieldId="9" dataDxfId="101"/>
    <tableColumn id="31" uniqueName="31" name="Q4" queryTableFieldId="10" dataDxfId="100"/>
    <tableColumn id="32" uniqueName="32" name="Q4b" queryTableFieldId="11" dataDxfId="99"/>
    <tableColumn id="33" uniqueName="33" name="Q5" queryTableFieldId="12" dataDxfId="98"/>
    <tableColumn id="34" uniqueName="34" name="Q5b" queryTableFieldId="13" dataDxfId="97"/>
    <tableColumn id="35" uniqueName="35" name="Q6" queryTableFieldId="14" dataDxfId="96"/>
    <tableColumn id="36" uniqueName="36" name="Q6b" queryTableFieldId="15" dataDxfId="95"/>
    <tableColumn id="37" uniqueName="37" name="Q7" queryTableFieldId="16" dataDxfId="94"/>
    <tableColumn id="38" uniqueName="38" name="Q7b" queryTableFieldId="17" dataDxfId="93"/>
    <tableColumn id="39" uniqueName="39" name="Q8" queryTableFieldId="18" dataDxfId="92"/>
    <tableColumn id="40" uniqueName="40" name="Q8b" queryTableFieldId="19" dataDxfId="91"/>
    <tableColumn id="41" uniqueName="41" name="Q9" queryTableFieldId="20" dataDxfId="90"/>
    <tableColumn id="42" uniqueName="42" name="Q10" queryTableFieldId="21" dataDxfId="89"/>
  </tableColumns>
  <tableStyleInfo name="TableStyleMedium9" showFirstColumn="0" showLastColumn="0" showRowStripes="1" showColumnStripes="0"/>
</table>
</file>

<file path=xl/tables/table2.xml><?xml version="1.0" encoding="utf-8"?>
<table xmlns="http://schemas.openxmlformats.org/spreadsheetml/2006/main" id="2" name="Table_ExternalData_13" displayName="Table_ExternalData_13" ref="A30:W47" tableType="queryTable" totalsRowShown="0">
  <autoFilter ref="A30:W47">
    <filterColumn colId="3"/>
    <filterColumn colId="4"/>
  </autoFilter>
  <tableColumns count="23">
    <tableColumn id="22" uniqueName="22" name="RecordId" queryTableFieldId="1"/>
    <tableColumn id="23" uniqueName="23" name="QSurveyPeriod" queryTableFieldId="2"/>
    <tableColumn id="24" uniqueName="24" name="QYourName_1" queryTableFieldId="3"/>
    <tableColumn id="43" uniqueName="43" name="Team Name" queryTableFieldId="22"/>
    <tableColumn id="44" uniqueName="44" name="&lt;blank&gt;" queryTableFieldId="23"/>
    <tableColumn id="25" uniqueName="25" name="Q1" queryTableFieldId="4" dataDxfId="88"/>
    <tableColumn id="26" uniqueName="26" name="Q1b" queryTableFieldId="5" dataDxfId="87"/>
    <tableColumn id="27" uniqueName="27" name="Q2" queryTableFieldId="6" dataDxfId="86"/>
    <tableColumn id="28" uniqueName="28" name="Q2b" queryTableFieldId="7" dataDxfId="85"/>
    <tableColumn id="29" uniqueName="29" name="Q3" queryTableFieldId="8" dataDxfId="84"/>
    <tableColumn id="30" uniqueName="30" name="Q3b" queryTableFieldId="9" dataDxfId="83"/>
    <tableColumn id="31" uniqueName="31" name="Q4" queryTableFieldId="10" dataDxfId="82"/>
    <tableColumn id="32" uniqueName="32" name="Q4b" queryTableFieldId="11" dataDxfId="81"/>
    <tableColumn id="33" uniqueName="33" name="Q5" queryTableFieldId="12" dataDxfId="80"/>
    <tableColumn id="34" uniqueName="34" name="Q5b" queryTableFieldId="13" dataDxfId="79"/>
    <tableColumn id="35" uniqueName="35" name="Q6" queryTableFieldId="14" dataDxfId="78"/>
    <tableColumn id="36" uniqueName="36" name="Q6b" queryTableFieldId="15" dataDxfId="77"/>
    <tableColumn id="37" uniqueName="37" name="Q7" queryTableFieldId="16" dataDxfId="76"/>
    <tableColumn id="38" uniqueName="38" name="Q7b" queryTableFieldId="17" dataDxfId="75"/>
    <tableColumn id="39" uniqueName="39" name="Q8" queryTableFieldId="18" dataDxfId="74"/>
    <tableColumn id="40" uniqueName="40" name="Q8b" queryTableFieldId="19" dataDxfId="73"/>
    <tableColumn id="41" uniqueName="41" name="Q9" queryTableFieldId="20" dataDxfId="72"/>
    <tableColumn id="42" uniqueName="42" name="Q10" queryTableFieldId="21" dataDxfId="71"/>
  </tableColumns>
  <tableStyleInfo name="TableStyleMedium9" showFirstColumn="0" showLastColumn="0" showRowStripes="1" showColumnStripes="0"/>
</table>
</file>

<file path=xl/tables/table3.xml><?xml version="1.0" encoding="utf-8"?>
<table xmlns="http://schemas.openxmlformats.org/spreadsheetml/2006/main" id="4" name="Table_ExternalData_15" displayName="Table_ExternalData_15" ref="A30:AI77" tableType="queryTable" totalsRowShown="0">
  <autoFilter ref="A30:AI77">
    <filterColumn colId="3"/>
  </autoFilter>
  <tableColumns count="35">
    <tableColumn id="35" uniqueName="35" name="RecordId" queryTableFieldId="1"/>
    <tableColumn id="36" uniqueName="36" name="QSurveyPeriod" queryTableFieldId="2"/>
    <tableColumn id="37" uniqueName="37" name="QYourName" queryTableFieldId="3"/>
    <tableColumn id="69" uniqueName="69" name="Team Name" queryTableFieldId="35">
      <calculatedColumnFormula>LOOKUP(E31,INDIRECT(Team_Name_Lookup))</calculatedColumnFormula>
    </tableColumn>
    <tableColumn id="38" uniqueName="38" name="QITTeamName" queryTableFieldId="4"/>
    <tableColumn id="39" uniqueName="39" name="Q1" queryTableFieldId="5" dataDxfId="70"/>
    <tableColumn id="40" uniqueName="40" name="Q1b" queryTableFieldId="6" dataDxfId="69"/>
    <tableColumn id="41" uniqueName="41" name="Q2" queryTableFieldId="7" dataDxfId="68"/>
    <tableColumn id="42" uniqueName="42" name="Q2b" queryTableFieldId="8" dataDxfId="67"/>
    <tableColumn id="43" uniqueName="43" name="Q3" queryTableFieldId="9" dataDxfId="66"/>
    <tableColumn id="44" uniqueName="44" name="Q3b" queryTableFieldId="10" dataDxfId="65"/>
    <tableColumn id="45" uniqueName="45" name="Q4" queryTableFieldId="11" dataDxfId="64"/>
    <tableColumn id="46" uniqueName="46" name="Q4b" queryTableFieldId="12" dataDxfId="63"/>
    <tableColumn id="47" uniqueName="47" name="Q5" queryTableFieldId="13" dataDxfId="62"/>
    <tableColumn id="48" uniqueName="48" name="Q5b" queryTableFieldId="14" dataDxfId="61"/>
    <tableColumn id="49" uniqueName="49" name="Q6" queryTableFieldId="15" dataDxfId="60"/>
    <tableColumn id="50" uniqueName="50" name="Q6b" queryTableFieldId="16" dataDxfId="59"/>
    <tableColumn id="51" uniqueName="51" name="Q7" queryTableFieldId="17" dataDxfId="58"/>
    <tableColumn id="52" uniqueName="52" name="Q7b" queryTableFieldId="18" dataDxfId="57"/>
    <tableColumn id="53" uniqueName="53" name="Q8" queryTableFieldId="19" dataDxfId="56"/>
    <tableColumn id="54" uniqueName="54" name="Q8b" queryTableFieldId="20" dataDxfId="55"/>
    <tableColumn id="55" uniqueName="55" name="Q9" queryTableFieldId="21" dataDxfId="54"/>
    <tableColumn id="56" uniqueName="56" name="Q9b" queryTableFieldId="22" dataDxfId="53"/>
    <tableColumn id="57" uniqueName="57" name="Q10" queryTableFieldId="23" dataDxfId="52"/>
    <tableColumn id="58" uniqueName="58" name="Q10b" queryTableFieldId="24" dataDxfId="51"/>
    <tableColumn id="59" uniqueName="59" name="Q11" queryTableFieldId="25" dataDxfId="50"/>
    <tableColumn id="60" uniqueName="60" name="Q11b" queryTableFieldId="26" dataDxfId="49"/>
    <tableColumn id="61" uniqueName="61" name="Q12" queryTableFieldId="27" dataDxfId="48"/>
    <tableColumn id="62" uniqueName="62" name="Q12b" queryTableFieldId="28" dataDxfId="47"/>
    <tableColumn id="63" uniqueName="63" name="Q13" queryTableFieldId="29" dataDxfId="46"/>
    <tableColumn id="64" uniqueName="64" name="Q13b" queryTableFieldId="30" dataDxfId="45"/>
    <tableColumn id="65" uniqueName="65" name="Q14" queryTableFieldId="31" dataDxfId="44"/>
    <tableColumn id="66" uniqueName="66" name="Q14b" queryTableFieldId="32" dataDxfId="43"/>
    <tableColumn id="67" uniqueName="67" name="Q15" queryTableFieldId="33" dataDxfId="42"/>
    <tableColumn id="68" uniqueName="68" name="Q16" queryTableFieldId="34" dataDxfId="41"/>
  </tableColumns>
  <tableStyleInfo name="TableStyleMedium9" showFirstColumn="0" showLastColumn="0" showRowStripes="1" showColumnStripes="0"/>
</table>
</file>

<file path=xl/tables/table4.xml><?xml version="1.0" encoding="utf-8"?>
<table xmlns="http://schemas.openxmlformats.org/spreadsheetml/2006/main" id="1" name="Table_ExternalData_1" displayName="Table_ExternalData_1" ref="A30:AT186" tableType="queryTable" totalsRowShown="0">
  <autoFilter ref="A30:AT186">
    <filterColumn colId="2"/>
    <filterColumn colId="3"/>
  </autoFilter>
  <tableColumns count="46">
    <tableColumn id="45" uniqueName="45" name="RecordId" queryTableFieldId="1"/>
    <tableColumn id="46" uniqueName="46" name="QSurveyPeriod" queryTableFieldId="2"/>
    <tableColumn id="89" uniqueName="89" name="&lt;blank&gt;" queryTableFieldId="45"/>
    <tableColumn id="90" uniqueName="90" name="Team Name" queryTableFieldId="46">
      <calculatedColumnFormula>LOOKUP(E31,INDIRECT(Team_Name_Lookup))</calculatedColumnFormula>
    </tableColumn>
    <tableColumn id="47" uniqueName="47" name="QTeamName" queryTableFieldId="3"/>
    <tableColumn id="48" uniqueName="48" name="Q1" queryTableFieldId="4" dataDxfId="40"/>
    <tableColumn id="49" uniqueName="49" name="Q1b" queryTableFieldId="5" dataDxfId="39"/>
    <tableColumn id="50" uniqueName="50" name="Q2" queryTableFieldId="6" dataDxfId="38"/>
    <tableColumn id="51" uniqueName="51" name="Q2b" queryTableFieldId="7" dataDxfId="37"/>
    <tableColumn id="52" uniqueName="52" name="Q3" queryTableFieldId="8" dataDxfId="36"/>
    <tableColumn id="53" uniqueName="53" name="Q3b" queryTableFieldId="9" dataDxfId="35"/>
    <tableColumn id="54" uniqueName="54" name="Q4" queryTableFieldId="10" dataDxfId="34"/>
    <tableColumn id="55" uniqueName="55" name="Q4b" queryTableFieldId="11" dataDxfId="33"/>
    <tableColumn id="56" uniqueName="56" name="Q5" queryTableFieldId="12" dataDxfId="32"/>
    <tableColumn id="57" uniqueName="57" name="Q5b" queryTableFieldId="13" dataDxfId="31"/>
    <tableColumn id="58" uniqueName="58" name="Q6" queryTableFieldId="14" dataDxfId="30"/>
    <tableColumn id="59" uniqueName="59" name="Q6b" queryTableFieldId="15" dataDxfId="29"/>
    <tableColumn id="60" uniqueName="60" name="Q7" queryTableFieldId="16" dataDxfId="28"/>
    <tableColumn id="61" uniqueName="61" name="Q7b" queryTableFieldId="17" dataDxfId="27"/>
    <tableColumn id="62" uniqueName="62" name="Q8" queryTableFieldId="18" dataDxfId="26"/>
    <tableColumn id="63" uniqueName="63" name="Q8b" queryTableFieldId="19" dataDxfId="25"/>
    <tableColumn id="64" uniqueName="64" name="Q9" queryTableFieldId="20" dataDxfId="24"/>
    <tableColumn id="65" uniqueName="65" name="Q9b" queryTableFieldId="21" dataDxfId="23"/>
    <tableColumn id="66" uniqueName="66" name="Q10" queryTableFieldId="22" dataDxfId="22"/>
    <tableColumn id="67" uniqueName="67" name="Q10b" queryTableFieldId="23" dataDxfId="21"/>
    <tableColumn id="68" uniqueName="68" name="Q11" queryTableFieldId="24" dataDxfId="20"/>
    <tableColumn id="69" uniqueName="69" name="Q11b" queryTableFieldId="25" dataDxfId="19"/>
    <tableColumn id="70" uniqueName="70" name="Q12" queryTableFieldId="26" dataDxfId="18"/>
    <tableColumn id="71" uniqueName="71" name="Q12b" queryTableFieldId="27" dataDxfId="17"/>
    <tableColumn id="72" uniqueName="72" name="Q13" queryTableFieldId="28" dataDxfId="16"/>
    <tableColumn id="73" uniqueName="73" name="Q13b" queryTableFieldId="29" dataDxfId="15"/>
    <tableColumn id="74" uniqueName="74" name="Q14" queryTableFieldId="30" dataDxfId="14"/>
    <tableColumn id="75" uniqueName="75" name="Q14b" queryTableFieldId="31" dataDxfId="13"/>
    <tableColumn id="76" uniqueName="76" name="Q15" queryTableFieldId="32" dataDxfId="12"/>
    <tableColumn id="77" uniqueName="77" name="Q15b" queryTableFieldId="33" dataDxfId="11"/>
    <tableColumn id="78" uniqueName="78" name="Q16" queryTableFieldId="34" dataDxfId="10"/>
    <tableColumn id="79" uniqueName="79" name="Q16b" queryTableFieldId="35" dataDxfId="9"/>
    <tableColumn id="80" uniqueName="80" name="Q17" queryTableFieldId="36" dataDxfId="8"/>
    <tableColumn id="81" uniqueName="81" name="Q17b" queryTableFieldId="37" dataDxfId="7"/>
    <tableColumn id="82" uniqueName="82" name="Q18" queryTableFieldId="38" dataDxfId="6"/>
    <tableColumn id="83" uniqueName="83" name="Q18b" queryTableFieldId="39" dataDxfId="5"/>
    <tableColumn id="84" uniqueName="84" name="Q19" queryTableFieldId="40" dataDxfId="4"/>
    <tableColumn id="85" uniqueName="85" name="Q19b" queryTableFieldId="41" dataDxfId="3"/>
    <tableColumn id="86" uniqueName="86" name="Q20" queryTableFieldId="42" dataDxfId="2"/>
    <tableColumn id="87" uniqueName="87" name="Q20b" queryTableFieldId="43" dataDxfId="1"/>
    <tableColumn id="88" uniqueName="88" name="Q21" queryTableFieldId="44"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DART%20Stats" TargetMode="Externa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file:///\\IND-SVR-03\PROJDATA3\PMONetwork\New%20Product%20Development\004%20Program%20Management\Current%20Status%20Reports\PMO%20Status%20Report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file:///\\Ind-svr-03\projdata3\PMONetwork\New%20Product%20Development\004%20Program%20Management\NPDFMWeb\StatusReports.htm" TargetMode="External"/><Relationship Id="rId13" Type="http://schemas.openxmlformats.org/officeDocument/2006/relationships/hyperlink" Target="file:///\\IND-SVR-03\PROJDATA3\PMONetwork\New%20Product%20Development\004%20Program%20Management\PMWeb\Program%20Status%20Reports.mht" TargetMode="External"/><Relationship Id="rId18" Type="http://schemas.openxmlformats.org/officeDocument/2006/relationships/hyperlink" Target="file:///\\Ind-svr-03\projdata3\PMONetwork\New%20Product%20Development\004%20Program%20Management\NPDFMWeb\StatusReports.htm" TargetMode="External"/><Relationship Id="rId26" Type="http://schemas.openxmlformats.org/officeDocument/2006/relationships/hyperlink" Target="file:///\\Ind-svr-03\projdata3\PMONetwork\New%20Product%20Development\004%20Program%20Management\NPDFMWeb\StatusReports.htm" TargetMode="External"/><Relationship Id="rId3" Type="http://schemas.openxmlformats.org/officeDocument/2006/relationships/hyperlink" Target="file:///\\IND-SVR-03\PROJDATA3\PMONetwork\New%20Product%20Development\004%20Program%20Management\PMWeb\Program%20Status%20Reports.mht" TargetMode="External"/><Relationship Id="rId21" Type="http://schemas.openxmlformats.org/officeDocument/2006/relationships/hyperlink" Target="file:///\\IND-SVR-03\PROJDATA3\PMONetwork\New%20Product%20Development\004%20Program%20Management\PMWeb\Program%20Status%20Reports.mht" TargetMode="External"/><Relationship Id="rId7" Type="http://schemas.openxmlformats.org/officeDocument/2006/relationships/hyperlink" Target="file:///\\IND-SVR-03\PROJDATA3\PMONetwork\New%20Product%20Development\004%20Program%20Management\PMWeb\Program%20Status%20Reports.mht" TargetMode="External"/><Relationship Id="rId12" Type="http://schemas.openxmlformats.org/officeDocument/2006/relationships/hyperlink" Target="file:///\\Ind-svr-03\projdata3\PMONetwork\New%20Product%20Development\004%20Program%20Management\NPDFMWeb\StatusReports.htm" TargetMode="External"/><Relationship Id="rId17" Type="http://schemas.openxmlformats.org/officeDocument/2006/relationships/hyperlink" Target="file:///\\Ind-svr-03\projdata3\PMONetwork\New%20Product%20Development\004%20Program%20Management\NPDFMWeb\StatusReports.htm" TargetMode="External"/><Relationship Id="rId25" Type="http://schemas.openxmlformats.org/officeDocument/2006/relationships/hyperlink" Target="file:///\\Ind-svr-03\projdata3\PMONetwork\New%20Product%20Development\004%20Program%20Management\NPDFMWeb\StatusReports.htm" TargetMode="External"/><Relationship Id="rId2" Type="http://schemas.openxmlformats.org/officeDocument/2006/relationships/hyperlink" Target="file:///\\Ind-svr-03\projdata3\PMONetwork\New%20Product%20Development\004%20Program%20Management\NPDFMWeb\StatusReports.htm" TargetMode="External"/><Relationship Id="rId16" Type="http://schemas.openxmlformats.org/officeDocument/2006/relationships/hyperlink" Target="file:///\\IND-SVR-03\PROJDATA3\PMONetwork\New%20Product%20Development\004%20Program%20Management\PMWeb\Program%20Status%20Reports.mht" TargetMode="External"/><Relationship Id="rId20" Type="http://schemas.openxmlformats.org/officeDocument/2006/relationships/hyperlink" Target="file:///\\Ind-svr-03\projdata3\PMONetwork\New%20Product%20Development\004%20Program%20Management\NPDFMWeb\StatusReports.htm" TargetMode="External"/><Relationship Id="rId29" Type="http://schemas.openxmlformats.org/officeDocument/2006/relationships/drawing" Target="../drawings/drawing7.xml"/><Relationship Id="rId1" Type="http://schemas.openxmlformats.org/officeDocument/2006/relationships/hyperlink" Target="file:///\\IND-SVR-03\PROJDATA3\PMONetwork\New%20Product%20Development\004%20Program%20Management\PMWeb\Program%20Status%20Reports.mht" TargetMode="External"/><Relationship Id="rId6" Type="http://schemas.openxmlformats.org/officeDocument/2006/relationships/hyperlink" Target="file:///\\Ind-svr-03\projdata3\PMONetwork\New%20Product%20Development\004%20Program%20Management\NPDFMWeb\StatusReports.htm" TargetMode="External"/><Relationship Id="rId11" Type="http://schemas.openxmlformats.org/officeDocument/2006/relationships/hyperlink" Target="file:///\\IND-SVR-03\PROJDATA3\PMONetwork\New%20Product%20Development\004%20Program%20Management\PMWeb\Program%20Status%20Reports.mht" TargetMode="External"/><Relationship Id="rId24" Type="http://schemas.openxmlformats.org/officeDocument/2006/relationships/hyperlink" Target="file:///\\Ind-svr-03\projdata3\PMONetwork\New%20Product%20Development\004%20Program%20Management\NPDFMWeb\StatusReports.htm" TargetMode="External"/><Relationship Id="rId5" Type="http://schemas.openxmlformats.org/officeDocument/2006/relationships/hyperlink" Target="file:///\\IND-SVR-03\PROJDATA3\PMONetwork\New%20Product%20Development\004%20Program%20Management\PMWeb\Program%20Status%20Reports.mht" TargetMode="External"/><Relationship Id="rId15" Type="http://schemas.openxmlformats.org/officeDocument/2006/relationships/hyperlink" Target="file:///\\Ind-svr-03\projdata3\PMONetwork\New%20Product%20Development\004%20Program%20Management\NPDFMWeb\StatusReports.htm" TargetMode="External"/><Relationship Id="rId23" Type="http://schemas.openxmlformats.org/officeDocument/2006/relationships/hyperlink" Target="file:///\\IND-SVR-03\PROJDATA3\PMONetwork\New%20Product%20Development\004%20Program%20Management\PMWeb\Program%20Status%20Reports.mht" TargetMode="External"/><Relationship Id="rId28" Type="http://schemas.openxmlformats.org/officeDocument/2006/relationships/printerSettings" Target="../printerSettings/printerSettings19.bin"/><Relationship Id="rId10" Type="http://schemas.openxmlformats.org/officeDocument/2006/relationships/hyperlink" Target="file:///\\Ind-svr-03\projdata3\PMONetwork\New%20Product%20Development\004%20Program%20Management\NPDFMWeb\StatusReports.htm" TargetMode="External"/><Relationship Id="rId19" Type="http://schemas.openxmlformats.org/officeDocument/2006/relationships/hyperlink" Target="file:///\\IND-SVR-03\PROJDATA3\PMONetwork\New%20Product%20Development\004%20Program%20Management\PMWeb\Program%20Status%20Reports.mht" TargetMode="External"/><Relationship Id="rId4" Type="http://schemas.openxmlformats.org/officeDocument/2006/relationships/hyperlink" Target="file:///\\Ind-svr-03\projdata3\PMONetwork\New%20Product%20Development\004%20Program%20Management\NPDFMWeb\StatusReports.htm" TargetMode="External"/><Relationship Id="rId9" Type="http://schemas.openxmlformats.org/officeDocument/2006/relationships/hyperlink" Target="file:///\\IND-SVR-03\PROJDATA3\PMONetwork\New%20Product%20Development\004%20Program%20Management\PMWeb\Program%20Status%20Reports.mht" TargetMode="External"/><Relationship Id="rId14" Type="http://schemas.openxmlformats.org/officeDocument/2006/relationships/hyperlink" Target="file:///\\Ind-svr-03\projdata3\PMONetwork\New%20Product%20Development\004%20Program%20Management\NPDFMWeb\StatusReports.htm" TargetMode="External"/><Relationship Id="rId22" Type="http://schemas.openxmlformats.org/officeDocument/2006/relationships/hyperlink" Target="file:///\\Ind-svr-03\projdata3\PMONetwork\New%20Product%20Development\004%20Program%20Management\NPDFMWeb\StatusReports.htm" TargetMode="External"/><Relationship Id="rId27" Type="http://schemas.openxmlformats.org/officeDocument/2006/relationships/hyperlink" Target="file:///\\Ind-svr-03\projdata3\PMONetwork\New%20Product%20Development\004%20Program%20Management\NPDFMWeb\StatusReports.htm"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sheetPr codeName="Sheet8"/>
  <dimension ref="A3:A38"/>
  <sheetViews>
    <sheetView workbookViewId="0">
      <selection activeCell="A3" sqref="A3"/>
    </sheetView>
  </sheetViews>
  <sheetFormatPr defaultRowHeight="12.75"/>
  <cols>
    <col min="1" max="1" width="28.42578125" bestFit="1" customWidth="1"/>
  </cols>
  <sheetData>
    <row r="3" spans="1:1">
      <c r="A3" s="5" t="s">
        <v>1164</v>
      </c>
    </row>
    <row r="4" spans="1:1">
      <c r="A4" s="5" t="s">
        <v>1165</v>
      </c>
    </row>
    <row r="5" spans="1:1">
      <c r="A5" s="5" t="s">
        <v>1141</v>
      </c>
    </row>
    <row r="6" spans="1:1">
      <c r="A6" s="5" t="s">
        <v>1061</v>
      </c>
    </row>
    <row r="7" spans="1:1">
      <c r="A7" s="5" t="s">
        <v>1142</v>
      </c>
    </row>
    <row r="8" spans="1:1">
      <c r="A8" s="5" t="s">
        <v>1175</v>
      </c>
    </row>
    <row r="9" spans="1:1">
      <c r="A9" s="5" t="s">
        <v>1176</v>
      </c>
    </row>
    <row r="10" spans="1:1">
      <c r="A10" s="5" t="s">
        <v>1177</v>
      </c>
    </row>
    <row r="11" spans="1:1">
      <c r="A11" s="5" t="s">
        <v>1166</v>
      </c>
    </row>
    <row r="12" spans="1:1">
      <c r="A12" s="5" t="s">
        <v>1168</v>
      </c>
    </row>
    <row r="13" spans="1:1">
      <c r="A13" s="5" t="s">
        <v>1062</v>
      </c>
    </row>
    <row r="14" spans="1:1">
      <c r="A14" s="5" t="s">
        <v>1178</v>
      </c>
    </row>
    <row r="15" spans="1:1">
      <c r="A15" s="5" t="s">
        <v>1169</v>
      </c>
    </row>
    <row r="16" spans="1:1">
      <c r="A16" s="5" t="s">
        <v>1063</v>
      </c>
    </row>
    <row r="17" spans="1:1">
      <c r="A17" s="5" t="s">
        <v>1170</v>
      </c>
    </row>
    <row r="18" spans="1:1">
      <c r="A18" s="5" t="s">
        <v>439</v>
      </c>
    </row>
    <row r="19" spans="1:1">
      <c r="A19" s="5" t="s">
        <v>113</v>
      </c>
    </row>
    <row r="20" spans="1:1">
      <c r="A20" s="5" t="s">
        <v>59</v>
      </c>
    </row>
    <row r="21" spans="1:1">
      <c r="A21" s="5" t="s">
        <v>540</v>
      </c>
    </row>
    <row r="22" spans="1:1">
      <c r="A22" s="5" t="s">
        <v>584</v>
      </c>
    </row>
    <row r="23" spans="1:1">
      <c r="A23" s="5" t="s">
        <v>605</v>
      </c>
    </row>
    <row r="24" spans="1:1">
      <c r="A24" s="5" t="s">
        <v>480</v>
      </c>
    </row>
    <row r="25" spans="1:1">
      <c r="A25" s="5" t="s">
        <v>585</v>
      </c>
    </row>
    <row r="26" spans="1:1">
      <c r="A26" s="5" t="s">
        <v>690</v>
      </c>
    </row>
    <row r="27" spans="1:1">
      <c r="A27" s="5" t="s">
        <v>60</v>
      </c>
    </row>
    <row r="28" spans="1:1">
      <c r="A28" s="5" t="s">
        <v>1064</v>
      </c>
    </row>
    <row r="29" spans="1:1">
      <c r="A29" s="5" t="s">
        <v>1065</v>
      </c>
    </row>
    <row r="30" spans="1:1">
      <c r="A30" s="5" t="s">
        <v>1171</v>
      </c>
    </row>
    <row r="31" spans="1:1">
      <c r="A31" s="5"/>
    </row>
    <row r="32" spans="1:1">
      <c r="A32" s="5"/>
    </row>
    <row r="33" spans="1:1">
      <c r="A33" s="5"/>
    </row>
    <row r="34" spans="1:1">
      <c r="A34" s="5"/>
    </row>
    <row r="35" spans="1:1">
      <c r="A35" s="5"/>
    </row>
    <row r="36" spans="1:1">
      <c r="A36" s="5"/>
    </row>
    <row r="37" spans="1:1">
      <c r="A37" s="5"/>
    </row>
    <row r="38" spans="1:1">
      <c r="A38" s="5"/>
    </row>
  </sheetData>
  <phoneticPr fontId="2" type="noConversion"/>
  <hyperlinks>
    <hyperlink ref="A3" location="'Scorecard - Individual Team'!A1" display="Scorecard - Individual Team"/>
    <hyperlink ref="A4" location="'Scorecard - All Teams'!A1" display="Scorecard - All Teams"/>
    <hyperlink ref="A5" location="'Budget Rollup'!A1" display="Budget Rollup"/>
    <hyperlink ref="A6" location="'Survey Rollup'!A1" display="Survey Rollup"/>
    <hyperlink ref="A7" location="'Survey Mapping'!A1" display="Survey Mapping"/>
    <hyperlink ref="A8" location="'IT Survey - All Teams'!A1" display="IT Survey - All Teams"/>
    <hyperlink ref="A9" location="'Business Survey - All Teams'!A1" display="Business Survey - All Teams"/>
    <hyperlink ref="A10" location="'Partner Survey - All Teams'!A1" display="Partner Survey - All Teams"/>
    <hyperlink ref="A11" location="'Lookups'!A1" display="Lookups"/>
    <hyperlink ref="A12" location="'Partner Survey Questions'!A1" display="Partner Survey Questions"/>
    <hyperlink ref="A13" location="'Partner Survey Data'!A1" display="Partner Survey Data"/>
    <hyperlink ref="A14" location="'Partner Survey Data (1)'!A1" display="Partner Survey Data (1)"/>
    <hyperlink ref="A15" location="'Business Survey Questions'!A1" display="Business Survey Questions"/>
    <hyperlink ref="A16" location="'Business Survey Data'!A1" display="Business Survey Data"/>
    <hyperlink ref="A17" location="'IT Survey Questions'!A1" display="IT Survey Questions"/>
    <hyperlink ref="A18" location="'IT Survey Data'!A1" display="IT Survey Data"/>
    <hyperlink ref="A19" location="'IT Sales On-Time Data'!A1" display="IT Sales On-Time Data"/>
    <hyperlink ref="A20" location="'eBusiness On-Time Data'!A1" display="eBusiness On-Time Data"/>
    <hyperlink ref="A21" location="'IT Finance On-Time Data'!A1" display="IT Finance On-Time Data"/>
    <hyperlink ref="A22" location="'IT Producer On-Time Delivery'!A1" display="IT Producer On-Time Delivery"/>
    <hyperlink ref="A23" location="'Product Admin On-Time Delivery'!A1" display="Product Admin On-Time Delivery"/>
    <hyperlink ref="A24" location="'Workflow On-Time Data'!A1" display="Workflow On-Time Data"/>
    <hyperlink ref="A25" location="'Viewpoint On-Time Delivery'!A1" display="Viewpoint On-Time Delivery"/>
    <hyperlink ref="A26" location="'IT Service On-Time Delivery'!A1" display="IT Service On-Time Delivery"/>
    <hyperlink ref="A27" location="'On-Time Delivery Data'!A1" display="On-Time Delivery Data"/>
    <hyperlink ref="A28" location="'Budget Variance Data'!A1" display="Budget Variance Data"/>
    <hyperlink ref="A29" location="'ITR Data'!A1" display="ITR Data"/>
    <hyperlink ref="A30" location="'TrendAppDev'!A1" display="TrendAppDev"/>
  </hyperlinks>
  <pageMargins left="0.75" right="0.75" top="1" bottom="1" header="0.5" footer="0.5"/>
  <pageSetup orientation="portrait" r:id="rId1"/>
  <headerFooter alignWithMargins="0">
    <oddFooter>&amp;L&amp;5&amp;Z&amp;F
Created: 9/29/2006 10:44:00 PM
Last Saved: 2/5/2008 9:15:17 PM
Last Printed: 2/5/2008 6:12:16 PM&amp;R&amp;5&amp;P - &amp;N
Title :&lt;Not Set&gt;
Subject: &lt;Not Set&gt;</oddFooter>
  </headerFooter>
</worksheet>
</file>

<file path=xl/worksheets/sheet2.xml><?xml version="1.0" encoding="utf-8"?>
<worksheet xmlns="http://schemas.openxmlformats.org/spreadsheetml/2006/main" xmlns:r="http://schemas.openxmlformats.org/officeDocument/2006/relationships">
  <sheetPr codeName="Sheet4"/>
  <dimension ref="A1:R44"/>
  <sheetViews>
    <sheetView topLeftCell="A4" workbookViewId="0">
      <selection activeCell="F3" sqref="F3:F33"/>
    </sheetView>
  </sheetViews>
  <sheetFormatPr defaultRowHeight="12.75"/>
  <cols>
    <col min="1" max="1" width="9" style="357" customWidth="1"/>
    <col min="2" max="2" width="9.140625" style="357"/>
    <col min="3" max="3" width="9.7109375" style="357" customWidth="1"/>
    <col min="4" max="4" width="9" style="357" customWidth="1"/>
    <col min="5" max="5" width="10.7109375" style="357" customWidth="1"/>
    <col min="6" max="6" width="12.7109375" style="357" customWidth="1"/>
    <col min="7" max="7" width="1" style="357" customWidth="1"/>
    <col min="8" max="8" width="12.7109375" style="357" customWidth="1"/>
    <col min="9" max="9" width="1" style="357" customWidth="1"/>
    <col min="10" max="10" width="12.7109375" style="357" customWidth="1"/>
    <col min="11" max="11" width="1" style="357" customWidth="1"/>
    <col min="12" max="12" width="12.7109375" style="467" customWidth="1"/>
    <col min="13" max="13" width="2.85546875" style="357" customWidth="1"/>
    <col min="14" max="14" width="28.42578125" style="357" bestFit="1" customWidth="1"/>
    <col min="15" max="15" width="9.140625" style="357"/>
    <col min="16" max="16" width="10.7109375" style="357" bestFit="1" customWidth="1"/>
    <col min="17" max="17" width="10.7109375" style="357" customWidth="1"/>
    <col min="18" max="18" width="11.5703125" style="357" bestFit="1" customWidth="1"/>
    <col min="19" max="19" width="10.140625" style="357" bestFit="1" customWidth="1"/>
    <col min="20" max="242" width="9.140625" style="357"/>
    <col min="243" max="243" width="9" style="357" customWidth="1"/>
    <col min="244" max="244" width="9.140625" style="357"/>
    <col min="245" max="245" width="9.7109375" style="357" customWidth="1"/>
    <col min="246" max="246" width="9" style="357" customWidth="1"/>
    <col min="247" max="247" width="10.7109375" style="357" customWidth="1"/>
    <col min="248" max="248" width="12.7109375" style="357" customWidth="1"/>
    <col min="249" max="249" width="1" style="357" customWidth="1"/>
    <col min="250" max="250" width="12.7109375" style="357" customWidth="1"/>
    <col min="251" max="251" width="1" style="357" customWidth="1"/>
    <col min="252" max="252" width="12.7109375" style="357" customWidth="1"/>
    <col min="253" max="253" width="1" style="357" customWidth="1"/>
    <col min="254" max="254" width="12.7109375" style="357" customWidth="1"/>
    <col min="255" max="498" width="9.140625" style="357"/>
    <col min="499" max="499" width="9" style="357" customWidth="1"/>
    <col min="500" max="500" width="9.140625" style="357"/>
    <col min="501" max="501" width="9.7109375" style="357" customWidth="1"/>
    <col min="502" max="502" width="9" style="357" customWidth="1"/>
    <col min="503" max="503" width="10.7109375" style="357" customWidth="1"/>
    <col min="504" max="504" width="12.7109375" style="357" customWidth="1"/>
    <col min="505" max="505" width="1" style="357" customWidth="1"/>
    <col min="506" max="506" width="12.7109375" style="357" customWidth="1"/>
    <col min="507" max="507" width="1" style="357" customWidth="1"/>
    <col min="508" max="508" width="12.7109375" style="357" customWidth="1"/>
    <col min="509" max="509" width="1" style="357" customWidth="1"/>
    <col min="510" max="510" width="12.7109375" style="357" customWidth="1"/>
    <col min="511" max="754" width="9.140625" style="357"/>
    <col min="755" max="755" width="9" style="357" customWidth="1"/>
    <col min="756" max="756" width="9.140625" style="357"/>
    <col min="757" max="757" width="9.7109375" style="357" customWidth="1"/>
    <col min="758" max="758" width="9" style="357" customWidth="1"/>
    <col min="759" max="759" width="10.7109375" style="357" customWidth="1"/>
    <col min="760" max="760" width="12.7109375" style="357" customWidth="1"/>
    <col min="761" max="761" width="1" style="357" customWidth="1"/>
    <col min="762" max="762" width="12.7109375" style="357" customWidth="1"/>
    <col min="763" max="763" width="1" style="357" customWidth="1"/>
    <col min="764" max="764" width="12.7109375" style="357" customWidth="1"/>
    <col min="765" max="765" width="1" style="357" customWidth="1"/>
    <col min="766" max="766" width="12.7109375" style="357" customWidth="1"/>
    <col min="767" max="1010" width="9.140625" style="357"/>
    <col min="1011" max="1011" width="9" style="357" customWidth="1"/>
    <col min="1012" max="1012" width="9.140625" style="357"/>
    <col min="1013" max="1013" width="9.7109375" style="357" customWidth="1"/>
    <col min="1014" max="1014" width="9" style="357" customWidth="1"/>
    <col min="1015" max="1015" width="10.7109375" style="357" customWidth="1"/>
    <col min="1016" max="1016" width="12.7109375" style="357" customWidth="1"/>
    <col min="1017" max="1017" width="1" style="357" customWidth="1"/>
    <col min="1018" max="1018" width="12.7109375" style="357" customWidth="1"/>
    <col min="1019" max="1019" width="1" style="357" customWidth="1"/>
    <col min="1020" max="1020" width="12.7109375" style="357" customWidth="1"/>
    <col min="1021" max="1021" width="1" style="357" customWidth="1"/>
    <col min="1022" max="1022" width="12.7109375" style="357" customWidth="1"/>
    <col min="1023" max="1266" width="9.140625" style="357"/>
    <col min="1267" max="1267" width="9" style="357" customWidth="1"/>
    <col min="1268" max="1268" width="9.140625" style="357"/>
    <col min="1269" max="1269" width="9.7109375" style="357" customWidth="1"/>
    <col min="1270" max="1270" width="9" style="357" customWidth="1"/>
    <col min="1271" max="1271" width="10.7109375" style="357" customWidth="1"/>
    <col min="1272" max="1272" width="12.7109375" style="357" customWidth="1"/>
    <col min="1273" max="1273" width="1" style="357" customWidth="1"/>
    <col min="1274" max="1274" width="12.7109375" style="357" customWidth="1"/>
    <col min="1275" max="1275" width="1" style="357" customWidth="1"/>
    <col min="1276" max="1276" width="12.7109375" style="357" customWidth="1"/>
    <col min="1277" max="1277" width="1" style="357" customWidth="1"/>
    <col min="1278" max="1278" width="12.7109375" style="357" customWidth="1"/>
    <col min="1279" max="1522" width="9.140625" style="357"/>
    <col min="1523" max="1523" width="9" style="357" customWidth="1"/>
    <col min="1524" max="1524" width="9.140625" style="357"/>
    <col min="1525" max="1525" width="9.7109375" style="357" customWidth="1"/>
    <col min="1526" max="1526" width="9" style="357" customWidth="1"/>
    <col min="1527" max="1527" width="10.7109375" style="357" customWidth="1"/>
    <col min="1528" max="1528" width="12.7109375" style="357" customWidth="1"/>
    <col min="1529" max="1529" width="1" style="357" customWidth="1"/>
    <col min="1530" max="1530" width="12.7109375" style="357" customWidth="1"/>
    <col min="1531" max="1531" width="1" style="357" customWidth="1"/>
    <col min="1532" max="1532" width="12.7109375" style="357" customWidth="1"/>
    <col min="1533" max="1533" width="1" style="357" customWidth="1"/>
    <col min="1534" max="1534" width="12.7109375" style="357" customWidth="1"/>
    <col min="1535" max="1778" width="9.140625" style="357"/>
    <col min="1779" max="1779" width="9" style="357" customWidth="1"/>
    <col min="1780" max="1780" width="9.140625" style="357"/>
    <col min="1781" max="1781" width="9.7109375" style="357" customWidth="1"/>
    <col min="1782" max="1782" width="9" style="357" customWidth="1"/>
    <col min="1783" max="1783" width="10.7109375" style="357" customWidth="1"/>
    <col min="1784" max="1784" width="12.7109375" style="357" customWidth="1"/>
    <col min="1785" max="1785" width="1" style="357" customWidth="1"/>
    <col min="1786" max="1786" width="12.7109375" style="357" customWidth="1"/>
    <col min="1787" max="1787" width="1" style="357" customWidth="1"/>
    <col min="1788" max="1788" width="12.7109375" style="357" customWidth="1"/>
    <col min="1789" max="1789" width="1" style="357" customWidth="1"/>
    <col min="1790" max="1790" width="12.7109375" style="357" customWidth="1"/>
    <col min="1791" max="2034" width="9.140625" style="357"/>
    <col min="2035" max="2035" width="9" style="357" customWidth="1"/>
    <col min="2036" max="2036" width="9.140625" style="357"/>
    <col min="2037" max="2037" width="9.7109375" style="357" customWidth="1"/>
    <col min="2038" max="2038" width="9" style="357" customWidth="1"/>
    <col min="2039" max="2039" width="10.7109375" style="357" customWidth="1"/>
    <col min="2040" max="2040" width="12.7109375" style="357" customWidth="1"/>
    <col min="2041" max="2041" width="1" style="357" customWidth="1"/>
    <col min="2042" max="2042" width="12.7109375" style="357" customWidth="1"/>
    <col min="2043" max="2043" width="1" style="357" customWidth="1"/>
    <col min="2044" max="2044" width="12.7109375" style="357" customWidth="1"/>
    <col min="2045" max="2045" width="1" style="357" customWidth="1"/>
    <col min="2046" max="2046" width="12.7109375" style="357" customWidth="1"/>
    <col min="2047" max="2290" width="9.140625" style="357"/>
    <col min="2291" max="2291" width="9" style="357" customWidth="1"/>
    <col min="2292" max="2292" width="9.140625" style="357"/>
    <col min="2293" max="2293" width="9.7109375" style="357" customWidth="1"/>
    <col min="2294" max="2294" width="9" style="357" customWidth="1"/>
    <col min="2295" max="2295" width="10.7109375" style="357" customWidth="1"/>
    <col min="2296" max="2296" width="12.7109375" style="357" customWidth="1"/>
    <col min="2297" max="2297" width="1" style="357" customWidth="1"/>
    <col min="2298" max="2298" width="12.7109375" style="357" customWidth="1"/>
    <col min="2299" max="2299" width="1" style="357" customWidth="1"/>
    <col min="2300" max="2300" width="12.7109375" style="357" customWidth="1"/>
    <col min="2301" max="2301" width="1" style="357" customWidth="1"/>
    <col min="2302" max="2302" width="12.7109375" style="357" customWidth="1"/>
    <col min="2303" max="2546" width="9.140625" style="357"/>
    <col min="2547" max="2547" width="9" style="357" customWidth="1"/>
    <col min="2548" max="2548" width="9.140625" style="357"/>
    <col min="2549" max="2549" width="9.7109375" style="357" customWidth="1"/>
    <col min="2550" max="2550" width="9" style="357" customWidth="1"/>
    <col min="2551" max="2551" width="10.7109375" style="357" customWidth="1"/>
    <col min="2552" max="2552" width="12.7109375" style="357" customWidth="1"/>
    <col min="2553" max="2553" width="1" style="357" customWidth="1"/>
    <col min="2554" max="2554" width="12.7109375" style="357" customWidth="1"/>
    <col min="2555" max="2555" width="1" style="357" customWidth="1"/>
    <col min="2556" max="2556" width="12.7109375" style="357" customWidth="1"/>
    <col min="2557" max="2557" width="1" style="357" customWidth="1"/>
    <col min="2558" max="2558" width="12.7109375" style="357" customWidth="1"/>
    <col min="2559" max="2802" width="9.140625" style="357"/>
    <col min="2803" max="2803" width="9" style="357" customWidth="1"/>
    <col min="2804" max="2804" width="9.140625" style="357"/>
    <col min="2805" max="2805" width="9.7109375" style="357" customWidth="1"/>
    <col min="2806" max="2806" width="9" style="357" customWidth="1"/>
    <col min="2807" max="2807" width="10.7109375" style="357" customWidth="1"/>
    <col min="2808" max="2808" width="12.7109375" style="357" customWidth="1"/>
    <col min="2809" max="2809" width="1" style="357" customWidth="1"/>
    <col min="2810" max="2810" width="12.7109375" style="357" customWidth="1"/>
    <col min="2811" max="2811" width="1" style="357" customWidth="1"/>
    <col min="2812" max="2812" width="12.7109375" style="357" customWidth="1"/>
    <col min="2813" max="2813" width="1" style="357" customWidth="1"/>
    <col min="2814" max="2814" width="12.7109375" style="357" customWidth="1"/>
    <col min="2815" max="3058" width="9.140625" style="357"/>
    <col min="3059" max="3059" width="9" style="357" customWidth="1"/>
    <col min="3060" max="3060" width="9.140625" style="357"/>
    <col min="3061" max="3061" width="9.7109375" style="357" customWidth="1"/>
    <col min="3062" max="3062" width="9" style="357" customWidth="1"/>
    <col min="3063" max="3063" width="10.7109375" style="357" customWidth="1"/>
    <col min="3064" max="3064" width="12.7109375" style="357" customWidth="1"/>
    <col min="3065" max="3065" width="1" style="357" customWidth="1"/>
    <col min="3066" max="3066" width="12.7109375" style="357" customWidth="1"/>
    <col min="3067" max="3067" width="1" style="357" customWidth="1"/>
    <col min="3068" max="3068" width="12.7109375" style="357" customWidth="1"/>
    <col min="3069" max="3069" width="1" style="357" customWidth="1"/>
    <col min="3070" max="3070" width="12.7109375" style="357" customWidth="1"/>
    <col min="3071" max="3314" width="9.140625" style="357"/>
    <col min="3315" max="3315" width="9" style="357" customWidth="1"/>
    <col min="3316" max="3316" width="9.140625" style="357"/>
    <col min="3317" max="3317" width="9.7109375" style="357" customWidth="1"/>
    <col min="3318" max="3318" width="9" style="357" customWidth="1"/>
    <col min="3319" max="3319" width="10.7109375" style="357" customWidth="1"/>
    <col min="3320" max="3320" width="12.7109375" style="357" customWidth="1"/>
    <col min="3321" max="3321" width="1" style="357" customWidth="1"/>
    <col min="3322" max="3322" width="12.7109375" style="357" customWidth="1"/>
    <col min="3323" max="3323" width="1" style="357" customWidth="1"/>
    <col min="3324" max="3324" width="12.7109375" style="357" customWidth="1"/>
    <col min="3325" max="3325" width="1" style="357" customWidth="1"/>
    <col min="3326" max="3326" width="12.7109375" style="357" customWidth="1"/>
    <col min="3327" max="3570" width="9.140625" style="357"/>
    <col min="3571" max="3571" width="9" style="357" customWidth="1"/>
    <col min="3572" max="3572" width="9.140625" style="357"/>
    <col min="3573" max="3573" width="9.7109375" style="357" customWidth="1"/>
    <col min="3574" max="3574" width="9" style="357" customWidth="1"/>
    <col min="3575" max="3575" width="10.7109375" style="357" customWidth="1"/>
    <col min="3576" max="3576" width="12.7109375" style="357" customWidth="1"/>
    <col min="3577" max="3577" width="1" style="357" customWidth="1"/>
    <col min="3578" max="3578" width="12.7109375" style="357" customWidth="1"/>
    <col min="3579" max="3579" width="1" style="357" customWidth="1"/>
    <col min="3580" max="3580" width="12.7109375" style="357" customWidth="1"/>
    <col min="3581" max="3581" width="1" style="357" customWidth="1"/>
    <col min="3582" max="3582" width="12.7109375" style="357" customWidth="1"/>
    <col min="3583" max="3826" width="9.140625" style="357"/>
    <col min="3827" max="3827" width="9" style="357" customWidth="1"/>
    <col min="3828" max="3828" width="9.140625" style="357"/>
    <col min="3829" max="3829" width="9.7109375" style="357" customWidth="1"/>
    <col min="3830" max="3830" width="9" style="357" customWidth="1"/>
    <col min="3831" max="3831" width="10.7109375" style="357" customWidth="1"/>
    <col min="3832" max="3832" width="12.7109375" style="357" customWidth="1"/>
    <col min="3833" max="3833" width="1" style="357" customWidth="1"/>
    <col min="3834" max="3834" width="12.7109375" style="357" customWidth="1"/>
    <col min="3835" max="3835" width="1" style="357" customWidth="1"/>
    <col min="3836" max="3836" width="12.7109375" style="357" customWidth="1"/>
    <col min="3837" max="3837" width="1" style="357" customWidth="1"/>
    <col min="3838" max="3838" width="12.7109375" style="357" customWidth="1"/>
    <col min="3839" max="4082" width="9.140625" style="357"/>
    <col min="4083" max="4083" width="9" style="357" customWidth="1"/>
    <col min="4084" max="4084" width="9.140625" style="357"/>
    <col min="4085" max="4085" width="9.7109375" style="357" customWidth="1"/>
    <col min="4086" max="4086" width="9" style="357" customWidth="1"/>
    <col min="4087" max="4087" width="10.7109375" style="357" customWidth="1"/>
    <col min="4088" max="4088" width="12.7109375" style="357" customWidth="1"/>
    <col min="4089" max="4089" width="1" style="357" customWidth="1"/>
    <col min="4090" max="4090" width="12.7109375" style="357" customWidth="1"/>
    <col min="4091" max="4091" width="1" style="357" customWidth="1"/>
    <col min="4092" max="4092" width="12.7109375" style="357" customWidth="1"/>
    <col min="4093" max="4093" width="1" style="357" customWidth="1"/>
    <col min="4094" max="4094" width="12.7109375" style="357" customWidth="1"/>
    <col min="4095" max="4338" width="9.140625" style="357"/>
    <col min="4339" max="4339" width="9" style="357" customWidth="1"/>
    <col min="4340" max="4340" width="9.140625" style="357"/>
    <col min="4341" max="4341" width="9.7109375" style="357" customWidth="1"/>
    <col min="4342" max="4342" width="9" style="357" customWidth="1"/>
    <col min="4343" max="4343" width="10.7109375" style="357" customWidth="1"/>
    <col min="4344" max="4344" width="12.7109375" style="357" customWidth="1"/>
    <col min="4345" max="4345" width="1" style="357" customWidth="1"/>
    <col min="4346" max="4346" width="12.7109375" style="357" customWidth="1"/>
    <col min="4347" max="4347" width="1" style="357" customWidth="1"/>
    <col min="4348" max="4348" width="12.7109375" style="357" customWidth="1"/>
    <col min="4349" max="4349" width="1" style="357" customWidth="1"/>
    <col min="4350" max="4350" width="12.7109375" style="357" customWidth="1"/>
    <col min="4351" max="4594" width="9.140625" style="357"/>
    <col min="4595" max="4595" width="9" style="357" customWidth="1"/>
    <col min="4596" max="4596" width="9.140625" style="357"/>
    <col min="4597" max="4597" width="9.7109375" style="357" customWidth="1"/>
    <col min="4598" max="4598" width="9" style="357" customWidth="1"/>
    <col min="4599" max="4599" width="10.7109375" style="357" customWidth="1"/>
    <col min="4600" max="4600" width="12.7109375" style="357" customWidth="1"/>
    <col min="4601" max="4601" width="1" style="357" customWidth="1"/>
    <col min="4602" max="4602" width="12.7109375" style="357" customWidth="1"/>
    <col min="4603" max="4603" width="1" style="357" customWidth="1"/>
    <col min="4604" max="4604" width="12.7109375" style="357" customWidth="1"/>
    <col min="4605" max="4605" width="1" style="357" customWidth="1"/>
    <col min="4606" max="4606" width="12.7109375" style="357" customWidth="1"/>
    <col min="4607" max="4850" width="9.140625" style="357"/>
    <col min="4851" max="4851" width="9" style="357" customWidth="1"/>
    <col min="4852" max="4852" width="9.140625" style="357"/>
    <col min="4853" max="4853" width="9.7109375" style="357" customWidth="1"/>
    <col min="4854" max="4854" width="9" style="357" customWidth="1"/>
    <col min="4855" max="4855" width="10.7109375" style="357" customWidth="1"/>
    <col min="4856" max="4856" width="12.7109375" style="357" customWidth="1"/>
    <col min="4857" max="4857" width="1" style="357" customWidth="1"/>
    <col min="4858" max="4858" width="12.7109375" style="357" customWidth="1"/>
    <col min="4859" max="4859" width="1" style="357" customWidth="1"/>
    <col min="4860" max="4860" width="12.7109375" style="357" customWidth="1"/>
    <col min="4861" max="4861" width="1" style="357" customWidth="1"/>
    <col min="4862" max="4862" width="12.7109375" style="357" customWidth="1"/>
    <col min="4863" max="5106" width="9.140625" style="357"/>
    <col min="5107" max="5107" width="9" style="357" customWidth="1"/>
    <col min="5108" max="5108" width="9.140625" style="357"/>
    <col min="5109" max="5109" width="9.7109375" style="357" customWidth="1"/>
    <col min="5110" max="5110" width="9" style="357" customWidth="1"/>
    <col min="5111" max="5111" width="10.7109375" style="357" customWidth="1"/>
    <col min="5112" max="5112" width="12.7109375" style="357" customWidth="1"/>
    <col min="5113" max="5113" width="1" style="357" customWidth="1"/>
    <col min="5114" max="5114" width="12.7109375" style="357" customWidth="1"/>
    <col min="5115" max="5115" width="1" style="357" customWidth="1"/>
    <col min="5116" max="5116" width="12.7109375" style="357" customWidth="1"/>
    <col min="5117" max="5117" width="1" style="357" customWidth="1"/>
    <col min="5118" max="5118" width="12.7109375" style="357" customWidth="1"/>
    <col min="5119" max="5362" width="9.140625" style="357"/>
    <col min="5363" max="5363" width="9" style="357" customWidth="1"/>
    <col min="5364" max="5364" width="9.140625" style="357"/>
    <col min="5365" max="5365" width="9.7109375" style="357" customWidth="1"/>
    <col min="5366" max="5366" width="9" style="357" customWidth="1"/>
    <col min="5367" max="5367" width="10.7109375" style="357" customWidth="1"/>
    <col min="5368" max="5368" width="12.7109375" style="357" customWidth="1"/>
    <col min="5369" max="5369" width="1" style="357" customWidth="1"/>
    <col min="5370" max="5370" width="12.7109375" style="357" customWidth="1"/>
    <col min="5371" max="5371" width="1" style="357" customWidth="1"/>
    <col min="5372" max="5372" width="12.7109375" style="357" customWidth="1"/>
    <col min="5373" max="5373" width="1" style="357" customWidth="1"/>
    <col min="5374" max="5374" width="12.7109375" style="357" customWidth="1"/>
    <col min="5375" max="5618" width="9.140625" style="357"/>
    <col min="5619" max="5619" width="9" style="357" customWidth="1"/>
    <col min="5620" max="5620" width="9.140625" style="357"/>
    <col min="5621" max="5621" width="9.7109375" style="357" customWidth="1"/>
    <col min="5622" max="5622" width="9" style="357" customWidth="1"/>
    <col min="5623" max="5623" width="10.7109375" style="357" customWidth="1"/>
    <col min="5624" max="5624" width="12.7109375" style="357" customWidth="1"/>
    <col min="5625" max="5625" width="1" style="357" customWidth="1"/>
    <col min="5626" max="5626" width="12.7109375" style="357" customWidth="1"/>
    <col min="5627" max="5627" width="1" style="357" customWidth="1"/>
    <col min="5628" max="5628" width="12.7109375" style="357" customWidth="1"/>
    <col min="5629" max="5629" width="1" style="357" customWidth="1"/>
    <col min="5630" max="5630" width="12.7109375" style="357" customWidth="1"/>
    <col min="5631" max="5874" width="9.140625" style="357"/>
    <col min="5875" max="5875" width="9" style="357" customWidth="1"/>
    <col min="5876" max="5876" width="9.140625" style="357"/>
    <col min="5877" max="5877" width="9.7109375" style="357" customWidth="1"/>
    <col min="5878" max="5878" width="9" style="357" customWidth="1"/>
    <col min="5879" max="5879" width="10.7109375" style="357" customWidth="1"/>
    <col min="5880" max="5880" width="12.7109375" style="357" customWidth="1"/>
    <col min="5881" max="5881" width="1" style="357" customWidth="1"/>
    <col min="5882" max="5882" width="12.7109375" style="357" customWidth="1"/>
    <col min="5883" max="5883" width="1" style="357" customWidth="1"/>
    <col min="5884" max="5884" width="12.7109375" style="357" customWidth="1"/>
    <col min="5885" max="5885" width="1" style="357" customWidth="1"/>
    <col min="5886" max="5886" width="12.7109375" style="357" customWidth="1"/>
    <col min="5887" max="6130" width="9.140625" style="357"/>
    <col min="6131" max="6131" width="9" style="357" customWidth="1"/>
    <col min="6132" max="6132" width="9.140625" style="357"/>
    <col min="6133" max="6133" width="9.7109375" style="357" customWidth="1"/>
    <col min="6134" max="6134" width="9" style="357" customWidth="1"/>
    <col min="6135" max="6135" width="10.7109375" style="357" customWidth="1"/>
    <col min="6136" max="6136" width="12.7109375" style="357" customWidth="1"/>
    <col min="6137" max="6137" width="1" style="357" customWidth="1"/>
    <col min="6138" max="6138" width="12.7109375" style="357" customWidth="1"/>
    <col min="6139" max="6139" width="1" style="357" customWidth="1"/>
    <col min="6140" max="6140" width="12.7109375" style="357" customWidth="1"/>
    <col min="6141" max="6141" width="1" style="357" customWidth="1"/>
    <col min="6142" max="6142" width="12.7109375" style="357" customWidth="1"/>
    <col min="6143" max="6386" width="9.140625" style="357"/>
    <col min="6387" max="6387" width="9" style="357" customWidth="1"/>
    <col min="6388" max="6388" width="9.140625" style="357"/>
    <col min="6389" max="6389" width="9.7109375" style="357" customWidth="1"/>
    <col min="6390" max="6390" width="9" style="357" customWidth="1"/>
    <col min="6391" max="6391" width="10.7109375" style="357" customWidth="1"/>
    <col min="6392" max="6392" width="12.7109375" style="357" customWidth="1"/>
    <col min="6393" max="6393" width="1" style="357" customWidth="1"/>
    <col min="6394" max="6394" width="12.7109375" style="357" customWidth="1"/>
    <col min="6395" max="6395" width="1" style="357" customWidth="1"/>
    <col min="6396" max="6396" width="12.7109375" style="357" customWidth="1"/>
    <col min="6397" max="6397" width="1" style="357" customWidth="1"/>
    <col min="6398" max="6398" width="12.7109375" style="357" customWidth="1"/>
    <col min="6399" max="6642" width="9.140625" style="357"/>
    <col min="6643" max="6643" width="9" style="357" customWidth="1"/>
    <col min="6644" max="6644" width="9.140625" style="357"/>
    <col min="6645" max="6645" width="9.7109375" style="357" customWidth="1"/>
    <col min="6646" max="6646" width="9" style="357" customWidth="1"/>
    <col min="6647" max="6647" width="10.7109375" style="357" customWidth="1"/>
    <col min="6648" max="6648" width="12.7109375" style="357" customWidth="1"/>
    <col min="6649" max="6649" width="1" style="357" customWidth="1"/>
    <col min="6650" max="6650" width="12.7109375" style="357" customWidth="1"/>
    <col min="6651" max="6651" width="1" style="357" customWidth="1"/>
    <col min="6652" max="6652" width="12.7109375" style="357" customWidth="1"/>
    <col min="6653" max="6653" width="1" style="357" customWidth="1"/>
    <col min="6654" max="6654" width="12.7109375" style="357" customWidth="1"/>
    <col min="6655" max="6898" width="9.140625" style="357"/>
    <col min="6899" max="6899" width="9" style="357" customWidth="1"/>
    <col min="6900" max="6900" width="9.140625" style="357"/>
    <col min="6901" max="6901" width="9.7109375" style="357" customWidth="1"/>
    <col min="6902" max="6902" width="9" style="357" customWidth="1"/>
    <col min="6903" max="6903" width="10.7109375" style="357" customWidth="1"/>
    <col min="6904" max="6904" width="12.7109375" style="357" customWidth="1"/>
    <col min="6905" max="6905" width="1" style="357" customWidth="1"/>
    <col min="6906" max="6906" width="12.7109375" style="357" customWidth="1"/>
    <col min="6907" max="6907" width="1" style="357" customWidth="1"/>
    <col min="6908" max="6908" width="12.7109375" style="357" customWidth="1"/>
    <col min="6909" max="6909" width="1" style="357" customWidth="1"/>
    <col min="6910" max="6910" width="12.7109375" style="357" customWidth="1"/>
    <col min="6911" max="7154" width="9.140625" style="357"/>
    <col min="7155" max="7155" width="9" style="357" customWidth="1"/>
    <col min="7156" max="7156" width="9.140625" style="357"/>
    <col min="7157" max="7157" width="9.7109375" style="357" customWidth="1"/>
    <col min="7158" max="7158" width="9" style="357" customWidth="1"/>
    <col min="7159" max="7159" width="10.7109375" style="357" customWidth="1"/>
    <col min="7160" max="7160" width="12.7109375" style="357" customWidth="1"/>
    <col min="7161" max="7161" width="1" style="357" customWidth="1"/>
    <col min="7162" max="7162" width="12.7109375" style="357" customWidth="1"/>
    <col min="7163" max="7163" width="1" style="357" customWidth="1"/>
    <col min="7164" max="7164" width="12.7109375" style="357" customWidth="1"/>
    <col min="7165" max="7165" width="1" style="357" customWidth="1"/>
    <col min="7166" max="7166" width="12.7109375" style="357" customWidth="1"/>
    <col min="7167" max="7410" width="9.140625" style="357"/>
    <col min="7411" max="7411" width="9" style="357" customWidth="1"/>
    <col min="7412" max="7412" width="9.140625" style="357"/>
    <col min="7413" max="7413" width="9.7109375" style="357" customWidth="1"/>
    <col min="7414" max="7414" width="9" style="357" customWidth="1"/>
    <col min="7415" max="7415" width="10.7109375" style="357" customWidth="1"/>
    <col min="7416" max="7416" width="12.7109375" style="357" customWidth="1"/>
    <col min="7417" max="7417" width="1" style="357" customWidth="1"/>
    <col min="7418" max="7418" width="12.7109375" style="357" customWidth="1"/>
    <col min="7419" max="7419" width="1" style="357" customWidth="1"/>
    <col min="7420" max="7420" width="12.7109375" style="357" customWidth="1"/>
    <col min="7421" max="7421" width="1" style="357" customWidth="1"/>
    <col min="7422" max="7422" width="12.7109375" style="357" customWidth="1"/>
    <col min="7423" max="7666" width="9.140625" style="357"/>
    <col min="7667" max="7667" width="9" style="357" customWidth="1"/>
    <col min="7668" max="7668" width="9.140625" style="357"/>
    <col min="7669" max="7669" width="9.7109375" style="357" customWidth="1"/>
    <col min="7670" max="7670" width="9" style="357" customWidth="1"/>
    <col min="7671" max="7671" width="10.7109375" style="357" customWidth="1"/>
    <col min="7672" max="7672" width="12.7109375" style="357" customWidth="1"/>
    <col min="7673" max="7673" width="1" style="357" customWidth="1"/>
    <col min="7674" max="7674" width="12.7109375" style="357" customWidth="1"/>
    <col min="7675" max="7675" width="1" style="357" customWidth="1"/>
    <col min="7676" max="7676" width="12.7109375" style="357" customWidth="1"/>
    <col min="7677" max="7677" width="1" style="357" customWidth="1"/>
    <col min="7678" max="7678" width="12.7109375" style="357" customWidth="1"/>
    <col min="7679" max="7922" width="9.140625" style="357"/>
    <col min="7923" max="7923" width="9" style="357" customWidth="1"/>
    <col min="7924" max="7924" width="9.140625" style="357"/>
    <col min="7925" max="7925" width="9.7109375" style="357" customWidth="1"/>
    <col min="7926" max="7926" width="9" style="357" customWidth="1"/>
    <col min="7927" max="7927" width="10.7109375" style="357" customWidth="1"/>
    <col min="7928" max="7928" width="12.7109375" style="357" customWidth="1"/>
    <col min="7929" max="7929" width="1" style="357" customWidth="1"/>
    <col min="7930" max="7930" width="12.7109375" style="357" customWidth="1"/>
    <col min="7931" max="7931" width="1" style="357" customWidth="1"/>
    <col min="7932" max="7932" width="12.7109375" style="357" customWidth="1"/>
    <col min="7933" max="7933" width="1" style="357" customWidth="1"/>
    <col min="7934" max="7934" width="12.7109375" style="357" customWidth="1"/>
    <col min="7935" max="8178" width="9.140625" style="357"/>
    <col min="8179" max="8179" width="9" style="357" customWidth="1"/>
    <col min="8180" max="8180" width="9.140625" style="357"/>
    <col min="8181" max="8181" width="9.7109375" style="357" customWidth="1"/>
    <col min="8182" max="8182" width="9" style="357" customWidth="1"/>
    <col min="8183" max="8183" width="10.7109375" style="357" customWidth="1"/>
    <col min="8184" max="8184" width="12.7109375" style="357" customWidth="1"/>
    <col min="8185" max="8185" width="1" style="357" customWidth="1"/>
    <col min="8186" max="8186" width="12.7109375" style="357" customWidth="1"/>
    <col min="8187" max="8187" width="1" style="357" customWidth="1"/>
    <col min="8188" max="8188" width="12.7109375" style="357" customWidth="1"/>
    <col min="8189" max="8189" width="1" style="357" customWidth="1"/>
    <col min="8190" max="8190" width="12.7109375" style="357" customWidth="1"/>
    <col min="8191" max="8434" width="9.140625" style="357"/>
    <col min="8435" max="8435" width="9" style="357" customWidth="1"/>
    <col min="8436" max="8436" width="9.140625" style="357"/>
    <col min="8437" max="8437" width="9.7109375" style="357" customWidth="1"/>
    <col min="8438" max="8438" width="9" style="357" customWidth="1"/>
    <col min="8439" max="8439" width="10.7109375" style="357" customWidth="1"/>
    <col min="8440" max="8440" width="12.7109375" style="357" customWidth="1"/>
    <col min="8441" max="8441" width="1" style="357" customWidth="1"/>
    <col min="8442" max="8442" width="12.7109375" style="357" customWidth="1"/>
    <col min="8443" max="8443" width="1" style="357" customWidth="1"/>
    <col min="8444" max="8444" width="12.7109375" style="357" customWidth="1"/>
    <col min="8445" max="8445" width="1" style="357" customWidth="1"/>
    <col min="8446" max="8446" width="12.7109375" style="357" customWidth="1"/>
    <col min="8447" max="8690" width="9.140625" style="357"/>
    <col min="8691" max="8691" width="9" style="357" customWidth="1"/>
    <col min="8692" max="8692" width="9.140625" style="357"/>
    <col min="8693" max="8693" width="9.7109375" style="357" customWidth="1"/>
    <col min="8694" max="8694" width="9" style="357" customWidth="1"/>
    <col min="8695" max="8695" width="10.7109375" style="357" customWidth="1"/>
    <col min="8696" max="8696" width="12.7109375" style="357" customWidth="1"/>
    <col min="8697" max="8697" width="1" style="357" customWidth="1"/>
    <col min="8698" max="8698" width="12.7109375" style="357" customWidth="1"/>
    <col min="8699" max="8699" width="1" style="357" customWidth="1"/>
    <col min="8700" max="8700" width="12.7109375" style="357" customWidth="1"/>
    <col min="8701" max="8701" width="1" style="357" customWidth="1"/>
    <col min="8702" max="8702" width="12.7109375" style="357" customWidth="1"/>
    <col min="8703" max="8946" width="9.140625" style="357"/>
    <col min="8947" max="8947" width="9" style="357" customWidth="1"/>
    <col min="8948" max="8948" width="9.140625" style="357"/>
    <col min="8949" max="8949" width="9.7109375" style="357" customWidth="1"/>
    <col min="8950" max="8950" width="9" style="357" customWidth="1"/>
    <col min="8951" max="8951" width="10.7109375" style="357" customWidth="1"/>
    <col min="8952" max="8952" width="12.7109375" style="357" customWidth="1"/>
    <col min="8953" max="8953" width="1" style="357" customWidth="1"/>
    <col min="8954" max="8954" width="12.7109375" style="357" customWidth="1"/>
    <col min="8955" max="8955" width="1" style="357" customWidth="1"/>
    <col min="8956" max="8956" width="12.7109375" style="357" customWidth="1"/>
    <col min="8957" max="8957" width="1" style="357" customWidth="1"/>
    <col min="8958" max="8958" width="12.7109375" style="357" customWidth="1"/>
    <col min="8959" max="9202" width="9.140625" style="357"/>
    <col min="9203" max="9203" width="9" style="357" customWidth="1"/>
    <col min="9204" max="9204" width="9.140625" style="357"/>
    <col min="9205" max="9205" width="9.7109375" style="357" customWidth="1"/>
    <col min="9206" max="9206" width="9" style="357" customWidth="1"/>
    <col min="9207" max="9207" width="10.7109375" style="357" customWidth="1"/>
    <col min="9208" max="9208" width="12.7109375" style="357" customWidth="1"/>
    <col min="9209" max="9209" width="1" style="357" customWidth="1"/>
    <col min="9210" max="9210" width="12.7109375" style="357" customWidth="1"/>
    <col min="9211" max="9211" width="1" style="357" customWidth="1"/>
    <col min="9212" max="9212" width="12.7109375" style="357" customWidth="1"/>
    <col min="9213" max="9213" width="1" style="357" customWidth="1"/>
    <col min="9214" max="9214" width="12.7109375" style="357" customWidth="1"/>
    <col min="9215" max="9458" width="9.140625" style="357"/>
    <col min="9459" max="9459" width="9" style="357" customWidth="1"/>
    <col min="9460" max="9460" width="9.140625" style="357"/>
    <col min="9461" max="9461" width="9.7109375" style="357" customWidth="1"/>
    <col min="9462" max="9462" width="9" style="357" customWidth="1"/>
    <col min="9463" max="9463" width="10.7109375" style="357" customWidth="1"/>
    <col min="9464" max="9464" width="12.7109375" style="357" customWidth="1"/>
    <col min="9465" max="9465" width="1" style="357" customWidth="1"/>
    <col min="9466" max="9466" width="12.7109375" style="357" customWidth="1"/>
    <col min="9467" max="9467" width="1" style="357" customWidth="1"/>
    <col min="9468" max="9468" width="12.7109375" style="357" customWidth="1"/>
    <col min="9469" max="9469" width="1" style="357" customWidth="1"/>
    <col min="9470" max="9470" width="12.7109375" style="357" customWidth="1"/>
    <col min="9471" max="9714" width="9.140625" style="357"/>
    <col min="9715" max="9715" width="9" style="357" customWidth="1"/>
    <col min="9716" max="9716" width="9.140625" style="357"/>
    <col min="9717" max="9717" width="9.7109375" style="357" customWidth="1"/>
    <col min="9718" max="9718" width="9" style="357" customWidth="1"/>
    <col min="9719" max="9719" width="10.7109375" style="357" customWidth="1"/>
    <col min="9720" max="9720" width="12.7109375" style="357" customWidth="1"/>
    <col min="9721" max="9721" width="1" style="357" customWidth="1"/>
    <col min="9722" max="9722" width="12.7109375" style="357" customWidth="1"/>
    <col min="9723" max="9723" width="1" style="357" customWidth="1"/>
    <col min="9724" max="9724" width="12.7109375" style="357" customWidth="1"/>
    <col min="9725" max="9725" width="1" style="357" customWidth="1"/>
    <col min="9726" max="9726" width="12.7109375" style="357" customWidth="1"/>
    <col min="9727" max="9970" width="9.140625" style="357"/>
    <col min="9971" max="9971" width="9" style="357" customWidth="1"/>
    <col min="9972" max="9972" width="9.140625" style="357"/>
    <col min="9973" max="9973" width="9.7109375" style="357" customWidth="1"/>
    <col min="9974" max="9974" width="9" style="357" customWidth="1"/>
    <col min="9975" max="9975" width="10.7109375" style="357" customWidth="1"/>
    <col min="9976" max="9976" width="12.7109375" style="357" customWidth="1"/>
    <col min="9977" max="9977" width="1" style="357" customWidth="1"/>
    <col min="9978" max="9978" width="12.7109375" style="357" customWidth="1"/>
    <col min="9979" max="9979" width="1" style="357" customWidth="1"/>
    <col min="9980" max="9980" width="12.7109375" style="357" customWidth="1"/>
    <col min="9981" max="9981" width="1" style="357" customWidth="1"/>
    <col min="9982" max="9982" width="12.7109375" style="357" customWidth="1"/>
    <col min="9983" max="10226" width="9.140625" style="357"/>
    <col min="10227" max="10227" width="9" style="357" customWidth="1"/>
    <col min="10228" max="10228" width="9.140625" style="357"/>
    <col min="10229" max="10229" width="9.7109375" style="357" customWidth="1"/>
    <col min="10230" max="10230" width="9" style="357" customWidth="1"/>
    <col min="10231" max="10231" width="10.7109375" style="357" customWidth="1"/>
    <col min="10232" max="10232" width="12.7109375" style="357" customWidth="1"/>
    <col min="10233" max="10233" width="1" style="357" customWidth="1"/>
    <col min="10234" max="10234" width="12.7109375" style="357" customWidth="1"/>
    <col min="10235" max="10235" width="1" style="357" customWidth="1"/>
    <col min="10236" max="10236" width="12.7109375" style="357" customWidth="1"/>
    <col min="10237" max="10237" width="1" style="357" customWidth="1"/>
    <col min="10238" max="10238" width="12.7109375" style="357" customWidth="1"/>
    <col min="10239" max="10482" width="9.140625" style="357"/>
    <col min="10483" max="10483" width="9" style="357" customWidth="1"/>
    <col min="10484" max="10484" width="9.140625" style="357"/>
    <col min="10485" max="10485" width="9.7109375" style="357" customWidth="1"/>
    <col min="10486" max="10486" width="9" style="357" customWidth="1"/>
    <col min="10487" max="10487" width="10.7109375" style="357" customWidth="1"/>
    <col min="10488" max="10488" width="12.7109375" style="357" customWidth="1"/>
    <col min="10489" max="10489" width="1" style="357" customWidth="1"/>
    <col min="10490" max="10490" width="12.7109375" style="357" customWidth="1"/>
    <col min="10491" max="10491" width="1" style="357" customWidth="1"/>
    <col min="10492" max="10492" width="12.7109375" style="357" customWidth="1"/>
    <col min="10493" max="10493" width="1" style="357" customWidth="1"/>
    <col min="10494" max="10494" width="12.7109375" style="357" customWidth="1"/>
    <col min="10495" max="10738" width="9.140625" style="357"/>
    <col min="10739" max="10739" width="9" style="357" customWidth="1"/>
    <col min="10740" max="10740" width="9.140625" style="357"/>
    <col min="10741" max="10741" width="9.7109375" style="357" customWidth="1"/>
    <col min="10742" max="10742" width="9" style="357" customWidth="1"/>
    <col min="10743" max="10743" width="10.7109375" style="357" customWidth="1"/>
    <col min="10744" max="10744" width="12.7109375" style="357" customWidth="1"/>
    <col min="10745" max="10745" width="1" style="357" customWidth="1"/>
    <col min="10746" max="10746" width="12.7109375" style="357" customWidth="1"/>
    <col min="10747" max="10747" width="1" style="357" customWidth="1"/>
    <col min="10748" max="10748" width="12.7109375" style="357" customWidth="1"/>
    <col min="10749" max="10749" width="1" style="357" customWidth="1"/>
    <col min="10750" max="10750" width="12.7109375" style="357" customWidth="1"/>
    <col min="10751" max="10994" width="9.140625" style="357"/>
    <col min="10995" max="10995" width="9" style="357" customWidth="1"/>
    <col min="10996" max="10996" width="9.140625" style="357"/>
    <col min="10997" max="10997" width="9.7109375" style="357" customWidth="1"/>
    <col min="10998" max="10998" width="9" style="357" customWidth="1"/>
    <col min="10999" max="10999" width="10.7109375" style="357" customWidth="1"/>
    <col min="11000" max="11000" width="12.7109375" style="357" customWidth="1"/>
    <col min="11001" max="11001" width="1" style="357" customWidth="1"/>
    <col min="11002" max="11002" width="12.7109375" style="357" customWidth="1"/>
    <col min="11003" max="11003" width="1" style="357" customWidth="1"/>
    <col min="11004" max="11004" width="12.7109375" style="357" customWidth="1"/>
    <col min="11005" max="11005" width="1" style="357" customWidth="1"/>
    <col min="11006" max="11006" width="12.7109375" style="357" customWidth="1"/>
    <col min="11007" max="11250" width="9.140625" style="357"/>
    <col min="11251" max="11251" width="9" style="357" customWidth="1"/>
    <col min="11252" max="11252" width="9.140625" style="357"/>
    <col min="11253" max="11253" width="9.7109375" style="357" customWidth="1"/>
    <col min="11254" max="11254" width="9" style="357" customWidth="1"/>
    <col min="11255" max="11255" width="10.7109375" style="357" customWidth="1"/>
    <col min="11256" max="11256" width="12.7109375" style="357" customWidth="1"/>
    <col min="11257" max="11257" width="1" style="357" customWidth="1"/>
    <col min="11258" max="11258" width="12.7109375" style="357" customWidth="1"/>
    <col min="11259" max="11259" width="1" style="357" customWidth="1"/>
    <col min="11260" max="11260" width="12.7109375" style="357" customWidth="1"/>
    <col min="11261" max="11261" width="1" style="357" customWidth="1"/>
    <col min="11262" max="11262" width="12.7109375" style="357" customWidth="1"/>
    <col min="11263" max="11506" width="9.140625" style="357"/>
    <col min="11507" max="11507" width="9" style="357" customWidth="1"/>
    <col min="11508" max="11508" width="9.140625" style="357"/>
    <col min="11509" max="11509" width="9.7109375" style="357" customWidth="1"/>
    <col min="11510" max="11510" width="9" style="357" customWidth="1"/>
    <col min="11511" max="11511" width="10.7109375" style="357" customWidth="1"/>
    <col min="11512" max="11512" width="12.7109375" style="357" customWidth="1"/>
    <col min="11513" max="11513" width="1" style="357" customWidth="1"/>
    <col min="11514" max="11514" width="12.7109375" style="357" customWidth="1"/>
    <col min="11515" max="11515" width="1" style="357" customWidth="1"/>
    <col min="11516" max="11516" width="12.7109375" style="357" customWidth="1"/>
    <col min="11517" max="11517" width="1" style="357" customWidth="1"/>
    <col min="11518" max="11518" width="12.7109375" style="357" customWidth="1"/>
    <col min="11519" max="11762" width="9.140625" style="357"/>
    <col min="11763" max="11763" width="9" style="357" customWidth="1"/>
    <col min="11764" max="11764" width="9.140625" style="357"/>
    <col min="11765" max="11765" width="9.7109375" style="357" customWidth="1"/>
    <col min="11766" max="11766" width="9" style="357" customWidth="1"/>
    <col min="11767" max="11767" width="10.7109375" style="357" customWidth="1"/>
    <col min="11768" max="11768" width="12.7109375" style="357" customWidth="1"/>
    <col min="11769" max="11769" width="1" style="357" customWidth="1"/>
    <col min="11770" max="11770" width="12.7109375" style="357" customWidth="1"/>
    <col min="11771" max="11771" width="1" style="357" customWidth="1"/>
    <col min="11772" max="11772" width="12.7109375" style="357" customWidth="1"/>
    <col min="11773" max="11773" width="1" style="357" customWidth="1"/>
    <col min="11774" max="11774" width="12.7109375" style="357" customWidth="1"/>
    <col min="11775" max="12018" width="9.140625" style="357"/>
    <col min="12019" max="12019" width="9" style="357" customWidth="1"/>
    <col min="12020" max="12020" width="9.140625" style="357"/>
    <col min="12021" max="12021" width="9.7109375" style="357" customWidth="1"/>
    <col min="12022" max="12022" width="9" style="357" customWidth="1"/>
    <col min="12023" max="12023" width="10.7109375" style="357" customWidth="1"/>
    <col min="12024" max="12024" width="12.7109375" style="357" customWidth="1"/>
    <col min="12025" max="12025" width="1" style="357" customWidth="1"/>
    <col min="12026" max="12026" width="12.7109375" style="357" customWidth="1"/>
    <col min="12027" max="12027" width="1" style="357" customWidth="1"/>
    <col min="12028" max="12028" width="12.7109375" style="357" customWidth="1"/>
    <col min="12029" max="12029" width="1" style="357" customWidth="1"/>
    <col min="12030" max="12030" width="12.7109375" style="357" customWidth="1"/>
    <col min="12031" max="12274" width="9.140625" style="357"/>
    <col min="12275" max="12275" width="9" style="357" customWidth="1"/>
    <col min="12276" max="12276" width="9.140625" style="357"/>
    <col min="12277" max="12277" width="9.7109375" style="357" customWidth="1"/>
    <col min="12278" max="12278" width="9" style="357" customWidth="1"/>
    <col min="12279" max="12279" width="10.7109375" style="357" customWidth="1"/>
    <col min="12280" max="12280" width="12.7109375" style="357" customWidth="1"/>
    <col min="12281" max="12281" width="1" style="357" customWidth="1"/>
    <col min="12282" max="12282" width="12.7109375" style="357" customWidth="1"/>
    <col min="12283" max="12283" width="1" style="357" customWidth="1"/>
    <col min="12284" max="12284" width="12.7109375" style="357" customWidth="1"/>
    <col min="12285" max="12285" width="1" style="357" customWidth="1"/>
    <col min="12286" max="12286" width="12.7109375" style="357" customWidth="1"/>
    <col min="12287" max="12530" width="9.140625" style="357"/>
    <col min="12531" max="12531" width="9" style="357" customWidth="1"/>
    <col min="12532" max="12532" width="9.140625" style="357"/>
    <col min="12533" max="12533" width="9.7109375" style="357" customWidth="1"/>
    <col min="12534" max="12534" width="9" style="357" customWidth="1"/>
    <col min="12535" max="12535" width="10.7109375" style="357" customWidth="1"/>
    <col min="12536" max="12536" width="12.7109375" style="357" customWidth="1"/>
    <col min="12537" max="12537" width="1" style="357" customWidth="1"/>
    <col min="12538" max="12538" width="12.7109375" style="357" customWidth="1"/>
    <col min="12539" max="12539" width="1" style="357" customWidth="1"/>
    <col min="12540" max="12540" width="12.7109375" style="357" customWidth="1"/>
    <col min="12541" max="12541" width="1" style="357" customWidth="1"/>
    <col min="12542" max="12542" width="12.7109375" style="357" customWidth="1"/>
    <col min="12543" max="12786" width="9.140625" style="357"/>
    <col min="12787" max="12787" width="9" style="357" customWidth="1"/>
    <col min="12788" max="12788" width="9.140625" style="357"/>
    <col min="12789" max="12789" width="9.7109375" style="357" customWidth="1"/>
    <col min="12790" max="12790" width="9" style="357" customWidth="1"/>
    <col min="12791" max="12791" width="10.7109375" style="357" customWidth="1"/>
    <col min="12792" max="12792" width="12.7109375" style="357" customWidth="1"/>
    <col min="12793" max="12793" width="1" style="357" customWidth="1"/>
    <col min="12794" max="12794" width="12.7109375" style="357" customWidth="1"/>
    <col min="12795" max="12795" width="1" style="357" customWidth="1"/>
    <col min="12796" max="12796" width="12.7109375" style="357" customWidth="1"/>
    <col min="12797" max="12797" width="1" style="357" customWidth="1"/>
    <col min="12798" max="12798" width="12.7109375" style="357" customWidth="1"/>
    <col min="12799" max="13042" width="9.140625" style="357"/>
    <col min="13043" max="13043" width="9" style="357" customWidth="1"/>
    <col min="13044" max="13044" width="9.140625" style="357"/>
    <col min="13045" max="13045" width="9.7109375" style="357" customWidth="1"/>
    <col min="13046" max="13046" width="9" style="357" customWidth="1"/>
    <col min="13047" max="13047" width="10.7109375" style="357" customWidth="1"/>
    <col min="13048" max="13048" width="12.7109375" style="357" customWidth="1"/>
    <col min="13049" max="13049" width="1" style="357" customWidth="1"/>
    <col min="13050" max="13050" width="12.7109375" style="357" customWidth="1"/>
    <col min="13051" max="13051" width="1" style="357" customWidth="1"/>
    <col min="13052" max="13052" width="12.7109375" style="357" customWidth="1"/>
    <col min="13053" max="13053" width="1" style="357" customWidth="1"/>
    <col min="13054" max="13054" width="12.7109375" style="357" customWidth="1"/>
    <col min="13055" max="13298" width="9.140625" style="357"/>
    <col min="13299" max="13299" width="9" style="357" customWidth="1"/>
    <col min="13300" max="13300" width="9.140625" style="357"/>
    <col min="13301" max="13301" width="9.7109375" style="357" customWidth="1"/>
    <col min="13302" max="13302" width="9" style="357" customWidth="1"/>
    <col min="13303" max="13303" width="10.7109375" style="357" customWidth="1"/>
    <col min="13304" max="13304" width="12.7109375" style="357" customWidth="1"/>
    <col min="13305" max="13305" width="1" style="357" customWidth="1"/>
    <col min="13306" max="13306" width="12.7109375" style="357" customWidth="1"/>
    <col min="13307" max="13307" width="1" style="357" customWidth="1"/>
    <col min="13308" max="13308" width="12.7109375" style="357" customWidth="1"/>
    <col min="13309" max="13309" width="1" style="357" customWidth="1"/>
    <col min="13310" max="13310" width="12.7109375" style="357" customWidth="1"/>
    <col min="13311" max="13554" width="9.140625" style="357"/>
    <col min="13555" max="13555" width="9" style="357" customWidth="1"/>
    <col min="13556" max="13556" width="9.140625" style="357"/>
    <col min="13557" max="13557" width="9.7109375" style="357" customWidth="1"/>
    <col min="13558" max="13558" width="9" style="357" customWidth="1"/>
    <col min="13559" max="13559" width="10.7109375" style="357" customWidth="1"/>
    <col min="13560" max="13560" width="12.7109375" style="357" customWidth="1"/>
    <col min="13561" max="13561" width="1" style="357" customWidth="1"/>
    <col min="13562" max="13562" width="12.7109375" style="357" customWidth="1"/>
    <col min="13563" max="13563" width="1" style="357" customWidth="1"/>
    <col min="13564" max="13564" width="12.7109375" style="357" customWidth="1"/>
    <col min="13565" max="13565" width="1" style="357" customWidth="1"/>
    <col min="13566" max="13566" width="12.7109375" style="357" customWidth="1"/>
    <col min="13567" max="13810" width="9.140625" style="357"/>
    <col min="13811" max="13811" width="9" style="357" customWidth="1"/>
    <col min="13812" max="13812" width="9.140625" style="357"/>
    <col min="13813" max="13813" width="9.7109375" style="357" customWidth="1"/>
    <col min="13814" max="13814" width="9" style="357" customWidth="1"/>
    <col min="13815" max="13815" width="10.7109375" style="357" customWidth="1"/>
    <col min="13816" max="13816" width="12.7109375" style="357" customWidth="1"/>
    <col min="13817" max="13817" width="1" style="357" customWidth="1"/>
    <col min="13818" max="13818" width="12.7109375" style="357" customWidth="1"/>
    <col min="13819" max="13819" width="1" style="357" customWidth="1"/>
    <col min="13820" max="13820" width="12.7109375" style="357" customWidth="1"/>
    <col min="13821" max="13821" width="1" style="357" customWidth="1"/>
    <col min="13822" max="13822" width="12.7109375" style="357" customWidth="1"/>
    <col min="13823" max="14066" width="9.140625" style="357"/>
    <col min="14067" max="14067" width="9" style="357" customWidth="1"/>
    <col min="14068" max="14068" width="9.140625" style="357"/>
    <col min="14069" max="14069" width="9.7109375" style="357" customWidth="1"/>
    <col min="14070" max="14070" width="9" style="357" customWidth="1"/>
    <col min="14071" max="14071" width="10.7109375" style="357" customWidth="1"/>
    <col min="14072" max="14072" width="12.7109375" style="357" customWidth="1"/>
    <col min="14073" max="14073" width="1" style="357" customWidth="1"/>
    <col min="14074" max="14074" width="12.7109375" style="357" customWidth="1"/>
    <col min="14075" max="14075" width="1" style="357" customWidth="1"/>
    <col min="14076" max="14076" width="12.7109375" style="357" customWidth="1"/>
    <col min="14077" max="14077" width="1" style="357" customWidth="1"/>
    <col min="14078" max="14078" width="12.7109375" style="357" customWidth="1"/>
    <col min="14079" max="14322" width="9.140625" style="357"/>
    <col min="14323" max="14323" width="9" style="357" customWidth="1"/>
    <col min="14324" max="14324" width="9.140625" style="357"/>
    <col min="14325" max="14325" width="9.7109375" style="357" customWidth="1"/>
    <col min="14326" max="14326" width="9" style="357" customWidth="1"/>
    <col min="14327" max="14327" width="10.7109375" style="357" customWidth="1"/>
    <col min="14328" max="14328" width="12.7109375" style="357" customWidth="1"/>
    <col min="14329" max="14329" width="1" style="357" customWidth="1"/>
    <col min="14330" max="14330" width="12.7109375" style="357" customWidth="1"/>
    <col min="14331" max="14331" width="1" style="357" customWidth="1"/>
    <col min="14332" max="14332" width="12.7109375" style="357" customWidth="1"/>
    <col min="14333" max="14333" width="1" style="357" customWidth="1"/>
    <col min="14334" max="14334" width="12.7109375" style="357" customWidth="1"/>
    <col min="14335" max="14578" width="9.140625" style="357"/>
    <col min="14579" max="14579" width="9" style="357" customWidth="1"/>
    <col min="14580" max="14580" width="9.140625" style="357"/>
    <col min="14581" max="14581" width="9.7109375" style="357" customWidth="1"/>
    <col min="14582" max="14582" width="9" style="357" customWidth="1"/>
    <col min="14583" max="14583" width="10.7109375" style="357" customWidth="1"/>
    <col min="14584" max="14584" width="12.7109375" style="357" customWidth="1"/>
    <col min="14585" max="14585" width="1" style="357" customWidth="1"/>
    <col min="14586" max="14586" width="12.7109375" style="357" customWidth="1"/>
    <col min="14587" max="14587" width="1" style="357" customWidth="1"/>
    <col min="14588" max="14588" width="12.7109375" style="357" customWidth="1"/>
    <col min="14589" max="14589" width="1" style="357" customWidth="1"/>
    <col min="14590" max="14590" width="12.7109375" style="357" customWidth="1"/>
    <col min="14591" max="14834" width="9.140625" style="357"/>
    <col min="14835" max="14835" width="9" style="357" customWidth="1"/>
    <col min="14836" max="14836" width="9.140625" style="357"/>
    <col min="14837" max="14837" width="9.7109375" style="357" customWidth="1"/>
    <col min="14838" max="14838" width="9" style="357" customWidth="1"/>
    <col min="14839" max="14839" width="10.7109375" style="357" customWidth="1"/>
    <col min="14840" max="14840" width="12.7109375" style="357" customWidth="1"/>
    <col min="14841" max="14841" width="1" style="357" customWidth="1"/>
    <col min="14842" max="14842" width="12.7109375" style="357" customWidth="1"/>
    <col min="14843" max="14843" width="1" style="357" customWidth="1"/>
    <col min="14844" max="14844" width="12.7109375" style="357" customWidth="1"/>
    <col min="14845" max="14845" width="1" style="357" customWidth="1"/>
    <col min="14846" max="14846" width="12.7109375" style="357" customWidth="1"/>
    <col min="14847" max="15090" width="9.140625" style="357"/>
    <col min="15091" max="15091" width="9" style="357" customWidth="1"/>
    <col min="15092" max="15092" width="9.140625" style="357"/>
    <col min="15093" max="15093" width="9.7109375" style="357" customWidth="1"/>
    <col min="15094" max="15094" width="9" style="357" customWidth="1"/>
    <col min="15095" max="15095" width="10.7109375" style="357" customWidth="1"/>
    <col min="15096" max="15096" width="12.7109375" style="357" customWidth="1"/>
    <col min="15097" max="15097" width="1" style="357" customWidth="1"/>
    <col min="15098" max="15098" width="12.7109375" style="357" customWidth="1"/>
    <col min="15099" max="15099" width="1" style="357" customWidth="1"/>
    <col min="15100" max="15100" width="12.7109375" style="357" customWidth="1"/>
    <col min="15101" max="15101" width="1" style="357" customWidth="1"/>
    <col min="15102" max="15102" width="12.7109375" style="357" customWidth="1"/>
    <col min="15103" max="15346" width="9.140625" style="357"/>
    <col min="15347" max="15347" width="9" style="357" customWidth="1"/>
    <col min="15348" max="15348" width="9.140625" style="357"/>
    <col min="15349" max="15349" width="9.7109375" style="357" customWidth="1"/>
    <col min="15350" max="15350" width="9" style="357" customWidth="1"/>
    <col min="15351" max="15351" width="10.7109375" style="357" customWidth="1"/>
    <col min="15352" max="15352" width="12.7109375" style="357" customWidth="1"/>
    <col min="15353" max="15353" width="1" style="357" customWidth="1"/>
    <col min="15354" max="15354" width="12.7109375" style="357" customWidth="1"/>
    <col min="15355" max="15355" width="1" style="357" customWidth="1"/>
    <col min="15356" max="15356" width="12.7109375" style="357" customWidth="1"/>
    <col min="15357" max="15357" width="1" style="357" customWidth="1"/>
    <col min="15358" max="15358" width="12.7109375" style="357" customWidth="1"/>
    <col min="15359" max="15602" width="9.140625" style="357"/>
    <col min="15603" max="15603" width="9" style="357" customWidth="1"/>
    <col min="15604" max="15604" width="9.140625" style="357"/>
    <col min="15605" max="15605" width="9.7109375" style="357" customWidth="1"/>
    <col min="15606" max="15606" width="9" style="357" customWidth="1"/>
    <col min="15607" max="15607" width="10.7109375" style="357" customWidth="1"/>
    <col min="15608" max="15608" width="12.7109375" style="357" customWidth="1"/>
    <col min="15609" max="15609" width="1" style="357" customWidth="1"/>
    <col min="15610" max="15610" width="12.7109375" style="357" customWidth="1"/>
    <col min="15611" max="15611" width="1" style="357" customWidth="1"/>
    <col min="15612" max="15612" width="12.7109375" style="357" customWidth="1"/>
    <col min="15613" max="15613" width="1" style="357" customWidth="1"/>
    <col min="15614" max="15614" width="12.7109375" style="357" customWidth="1"/>
    <col min="15615" max="15858" width="9.140625" style="357"/>
    <col min="15859" max="15859" width="9" style="357" customWidth="1"/>
    <col min="15860" max="15860" width="9.140625" style="357"/>
    <col min="15861" max="15861" width="9.7109375" style="357" customWidth="1"/>
    <col min="15862" max="15862" width="9" style="357" customWidth="1"/>
    <col min="15863" max="15863" width="10.7109375" style="357" customWidth="1"/>
    <col min="15864" max="15864" width="12.7109375" style="357" customWidth="1"/>
    <col min="15865" max="15865" width="1" style="357" customWidth="1"/>
    <col min="15866" max="15866" width="12.7109375" style="357" customWidth="1"/>
    <col min="15867" max="15867" width="1" style="357" customWidth="1"/>
    <col min="15868" max="15868" width="12.7109375" style="357" customWidth="1"/>
    <col min="15869" max="15869" width="1" style="357" customWidth="1"/>
    <col min="15870" max="15870" width="12.7109375" style="357" customWidth="1"/>
    <col min="15871" max="16114" width="9.140625" style="357"/>
    <col min="16115" max="16115" width="9" style="357" customWidth="1"/>
    <col min="16116" max="16116" width="9.140625" style="357"/>
    <col min="16117" max="16117" width="9.7109375" style="357" customWidth="1"/>
    <col min="16118" max="16118" width="9" style="357" customWidth="1"/>
    <col min="16119" max="16119" width="10.7109375" style="357" customWidth="1"/>
    <col min="16120" max="16120" width="12.7109375" style="357" customWidth="1"/>
    <col min="16121" max="16121" width="1" style="357" customWidth="1"/>
    <col min="16122" max="16122" width="12.7109375" style="357" customWidth="1"/>
    <col min="16123" max="16123" width="1" style="357" customWidth="1"/>
    <col min="16124" max="16124" width="12.7109375" style="357" customWidth="1"/>
    <col min="16125" max="16125" width="1" style="357" customWidth="1"/>
    <col min="16126" max="16126" width="12.7109375" style="357" customWidth="1"/>
    <col min="16127" max="16384" width="9.140625" style="357"/>
  </cols>
  <sheetData>
    <row r="1" spans="1:14" ht="13.5" thickBot="1">
      <c r="A1" s="5" t="s">
        <v>30</v>
      </c>
    </row>
    <row r="2" spans="1:14" s="350" customFormat="1" ht="33" thickTop="1" thickBot="1">
      <c r="A2" s="342" t="s">
        <v>1066</v>
      </c>
      <c r="B2" s="598" t="s">
        <v>68</v>
      </c>
      <c r="C2" s="599"/>
      <c r="D2" s="343" t="s">
        <v>1067</v>
      </c>
      <c r="E2" s="344" t="s">
        <v>1113</v>
      </c>
      <c r="F2" s="345" t="s">
        <v>1068</v>
      </c>
      <c r="G2" s="346"/>
      <c r="H2" s="347" t="s">
        <v>1069</v>
      </c>
      <c r="I2" s="346"/>
      <c r="J2" s="348" t="s">
        <v>1070</v>
      </c>
      <c r="K2" s="346"/>
      <c r="L2" s="349" t="s">
        <v>1071</v>
      </c>
    </row>
    <row r="3" spans="1:14" ht="17.25" thickTop="1" thickBot="1">
      <c r="A3" s="351" t="s">
        <v>1006</v>
      </c>
      <c r="B3" s="352"/>
      <c r="C3" s="352"/>
      <c r="D3" s="352"/>
      <c r="E3" s="352"/>
      <c r="F3" s="568">
        <f ca="1">IF(AND(ISNUMBER(F4),ISNUMBER(F6),ISNUMBER(F8)),AVERAGE(F4,F6,F8),"No Data")</f>
        <v>4.1575963718820859</v>
      </c>
      <c r="G3" s="353"/>
      <c r="H3" s="354"/>
      <c r="I3" s="353"/>
      <c r="J3" s="355"/>
      <c r="K3" s="353"/>
      <c r="L3" s="356" t="str">
        <f ca="1">IF(AND(ISNUMBER(F3), ISNUMBER(J3)), F3-J3, "No Data")</f>
        <v>No Data</v>
      </c>
      <c r="N3" s="5"/>
    </row>
    <row r="4" spans="1:14">
      <c r="A4" s="506"/>
      <c r="B4" s="507"/>
      <c r="C4" s="507"/>
      <c r="D4" s="507"/>
      <c r="E4" s="508" t="s">
        <v>1015</v>
      </c>
      <c r="F4" s="509">
        <f ca="1">F5</f>
        <v>4.1632653061224483</v>
      </c>
      <c r="G4" s="554"/>
      <c r="H4" s="556"/>
      <c r="I4" s="554"/>
      <c r="J4" s="556"/>
      <c r="K4" s="554"/>
      <c r="L4" s="542" t="str">
        <f t="shared" ref="L4:L26" ca="1" si="0">IF(AND(ISNUMBER(F4), ISNUMBER(J4)), F4-J4, "No Data")</f>
        <v>No Data</v>
      </c>
      <c r="N4" s="5" t="s">
        <v>1164</v>
      </c>
    </row>
    <row r="5" spans="1:14" ht="13.5" thickBot="1">
      <c r="A5" s="358"/>
      <c r="B5" s="359"/>
      <c r="C5" s="359"/>
      <c r="D5" s="359"/>
      <c r="E5" s="360" t="s">
        <v>1106</v>
      </c>
      <c r="F5" s="468">
        <f ca="1">'Survey Rollup'!$E$6</f>
        <v>4.1632653061224483</v>
      </c>
      <c r="G5" s="361"/>
      <c r="H5" s="362"/>
      <c r="I5" s="361"/>
      <c r="J5" s="362"/>
      <c r="K5" s="361"/>
      <c r="L5" s="363" t="str">
        <f t="shared" ca="1" si="0"/>
        <v>No Data</v>
      </c>
      <c r="N5" s="5" t="s">
        <v>1165</v>
      </c>
    </row>
    <row r="6" spans="1:14">
      <c r="A6" s="358"/>
      <c r="B6" s="507"/>
      <c r="C6" s="507"/>
      <c r="D6" s="507"/>
      <c r="E6" s="508" t="s">
        <v>1020</v>
      </c>
      <c r="F6" s="511">
        <f ca="1">F7</f>
        <v>4.0952380952380958</v>
      </c>
      <c r="G6" s="554"/>
      <c r="H6" s="565"/>
      <c r="I6" s="554"/>
      <c r="J6" s="565"/>
      <c r="K6" s="554"/>
      <c r="L6" s="543" t="str">
        <f t="shared" ca="1" si="0"/>
        <v>No Data</v>
      </c>
      <c r="N6" s="5" t="s">
        <v>1141</v>
      </c>
    </row>
    <row r="7" spans="1:14" ht="13.5" thickBot="1">
      <c r="A7" s="358"/>
      <c r="B7" s="359"/>
      <c r="C7" s="359"/>
      <c r="D7" s="359"/>
      <c r="E7" s="360" t="s">
        <v>1106</v>
      </c>
      <c r="F7" s="364">
        <f ca="1">'Survey Rollup'!$E$7</f>
        <v>4.0952380952380958</v>
      </c>
      <c r="G7" s="361"/>
      <c r="H7" s="365"/>
      <c r="I7" s="361"/>
      <c r="J7" s="365"/>
      <c r="K7" s="361"/>
      <c r="L7" s="366" t="str">
        <f t="shared" ca="1" si="0"/>
        <v>No Data</v>
      </c>
      <c r="N7" s="5" t="s">
        <v>1061</v>
      </c>
    </row>
    <row r="8" spans="1:14">
      <c r="A8" s="358"/>
      <c r="B8" s="507"/>
      <c r="C8" s="507"/>
      <c r="D8" s="507"/>
      <c r="E8" s="508" t="s">
        <v>1025</v>
      </c>
      <c r="F8" s="509">
        <f ca="1">F9</f>
        <v>4.2142857142857144</v>
      </c>
      <c r="G8" s="554"/>
      <c r="H8" s="556"/>
      <c r="I8" s="554"/>
      <c r="J8" s="556"/>
      <c r="K8" s="554"/>
      <c r="L8" s="544" t="str">
        <f t="shared" ca="1" si="0"/>
        <v>No Data</v>
      </c>
      <c r="N8" s="5" t="s">
        <v>1142</v>
      </c>
    </row>
    <row r="9" spans="1:14" ht="13.5" thickBot="1">
      <c r="A9" s="367"/>
      <c r="B9" s="368"/>
      <c r="C9" s="368"/>
      <c r="D9" s="368"/>
      <c r="E9" s="369" t="s">
        <v>1106</v>
      </c>
      <c r="F9" s="469">
        <f ca="1">'Survey Rollup'!$E$8</f>
        <v>4.2142857142857144</v>
      </c>
      <c r="G9" s="370"/>
      <c r="H9" s="371"/>
      <c r="I9" s="370"/>
      <c r="J9" s="371"/>
      <c r="K9" s="370"/>
      <c r="L9" s="372" t="str">
        <f t="shared" ca="1" si="0"/>
        <v>No Data</v>
      </c>
      <c r="N9" s="5" t="s">
        <v>1166</v>
      </c>
    </row>
    <row r="10" spans="1:14" ht="17.25" thickTop="1" thickBot="1">
      <c r="A10" s="373" t="s">
        <v>1007</v>
      </c>
      <c r="B10" s="374"/>
      <c r="C10" s="374"/>
      <c r="D10" s="374"/>
      <c r="E10" s="374"/>
      <c r="F10" s="470">
        <f ca="1">IF(ISNUMBER(F12),AVERAGE(F12),"No Data")</f>
        <v>4.2928571428571427</v>
      </c>
      <c r="G10" s="355"/>
      <c r="H10" s="375"/>
      <c r="I10" s="355"/>
      <c r="J10" s="375"/>
      <c r="K10" s="355"/>
      <c r="L10" s="376" t="str">
        <f t="shared" ca="1" si="0"/>
        <v>No Data</v>
      </c>
      <c r="N10" s="5" t="s">
        <v>1167</v>
      </c>
    </row>
    <row r="11" spans="1:14" ht="14.25" customHeight="1" thickBot="1">
      <c r="A11" s="514"/>
      <c r="B11" s="377"/>
      <c r="C11" s="377"/>
      <c r="D11" s="377"/>
      <c r="E11" s="378" t="s">
        <v>1072</v>
      </c>
      <c r="F11" s="379"/>
      <c r="G11" s="380"/>
      <c r="H11" s="381"/>
      <c r="I11" s="380"/>
      <c r="J11" s="381"/>
      <c r="K11" s="380"/>
      <c r="L11" s="382"/>
      <c r="N11" s="5" t="s">
        <v>1062</v>
      </c>
    </row>
    <row r="12" spans="1:14" ht="14.25" customHeight="1" thickBot="1">
      <c r="A12" s="383"/>
      <c r="B12" s="515"/>
      <c r="C12" s="515"/>
      <c r="D12" s="515"/>
      <c r="E12" s="516" t="s">
        <v>1073</v>
      </c>
      <c r="F12" s="548">
        <f ca="1">IF(SUM(IF(ISNUMBER(F14),1,0),IF(ISNUMBER(G13),1,0))  &gt; 0,
SUM(IF(ISNUMBER(F14),F14),IF(ISNUMBER(G13),G13)) / SUM(IF(ISNUMBER(F14),1,0),IF(ISNUMBER(G13),1,0)),
"No Data")</f>
        <v>4.2928571428571427</v>
      </c>
      <c r="G12" s="384"/>
      <c r="H12" s="384"/>
      <c r="I12" s="384"/>
      <c r="J12" s="384"/>
      <c r="K12" s="384"/>
      <c r="L12" s="517" t="str">
        <f t="shared" ca="1" si="0"/>
        <v>No Data</v>
      </c>
      <c r="N12" s="5" t="s">
        <v>1168</v>
      </c>
    </row>
    <row r="13" spans="1:14" ht="15">
      <c r="A13" s="383"/>
      <c r="B13" s="385"/>
      <c r="C13" s="385"/>
      <c r="D13" s="385"/>
      <c r="E13" s="386" t="s">
        <v>60</v>
      </c>
      <c r="F13" s="492">
        <f ca="1">LOOKUP(Team_Name,'On-Time Delivery Data'!$A$31:$A$44,'On-Time Delivery Data'!$C$31:$C$44)</f>
        <v>0.97458567250479033</v>
      </c>
      <c r="G13" s="486">
        <f ca="1">LOOKUP(Team_Name,'On-Time Delivery Data'!$A$31:$A$44,'On-Time Delivery Data'!$B$31:$B$44)</f>
        <v>4.5</v>
      </c>
      <c r="H13" s="389"/>
      <c r="I13" s="388"/>
      <c r="J13" s="387"/>
      <c r="K13" s="388"/>
      <c r="L13" s="547" t="str">
        <f t="shared" ca="1" si="0"/>
        <v>No Data</v>
      </c>
      <c r="N13" s="5" t="s">
        <v>1063</v>
      </c>
    </row>
    <row r="14" spans="1:14" ht="15.75" thickBot="1">
      <c r="A14" s="383"/>
      <c r="B14" s="390"/>
      <c r="C14" s="390"/>
      <c r="D14" s="390"/>
      <c r="E14" s="391" t="s">
        <v>1106</v>
      </c>
      <c r="F14" s="364">
        <f ca="1">'Survey Rollup'!$J$7</f>
        <v>4.0857142857142863</v>
      </c>
      <c r="G14" s="392"/>
      <c r="H14" s="393"/>
      <c r="I14" s="392"/>
      <c r="J14" s="365"/>
      <c r="K14" s="392"/>
      <c r="L14" s="394" t="str">
        <f t="shared" ca="1" si="0"/>
        <v>No Data</v>
      </c>
      <c r="N14" s="5" t="s">
        <v>1169</v>
      </c>
    </row>
    <row r="15" spans="1:14" ht="14.25" customHeight="1" thickBot="1">
      <c r="A15" s="383"/>
      <c r="B15" s="385"/>
      <c r="C15" s="385"/>
      <c r="D15" s="385"/>
      <c r="E15" s="395" t="s">
        <v>1114</v>
      </c>
      <c r="F15" s="396"/>
      <c r="G15" s="397"/>
      <c r="H15" s="361"/>
      <c r="I15" s="397"/>
      <c r="J15" s="361"/>
      <c r="K15" s="397"/>
      <c r="L15" s="398"/>
      <c r="N15" s="5" t="s">
        <v>439</v>
      </c>
    </row>
    <row r="16" spans="1:14" ht="14.25" customHeight="1">
      <c r="A16" s="383"/>
      <c r="B16" s="385"/>
      <c r="C16" s="385"/>
      <c r="D16" s="399"/>
      <c r="E16" s="386" t="s">
        <v>1101</v>
      </c>
      <c r="F16" s="400">
        <f>(LOOKUP(Team_Name,'Budget Variance Data'!$A$22:$A$38,'Budget Variance Data'!$C$22:$C$38))</f>
        <v>1.67</v>
      </c>
      <c r="G16" s="401"/>
      <c r="H16" s="402"/>
      <c r="I16" s="401"/>
      <c r="J16" s="400"/>
      <c r="K16" s="401"/>
      <c r="L16" s="403" t="str">
        <f t="shared" si="0"/>
        <v>No Data</v>
      </c>
      <c r="N16" s="5" t="s">
        <v>1170</v>
      </c>
    </row>
    <row r="17" spans="1:18" ht="14.25" customHeight="1">
      <c r="A17" s="383"/>
      <c r="B17" s="385"/>
      <c r="C17" s="385"/>
      <c r="D17" s="399"/>
      <c r="E17" s="386" t="s">
        <v>1102</v>
      </c>
      <c r="F17" s="404">
        <f>(LOOKUP(Team_Name,'Budget Variance Data'!$A$22:$A$38,'Budget Variance Data'!$E$22:$E$38))</f>
        <v>1.35</v>
      </c>
      <c r="G17" s="401"/>
      <c r="H17" s="405"/>
      <c r="I17" s="401"/>
      <c r="J17" s="404"/>
      <c r="K17" s="401"/>
      <c r="L17" s="406" t="str">
        <f t="shared" si="0"/>
        <v>No Data</v>
      </c>
      <c r="N17" s="5" t="s">
        <v>113</v>
      </c>
    </row>
    <row r="18" spans="1:18" ht="14.25" customHeight="1">
      <c r="A18" s="383"/>
      <c r="B18" s="385"/>
      <c r="C18" s="385"/>
      <c r="D18" s="399"/>
      <c r="E18" s="386" t="s">
        <v>1103</v>
      </c>
      <c r="F18" s="404">
        <f>(LOOKUP(Team_Name,'Budget Variance Data'!$A$22:$A$38,'Budget Variance Data'!$G$22:$G$38))</f>
        <v>2.06</v>
      </c>
      <c r="G18" s="401"/>
      <c r="H18" s="405"/>
      <c r="I18" s="401"/>
      <c r="J18" s="404"/>
      <c r="K18" s="401"/>
      <c r="L18" s="406" t="str">
        <f t="shared" si="0"/>
        <v>No Data</v>
      </c>
      <c r="N18" s="5" t="s">
        <v>59</v>
      </c>
    </row>
    <row r="19" spans="1:18" ht="14.25" customHeight="1">
      <c r="A19" s="383"/>
      <c r="B19" s="385"/>
      <c r="C19" s="385"/>
      <c r="D19" s="399"/>
      <c r="E19" s="386" t="s">
        <v>1104</v>
      </c>
      <c r="F19" s="404">
        <f>(LOOKUP(Team_Name,'Budget Variance Data'!$A$22:$A$38,'Budget Variance Data'!$I$22:$I$38))</f>
        <v>0</v>
      </c>
      <c r="G19" s="401"/>
      <c r="H19" s="405"/>
      <c r="I19" s="401"/>
      <c r="J19" s="404"/>
      <c r="K19" s="401"/>
      <c r="L19" s="406" t="str">
        <f t="shared" si="0"/>
        <v>No Data</v>
      </c>
      <c r="N19" s="5" t="s">
        <v>540</v>
      </c>
      <c r="O19" s="541"/>
    </row>
    <row r="20" spans="1:18" ht="14.25" customHeight="1">
      <c r="A20" s="383"/>
      <c r="B20" s="385"/>
      <c r="C20" s="385"/>
      <c r="D20" s="399"/>
      <c r="E20" s="386" t="s">
        <v>1105</v>
      </c>
      <c r="F20" s="404">
        <f>(LOOKUP(Team_Name,'Budget Variance Data'!$A$22:$A$38,'Budget Variance Data'!$K$22:$K$38))</f>
        <v>1.1299999999999999</v>
      </c>
      <c r="G20" s="401"/>
      <c r="H20" s="405"/>
      <c r="I20" s="401"/>
      <c r="J20" s="404"/>
      <c r="K20" s="401"/>
      <c r="L20" s="406" t="str">
        <f t="shared" si="0"/>
        <v>No Data</v>
      </c>
      <c r="N20" s="5" t="s">
        <v>584</v>
      </c>
    </row>
    <row r="21" spans="1:18" ht="14.25" customHeight="1" thickBot="1">
      <c r="A21" s="407"/>
      <c r="B21" s="408"/>
      <c r="C21" s="408"/>
      <c r="D21" s="408"/>
      <c r="E21" s="409" t="s">
        <v>1115</v>
      </c>
      <c r="F21" s="410">
        <f>(LOOKUP(Team_Name,'Budget Variance Data'!$A$22:$A$38,'Budget Variance Data'!$M$22:$M$38))</f>
        <v>0</v>
      </c>
      <c r="G21" s="411"/>
      <c r="H21" s="412"/>
      <c r="I21" s="411"/>
      <c r="J21" s="410"/>
      <c r="K21" s="411"/>
      <c r="L21" s="413" t="str">
        <f t="shared" si="0"/>
        <v>No Data</v>
      </c>
      <c r="N21" s="5" t="s">
        <v>605</v>
      </c>
      <c r="O21" s="541"/>
    </row>
    <row r="22" spans="1:18" ht="17.25" thickTop="1" thickBot="1">
      <c r="A22" s="414" t="s">
        <v>1008</v>
      </c>
      <c r="B22" s="415"/>
      <c r="C22" s="415"/>
      <c r="D22" s="415"/>
      <c r="E22" s="415"/>
      <c r="F22" s="470">
        <f ca="1">IF(AND(ISNUMBER(F23),ISNUMBER(F25)),AVERAGE(F23,F25),"No Data")</f>
        <v>4.1294642857142856</v>
      </c>
      <c r="G22" s="375"/>
      <c r="H22" s="375"/>
      <c r="I22" s="375"/>
      <c r="J22" s="375"/>
      <c r="K22" s="375"/>
      <c r="L22" s="376" t="str">
        <f t="shared" ca="1" si="0"/>
        <v>No Data</v>
      </c>
      <c r="N22" s="5" t="s">
        <v>480</v>
      </c>
      <c r="O22" s="541"/>
    </row>
    <row r="23" spans="1:18">
      <c r="A23" s="522"/>
      <c r="B23" s="523"/>
      <c r="C23" s="523"/>
      <c r="D23" s="523"/>
      <c r="E23" s="524" t="s">
        <v>1018</v>
      </c>
      <c r="F23" s="511">
        <f ca="1">F24</f>
        <v>4.0505952380952381</v>
      </c>
      <c r="G23" s="554"/>
      <c r="H23" s="565"/>
      <c r="I23" s="554"/>
      <c r="J23" s="565"/>
      <c r="K23" s="554"/>
      <c r="L23" s="545" t="str">
        <f t="shared" ca="1" si="0"/>
        <v>No Data</v>
      </c>
      <c r="N23" s="5" t="s">
        <v>585</v>
      </c>
    </row>
    <row r="24" spans="1:18" ht="13.5" thickBot="1">
      <c r="A24" s="416"/>
      <c r="B24" s="417"/>
      <c r="C24" s="417"/>
      <c r="D24" s="417"/>
      <c r="E24" s="418" t="s">
        <v>1106</v>
      </c>
      <c r="F24" s="490">
        <f ca="1">'Survey Rollup'!$O$6</f>
        <v>4.0505952380952381</v>
      </c>
      <c r="G24" s="361"/>
      <c r="H24" s="365"/>
      <c r="I24" s="361"/>
      <c r="J24" s="365"/>
      <c r="K24" s="361"/>
      <c r="L24" s="394" t="str">
        <f t="shared" ca="1" si="0"/>
        <v>No Data</v>
      </c>
      <c r="N24" s="5" t="s">
        <v>690</v>
      </c>
    </row>
    <row r="25" spans="1:18">
      <c r="A25" s="416"/>
      <c r="B25" s="523"/>
      <c r="C25" s="523"/>
      <c r="D25" s="523"/>
      <c r="E25" s="524" t="s">
        <v>1074</v>
      </c>
      <c r="F25" s="511">
        <f ca="1">F26</f>
        <v>4.208333333333333</v>
      </c>
      <c r="G25" s="554"/>
      <c r="H25" s="565"/>
      <c r="I25" s="554"/>
      <c r="J25" s="565"/>
      <c r="K25" s="554"/>
      <c r="L25" s="545" t="str">
        <f t="shared" ca="1" si="0"/>
        <v>No Data</v>
      </c>
      <c r="N25" s="5" t="s">
        <v>60</v>
      </c>
    </row>
    <row r="26" spans="1:18" ht="13.5" thickBot="1">
      <c r="A26" s="416"/>
      <c r="B26" s="417"/>
      <c r="C26" s="417"/>
      <c r="D26" s="417"/>
      <c r="E26" s="418" t="s">
        <v>1106</v>
      </c>
      <c r="F26" s="530">
        <f ca="1">'Survey Rollup'!$O$7</f>
        <v>4.208333333333333</v>
      </c>
      <c r="G26" s="433"/>
      <c r="H26" s="405"/>
      <c r="I26" s="433"/>
      <c r="J26" s="405"/>
      <c r="K26" s="433"/>
      <c r="L26" s="549" t="str">
        <f t="shared" ca="1" si="0"/>
        <v>No Data</v>
      </c>
      <c r="N26" s="5" t="s">
        <v>1064</v>
      </c>
      <c r="Q26" s="541"/>
      <c r="R26" s="541"/>
    </row>
    <row r="27" spans="1:18" ht="13.5" thickBot="1">
      <c r="A27" s="419"/>
      <c r="B27" s="420"/>
      <c r="C27" s="420"/>
      <c r="D27" s="420"/>
      <c r="E27" s="421" t="s">
        <v>1075</v>
      </c>
      <c r="F27" s="550"/>
      <c r="G27" s="551"/>
      <c r="H27" s="552"/>
      <c r="I27" s="551"/>
      <c r="J27" s="552"/>
      <c r="K27" s="551"/>
      <c r="L27" s="553"/>
      <c r="N27" s="5" t="s">
        <v>1065</v>
      </c>
      <c r="Q27" s="541"/>
      <c r="R27" s="541"/>
    </row>
    <row r="28" spans="1:18" ht="17.25" thickTop="1" thickBot="1">
      <c r="A28" s="424" t="s">
        <v>1009</v>
      </c>
      <c r="B28" s="425"/>
      <c r="C28" s="425"/>
      <c r="D28" s="425"/>
      <c r="E28" s="488" t="s">
        <v>1136</v>
      </c>
      <c r="F28" s="471">
        <f ca="1">IF(AND(ISNUMBER(F29), ISNUMBER(F32)), AVERAGE(F29,F32), "No Data")</f>
        <v>5</v>
      </c>
      <c r="G28" s="375"/>
      <c r="H28" s="355"/>
      <c r="I28" s="375"/>
      <c r="J28" s="355"/>
      <c r="K28" s="375"/>
      <c r="L28" s="426" t="str">
        <f ca="1">IF(AND(ISNUMBER(F28), ISNUMBER(J28)), F28-J28, "No Data")</f>
        <v>No Data</v>
      </c>
      <c r="N28" s="5" t="s">
        <v>1171</v>
      </c>
    </row>
    <row r="29" spans="1:18">
      <c r="A29" s="427"/>
      <c r="B29" s="526"/>
      <c r="C29" s="526"/>
      <c r="D29" s="526"/>
      <c r="E29" s="527" t="s">
        <v>1019</v>
      </c>
      <c r="F29" s="528">
        <f ca="1">F30</f>
        <v>5</v>
      </c>
      <c r="G29" s="554"/>
      <c r="H29" s="555"/>
      <c r="I29" s="554"/>
      <c r="J29" s="555"/>
      <c r="K29" s="554"/>
      <c r="L29" s="546" t="str">
        <f ca="1">IF(AND(ISNUMBER(F29), ISNUMBER(J29)), F29-J29, "No Data")</f>
        <v>No Data</v>
      </c>
      <c r="N29" s="5"/>
    </row>
    <row r="30" spans="1:18" ht="13.5" thickBot="1">
      <c r="A30" s="427"/>
      <c r="B30" s="428"/>
      <c r="C30" s="428"/>
      <c r="D30" s="428"/>
      <c r="E30" s="429" t="s">
        <v>1106</v>
      </c>
      <c r="F30" s="530">
        <f ca="1">'Survey Rollup'!$T$6</f>
        <v>5</v>
      </c>
      <c r="G30" s="433"/>
      <c r="H30" s="560"/>
      <c r="I30" s="433"/>
      <c r="J30" s="560"/>
      <c r="K30" s="433"/>
      <c r="L30" s="561" t="str">
        <f ca="1">IF(AND(ISNUMBER(F30), ISNUMBER(J30)), F30-J30, "No Data")</f>
        <v>No Data</v>
      </c>
    </row>
    <row r="31" spans="1:18" ht="13.5" thickBot="1">
      <c r="A31" s="427"/>
      <c r="B31" s="430"/>
      <c r="C31" s="430"/>
      <c r="D31" s="430"/>
      <c r="E31" s="431" t="s">
        <v>1024</v>
      </c>
      <c r="F31" s="562"/>
      <c r="G31" s="384"/>
      <c r="H31" s="563"/>
      <c r="I31" s="384"/>
      <c r="J31" s="563"/>
      <c r="K31" s="384"/>
      <c r="L31" s="564"/>
    </row>
    <row r="32" spans="1:18">
      <c r="A32" s="427"/>
      <c r="B32" s="526"/>
      <c r="C32" s="526"/>
      <c r="D32" s="526"/>
      <c r="E32" s="527" t="s">
        <v>1030</v>
      </c>
      <c r="F32" s="509">
        <f ca="1">F33</f>
        <v>5</v>
      </c>
      <c r="G32" s="554"/>
      <c r="H32" s="556"/>
      <c r="I32" s="554"/>
      <c r="J32" s="557"/>
      <c r="K32" s="554"/>
      <c r="L32" s="542" t="str">
        <f ca="1">IF(AND(ISNUMBER(F32), ISNUMBER(J32)), F32-J32, "No Data")</f>
        <v>No Data</v>
      </c>
    </row>
    <row r="33" spans="1:14" ht="15.75" thickBot="1">
      <c r="A33" s="434"/>
      <c r="B33" s="435"/>
      <c r="C33" s="435"/>
      <c r="D33" s="435"/>
      <c r="E33" s="436" t="s">
        <v>1106</v>
      </c>
      <c r="F33" s="558">
        <f ca="1">'Survey Rollup'!$T$8</f>
        <v>5</v>
      </c>
      <c r="G33" s="437"/>
      <c r="H33" s="438"/>
      <c r="I33" s="437"/>
      <c r="J33" s="439"/>
      <c r="K33" s="437"/>
      <c r="L33" s="559" t="str">
        <f ca="1">IF(AND(ISNUMBER(F33), ISNUMBER(J33)), F33-J33, "No Data")</f>
        <v>No Data</v>
      </c>
    </row>
    <row r="34" spans="1:14" ht="15" thickTop="1">
      <c r="A34" s="440" t="s">
        <v>1116</v>
      </c>
      <c r="B34" s="441"/>
      <c r="C34" s="441"/>
      <c r="D34" s="442" t="s">
        <v>1076</v>
      </c>
      <c r="E34" s="441"/>
      <c r="F34" s="441"/>
      <c r="G34" s="441"/>
      <c r="H34" s="442" t="s">
        <v>1077</v>
      </c>
      <c r="I34" s="441"/>
      <c r="J34" s="441"/>
      <c r="K34" s="441"/>
      <c r="L34" s="443"/>
      <c r="N34" s="444"/>
    </row>
    <row r="35" spans="1:14" ht="14.25">
      <c r="A35" s="440"/>
      <c r="B35" s="445" t="s">
        <v>1078</v>
      </c>
      <c r="C35" s="441"/>
      <c r="D35" s="442"/>
      <c r="E35" s="445" t="s">
        <v>1079</v>
      </c>
      <c r="F35" s="441"/>
      <c r="G35" s="441"/>
      <c r="H35" s="442"/>
      <c r="I35" s="441"/>
      <c r="J35" s="445" t="s">
        <v>1080</v>
      </c>
      <c r="K35" s="441"/>
      <c r="L35" s="443"/>
      <c r="N35" s="444"/>
    </row>
    <row r="36" spans="1:14">
      <c r="A36" s="446"/>
      <c r="B36" s="445" t="s">
        <v>1081</v>
      </c>
      <c r="C36" s="441"/>
      <c r="D36" s="441"/>
      <c r="E36" s="445" t="s">
        <v>1082</v>
      </c>
      <c r="F36" s="441"/>
      <c r="G36" s="441"/>
      <c r="H36" s="441"/>
      <c r="I36" s="441"/>
      <c r="J36" s="445" t="s">
        <v>1083</v>
      </c>
      <c r="K36" s="441"/>
      <c r="L36" s="443"/>
    </row>
    <row r="37" spans="1:14">
      <c r="A37" s="446"/>
      <c r="B37" s="445" t="s">
        <v>1084</v>
      </c>
      <c r="C37" s="441"/>
      <c r="D37" s="441"/>
      <c r="E37" s="445" t="s">
        <v>1085</v>
      </c>
      <c r="F37" s="441"/>
      <c r="G37" s="441"/>
      <c r="H37" s="441"/>
      <c r="I37" s="441"/>
      <c r="J37" s="445" t="s">
        <v>1086</v>
      </c>
      <c r="K37" s="441"/>
      <c r="L37" s="443"/>
    </row>
    <row r="38" spans="1:14">
      <c r="A38" s="446"/>
      <c r="B38" s="445" t="s">
        <v>1087</v>
      </c>
      <c r="C38" s="441"/>
      <c r="D38" s="441"/>
      <c r="E38" s="445" t="s">
        <v>1088</v>
      </c>
      <c r="F38" s="441"/>
      <c r="G38" s="441"/>
      <c r="H38" s="441"/>
      <c r="I38" s="441"/>
      <c r="J38" s="445" t="s">
        <v>1089</v>
      </c>
      <c r="K38" s="441"/>
      <c r="L38" s="443"/>
    </row>
    <row r="39" spans="1:14" ht="13.5" thickBot="1">
      <c r="A39" s="447"/>
      <c r="B39" s="448" t="s">
        <v>1090</v>
      </c>
      <c r="C39" s="449"/>
      <c r="D39" s="449"/>
      <c r="E39" s="450"/>
      <c r="F39" s="449"/>
      <c r="G39" s="449"/>
      <c r="H39" s="449"/>
      <c r="I39" s="449"/>
      <c r="J39" s="450"/>
      <c r="K39" s="449"/>
      <c r="L39" s="451"/>
    </row>
    <row r="40" spans="1:14" ht="12.75" customHeight="1">
      <c r="A40" s="600" t="s">
        <v>1091</v>
      </c>
      <c r="B40" s="601"/>
      <c r="C40" s="602"/>
      <c r="D40" s="452"/>
      <c r="E40" s="603" t="s">
        <v>1092</v>
      </c>
      <c r="F40" s="604"/>
      <c r="G40" s="604"/>
      <c r="H40" s="604"/>
      <c r="I40" s="604"/>
      <c r="J40" s="604"/>
      <c r="K40" s="604"/>
      <c r="L40" s="605"/>
    </row>
    <row r="41" spans="1:14" ht="39" customHeight="1" thickBot="1">
      <c r="A41" s="453" t="s">
        <v>1093</v>
      </c>
      <c r="B41" s="454" t="s">
        <v>1094</v>
      </c>
      <c r="C41" s="455" t="s">
        <v>1095</v>
      </c>
      <c r="D41" s="456"/>
      <c r="E41" s="457" t="s">
        <v>1096</v>
      </c>
      <c r="F41" s="458" t="s">
        <v>1097</v>
      </c>
      <c r="G41" s="606" t="s">
        <v>1098</v>
      </c>
      <c r="H41" s="607"/>
      <c r="I41" s="608" t="s">
        <v>1099</v>
      </c>
      <c r="J41" s="609"/>
      <c r="K41" s="608" t="s">
        <v>1100</v>
      </c>
      <c r="L41" s="610"/>
    </row>
    <row r="42" spans="1:14" ht="24" customHeight="1" thickBot="1">
      <c r="A42" s="566">
        <f>(LOOKUP(Team_Name,'ITR Data'!$A$24:$A$37,'ITR Data'!$L$24:$L$37))</f>
        <v>128</v>
      </c>
      <c r="B42" s="567">
        <f>(LOOKUP(Team_Name,'ITR Data'!$A$24:$A$37,'ITR Data'!$M$24:$M$37))</f>
        <v>176</v>
      </c>
      <c r="C42" s="567">
        <f>(LOOKUP(Team_Name,'ITR Data'!$A$24:$A$37,'ITR Data'!$N$24:$N$37))</f>
        <v>161</v>
      </c>
      <c r="D42" s="460"/>
      <c r="E42" s="459">
        <v>28368</v>
      </c>
      <c r="F42" s="461">
        <v>2.5115740740740741E-3</v>
      </c>
      <c r="G42" s="462"/>
      <c r="H42" s="463">
        <v>1.6203703703703703E-4</v>
      </c>
      <c r="I42" s="464">
        <f>'[1]by Team'!$F$29</f>
        <v>3333</v>
      </c>
      <c r="J42" s="465">
        <v>22515</v>
      </c>
      <c r="K42" s="464">
        <f>'[1]by Team'!$G$29</f>
        <v>2211</v>
      </c>
      <c r="L42" s="466">
        <v>22262</v>
      </c>
    </row>
    <row r="43" spans="1:14" ht="13.5" thickTop="1"/>
    <row r="44" spans="1:14">
      <c r="A44" s="467"/>
    </row>
  </sheetData>
  <mergeCells count="6">
    <mergeCell ref="B2:C2"/>
    <mergeCell ref="A40:C40"/>
    <mergeCell ref="E40:L40"/>
    <mergeCell ref="G41:H41"/>
    <mergeCell ref="I41:J41"/>
    <mergeCell ref="K41:L41"/>
  </mergeCells>
  <dataValidations count="1">
    <dataValidation type="list" allowBlank="1" showInputMessage="1" showErrorMessage="1" sqref="B2">
      <formula1>Team_Names</formula1>
    </dataValidation>
  </dataValidations>
  <hyperlinks>
    <hyperlink ref="A40:C40" r:id="rId1" display="Work Processing Summary"/>
    <hyperlink ref="A1" location="'Table of Contents'!A1" display="Table of Contents"/>
    <hyperlink ref="N4" location="'Scorecard - Individual Team'!A1" display="Scorecard - Individual Team"/>
    <hyperlink ref="N5" location="'Scorecard - All Teams'!A1" display="Scorecard - All Teams"/>
    <hyperlink ref="N6" location="'Budget Rollup'!A1" display="Budget Rollup"/>
    <hyperlink ref="N7" location="'Survey Rollup'!A1" display="Survey Rollup"/>
    <hyperlink ref="N8" location="'Survey Mapping'!A1" display="Survey Mapping"/>
    <hyperlink ref="N9" location="'Lookups'!A1" display="Lookups"/>
    <hyperlink ref="N10" location="'Partner Survey Data (2)'!A1" display="Partner Survey Data (2)"/>
    <hyperlink ref="N11" location="'Partner Survey Data'!A1" display="Partner Survey Data"/>
    <hyperlink ref="N12" location="'Partner Survey Questions'!A1" display="Partner Survey Questions"/>
    <hyperlink ref="N13" location="'Business Survey Data'!A1" display="Business Survey Data"/>
    <hyperlink ref="N14" location="'Business Survey Questions'!A1" display="Business Survey Questions"/>
    <hyperlink ref="N15" location="'IT Survey Data'!A1" display="IT Survey Data"/>
    <hyperlink ref="N16" location="'IT Survey Questions'!A1" display="IT Survey Questions"/>
    <hyperlink ref="N17" location="'IT Sales On-Time Data'!A1" display="IT Sales On-Time Data"/>
    <hyperlink ref="N18" location="'eBusiness On-Time Data'!A1" display="eBusiness On-Time Data"/>
    <hyperlink ref="N19" location="'IT Finance On-Time Data'!A1" display="IT Finance On-Time Data"/>
    <hyperlink ref="N20" location="'IT Producer On-Time Delivery'!A1" display="IT Producer On-Time Delivery"/>
    <hyperlink ref="N21" location="'Product Admin On-Time Delivery'!A1" display="Product Admin On-Time Delivery"/>
    <hyperlink ref="N22" location="'Workflow On-Time Data'!A1" display="Workflow On-Time Data"/>
    <hyperlink ref="N23" location="'Viewpoint On-Time Delivery'!A1" display="Viewpoint On-Time Delivery"/>
    <hyperlink ref="N24" location="'IT Service On-Time Delivery'!A1" display="IT Service On-Time Delivery"/>
    <hyperlink ref="N25" location="'On-Time Delivery Data'!A1" display="On-Time Delivery Data"/>
    <hyperlink ref="N26" location="'Budget Variance Data'!A1" display="Budget Variance Data"/>
    <hyperlink ref="N27" location="'ITR Data'!A1" display="ITR Data"/>
    <hyperlink ref="N28" location="'TrendAppDev'!A1" display="TrendAppDev"/>
  </hyperlinks>
  <pageMargins left="0.25" right="0.25" top="0.75" bottom="0.75" header="0.3" footer="0.3"/>
  <pageSetup orientation="portrait" r:id="rId2"/>
  <headerFooter alignWithMargins="0">
    <oddFooter>&amp;L&amp;5&amp;Z&amp;F
Created: 9/29/2006 10:44:00 PM
Last Saved: 2/5/2008 9:15:17 PM
Last Printed: 2/5/2008 6:12:16 PM&amp;R&amp;5&amp;P - &amp;N
Title :&lt;Not Set&gt;
Subject: &lt;Not Set&gt;</oddFooter>
  </headerFooter>
  <legacyDrawing r:id="rId3"/>
</worksheet>
</file>

<file path=xl/worksheets/sheet3.xml><?xml version="1.0" encoding="utf-8"?>
<worksheet xmlns="http://schemas.openxmlformats.org/spreadsheetml/2006/main" xmlns:r="http://schemas.openxmlformats.org/officeDocument/2006/relationships">
  <sheetPr codeName="Sheet26">
    <pageSetUpPr fitToPage="1"/>
  </sheetPr>
  <dimension ref="A1:U42"/>
  <sheetViews>
    <sheetView tabSelected="1" workbookViewId="0">
      <selection activeCell="U30" sqref="U30"/>
    </sheetView>
  </sheetViews>
  <sheetFormatPr defaultRowHeight="12.75"/>
  <cols>
    <col min="1" max="1" width="9" style="357" customWidth="1"/>
    <col min="2" max="2" width="9.140625" style="357"/>
    <col min="3" max="3" width="9.7109375" style="357" customWidth="1"/>
    <col min="4" max="4" width="9" style="357" customWidth="1"/>
    <col min="5" max="5" width="10.7109375" style="357" customWidth="1"/>
    <col min="6" max="18" width="9.140625" style="357"/>
    <col min="19" max="19" width="9.140625" style="357" customWidth="1"/>
    <col min="20" max="20" width="5.7109375" style="357" customWidth="1"/>
    <col min="21" max="21" width="28.42578125" style="357" bestFit="1" customWidth="1"/>
    <col min="22" max="247" width="9.140625" style="357"/>
    <col min="248" max="248" width="9" style="357" customWidth="1"/>
    <col min="249" max="249" width="9.140625" style="357"/>
    <col min="250" max="250" width="9.7109375" style="357" customWidth="1"/>
    <col min="251" max="251" width="9" style="357" customWidth="1"/>
    <col min="252" max="252" width="10.7109375" style="357" customWidth="1"/>
    <col min="253" max="253" width="12.7109375" style="357" customWidth="1"/>
    <col min="254" max="254" width="1" style="357" customWidth="1"/>
    <col min="255" max="255" width="12.7109375" style="357" customWidth="1"/>
    <col min="256" max="256" width="1" style="357" customWidth="1"/>
    <col min="257" max="257" width="12.7109375" style="357" customWidth="1"/>
    <col min="258" max="258" width="1" style="357" customWidth="1"/>
    <col min="259" max="259" width="12.7109375" style="357" customWidth="1"/>
    <col min="260" max="503" width="9.140625" style="357"/>
    <col min="504" max="504" width="9" style="357" customWidth="1"/>
    <col min="505" max="505" width="9.140625" style="357"/>
    <col min="506" max="506" width="9.7109375" style="357" customWidth="1"/>
    <col min="507" max="507" width="9" style="357" customWidth="1"/>
    <col min="508" max="508" width="10.7109375" style="357" customWidth="1"/>
    <col min="509" max="509" width="12.7109375" style="357" customWidth="1"/>
    <col min="510" max="510" width="1" style="357" customWidth="1"/>
    <col min="511" max="511" width="12.7109375" style="357" customWidth="1"/>
    <col min="512" max="512" width="1" style="357" customWidth="1"/>
    <col min="513" max="513" width="12.7109375" style="357" customWidth="1"/>
    <col min="514" max="514" width="1" style="357" customWidth="1"/>
    <col min="515" max="515" width="12.7109375" style="357" customWidth="1"/>
    <col min="516" max="759" width="9.140625" style="357"/>
    <col min="760" max="760" width="9" style="357" customWidth="1"/>
    <col min="761" max="761" width="9.140625" style="357"/>
    <col min="762" max="762" width="9.7109375" style="357" customWidth="1"/>
    <col min="763" max="763" width="9" style="357" customWidth="1"/>
    <col min="764" max="764" width="10.7109375" style="357" customWidth="1"/>
    <col min="765" max="765" width="12.7109375" style="357" customWidth="1"/>
    <col min="766" max="766" width="1" style="357" customWidth="1"/>
    <col min="767" max="767" width="12.7109375" style="357" customWidth="1"/>
    <col min="768" max="768" width="1" style="357" customWidth="1"/>
    <col min="769" max="769" width="12.7109375" style="357" customWidth="1"/>
    <col min="770" max="770" width="1" style="357" customWidth="1"/>
    <col min="771" max="771" width="12.7109375" style="357" customWidth="1"/>
    <col min="772" max="1015" width="9.140625" style="357"/>
    <col min="1016" max="1016" width="9" style="357" customWidth="1"/>
    <col min="1017" max="1017" width="9.140625" style="357"/>
    <col min="1018" max="1018" width="9.7109375" style="357" customWidth="1"/>
    <col min="1019" max="1019" width="9" style="357" customWidth="1"/>
    <col min="1020" max="1020" width="10.7109375" style="357" customWidth="1"/>
    <col min="1021" max="1021" width="12.7109375" style="357" customWidth="1"/>
    <col min="1022" max="1022" width="1" style="357" customWidth="1"/>
    <col min="1023" max="1023" width="12.7109375" style="357" customWidth="1"/>
    <col min="1024" max="1024" width="1" style="357" customWidth="1"/>
    <col min="1025" max="1025" width="12.7109375" style="357" customWidth="1"/>
    <col min="1026" max="1026" width="1" style="357" customWidth="1"/>
    <col min="1027" max="1027" width="12.7109375" style="357" customWidth="1"/>
    <col min="1028" max="1271" width="9.140625" style="357"/>
    <col min="1272" max="1272" width="9" style="357" customWidth="1"/>
    <col min="1273" max="1273" width="9.140625" style="357"/>
    <col min="1274" max="1274" width="9.7109375" style="357" customWidth="1"/>
    <col min="1275" max="1275" width="9" style="357" customWidth="1"/>
    <col min="1276" max="1276" width="10.7109375" style="357" customWidth="1"/>
    <col min="1277" max="1277" width="12.7109375" style="357" customWidth="1"/>
    <col min="1278" max="1278" width="1" style="357" customWidth="1"/>
    <col min="1279" max="1279" width="12.7109375" style="357" customWidth="1"/>
    <col min="1280" max="1280" width="1" style="357" customWidth="1"/>
    <col min="1281" max="1281" width="12.7109375" style="357" customWidth="1"/>
    <col min="1282" max="1282" width="1" style="357" customWidth="1"/>
    <col min="1283" max="1283" width="12.7109375" style="357" customWidth="1"/>
    <col min="1284" max="1527" width="9.140625" style="357"/>
    <col min="1528" max="1528" width="9" style="357" customWidth="1"/>
    <col min="1529" max="1529" width="9.140625" style="357"/>
    <col min="1530" max="1530" width="9.7109375" style="357" customWidth="1"/>
    <col min="1531" max="1531" width="9" style="357" customWidth="1"/>
    <col min="1532" max="1532" width="10.7109375" style="357" customWidth="1"/>
    <col min="1533" max="1533" width="12.7109375" style="357" customWidth="1"/>
    <col min="1534" max="1534" width="1" style="357" customWidth="1"/>
    <col min="1535" max="1535" width="12.7109375" style="357" customWidth="1"/>
    <col min="1536" max="1536" width="1" style="357" customWidth="1"/>
    <col min="1537" max="1537" width="12.7109375" style="357" customWidth="1"/>
    <col min="1538" max="1538" width="1" style="357" customWidth="1"/>
    <col min="1539" max="1539" width="12.7109375" style="357" customWidth="1"/>
    <col min="1540" max="1783" width="9.140625" style="357"/>
    <col min="1784" max="1784" width="9" style="357" customWidth="1"/>
    <col min="1785" max="1785" width="9.140625" style="357"/>
    <col min="1786" max="1786" width="9.7109375" style="357" customWidth="1"/>
    <col min="1787" max="1787" width="9" style="357" customWidth="1"/>
    <col min="1788" max="1788" width="10.7109375" style="357" customWidth="1"/>
    <col min="1789" max="1789" width="12.7109375" style="357" customWidth="1"/>
    <col min="1790" max="1790" width="1" style="357" customWidth="1"/>
    <col min="1791" max="1791" width="12.7109375" style="357" customWidth="1"/>
    <col min="1792" max="1792" width="1" style="357" customWidth="1"/>
    <col min="1793" max="1793" width="12.7109375" style="357" customWidth="1"/>
    <col min="1794" max="1794" width="1" style="357" customWidth="1"/>
    <col min="1795" max="1795" width="12.7109375" style="357" customWidth="1"/>
    <col min="1796" max="2039" width="9.140625" style="357"/>
    <col min="2040" max="2040" width="9" style="357" customWidth="1"/>
    <col min="2041" max="2041" width="9.140625" style="357"/>
    <col min="2042" max="2042" width="9.7109375" style="357" customWidth="1"/>
    <col min="2043" max="2043" width="9" style="357" customWidth="1"/>
    <col min="2044" max="2044" width="10.7109375" style="357" customWidth="1"/>
    <col min="2045" max="2045" width="12.7109375" style="357" customWidth="1"/>
    <col min="2046" max="2046" width="1" style="357" customWidth="1"/>
    <col min="2047" max="2047" width="12.7109375" style="357" customWidth="1"/>
    <col min="2048" max="2048" width="1" style="357" customWidth="1"/>
    <col min="2049" max="2049" width="12.7109375" style="357" customWidth="1"/>
    <col min="2050" max="2050" width="1" style="357" customWidth="1"/>
    <col min="2051" max="2051" width="12.7109375" style="357" customWidth="1"/>
    <col min="2052" max="2295" width="9.140625" style="357"/>
    <col min="2296" max="2296" width="9" style="357" customWidth="1"/>
    <col min="2297" max="2297" width="9.140625" style="357"/>
    <col min="2298" max="2298" width="9.7109375" style="357" customWidth="1"/>
    <col min="2299" max="2299" width="9" style="357" customWidth="1"/>
    <col min="2300" max="2300" width="10.7109375" style="357" customWidth="1"/>
    <col min="2301" max="2301" width="12.7109375" style="357" customWidth="1"/>
    <col min="2302" max="2302" width="1" style="357" customWidth="1"/>
    <col min="2303" max="2303" width="12.7109375" style="357" customWidth="1"/>
    <col min="2304" max="2304" width="1" style="357" customWidth="1"/>
    <col min="2305" max="2305" width="12.7109375" style="357" customWidth="1"/>
    <col min="2306" max="2306" width="1" style="357" customWidth="1"/>
    <col min="2307" max="2307" width="12.7109375" style="357" customWidth="1"/>
    <col min="2308" max="2551" width="9.140625" style="357"/>
    <col min="2552" max="2552" width="9" style="357" customWidth="1"/>
    <col min="2553" max="2553" width="9.140625" style="357"/>
    <col min="2554" max="2554" width="9.7109375" style="357" customWidth="1"/>
    <col min="2555" max="2555" width="9" style="357" customWidth="1"/>
    <col min="2556" max="2556" width="10.7109375" style="357" customWidth="1"/>
    <col min="2557" max="2557" width="12.7109375" style="357" customWidth="1"/>
    <col min="2558" max="2558" width="1" style="357" customWidth="1"/>
    <col min="2559" max="2559" width="12.7109375" style="357" customWidth="1"/>
    <col min="2560" max="2560" width="1" style="357" customWidth="1"/>
    <col min="2561" max="2561" width="12.7109375" style="357" customWidth="1"/>
    <col min="2562" max="2562" width="1" style="357" customWidth="1"/>
    <col min="2563" max="2563" width="12.7109375" style="357" customWidth="1"/>
    <col min="2564" max="2807" width="9.140625" style="357"/>
    <col min="2808" max="2808" width="9" style="357" customWidth="1"/>
    <col min="2809" max="2809" width="9.140625" style="357"/>
    <col min="2810" max="2810" width="9.7109375" style="357" customWidth="1"/>
    <col min="2811" max="2811" width="9" style="357" customWidth="1"/>
    <col min="2812" max="2812" width="10.7109375" style="357" customWidth="1"/>
    <col min="2813" max="2813" width="12.7109375" style="357" customWidth="1"/>
    <col min="2814" max="2814" width="1" style="357" customWidth="1"/>
    <col min="2815" max="2815" width="12.7109375" style="357" customWidth="1"/>
    <col min="2816" max="2816" width="1" style="357" customWidth="1"/>
    <col min="2817" max="2817" width="12.7109375" style="357" customWidth="1"/>
    <col min="2818" max="2818" width="1" style="357" customWidth="1"/>
    <col min="2819" max="2819" width="12.7109375" style="357" customWidth="1"/>
    <col min="2820" max="3063" width="9.140625" style="357"/>
    <col min="3064" max="3064" width="9" style="357" customWidth="1"/>
    <col min="3065" max="3065" width="9.140625" style="357"/>
    <col min="3066" max="3066" width="9.7109375" style="357" customWidth="1"/>
    <col min="3067" max="3067" width="9" style="357" customWidth="1"/>
    <col min="3068" max="3068" width="10.7109375" style="357" customWidth="1"/>
    <col min="3069" max="3069" width="12.7109375" style="357" customWidth="1"/>
    <col min="3070" max="3070" width="1" style="357" customWidth="1"/>
    <col min="3071" max="3071" width="12.7109375" style="357" customWidth="1"/>
    <col min="3072" max="3072" width="1" style="357" customWidth="1"/>
    <col min="3073" max="3073" width="12.7109375" style="357" customWidth="1"/>
    <col min="3074" max="3074" width="1" style="357" customWidth="1"/>
    <col min="3075" max="3075" width="12.7109375" style="357" customWidth="1"/>
    <col min="3076" max="3319" width="9.140625" style="357"/>
    <col min="3320" max="3320" width="9" style="357" customWidth="1"/>
    <col min="3321" max="3321" width="9.140625" style="357"/>
    <col min="3322" max="3322" width="9.7109375" style="357" customWidth="1"/>
    <col min="3323" max="3323" width="9" style="357" customWidth="1"/>
    <col min="3324" max="3324" width="10.7109375" style="357" customWidth="1"/>
    <col min="3325" max="3325" width="12.7109375" style="357" customWidth="1"/>
    <col min="3326" max="3326" width="1" style="357" customWidth="1"/>
    <col min="3327" max="3327" width="12.7109375" style="357" customWidth="1"/>
    <col min="3328" max="3328" width="1" style="357" customWidth="1"/>
    <col min="3329" max="3329" width="12.7109375" style="357" customWidth="1"/>
    <col min="3330" max="3330" width="1" style="357" customWidth="1"/>
    <col min="3331" max="3331" width="12.7109375" style="357" customWidth="1"/>
    <col min="3332" max="3575" width="9.140625" style="357"/>
    <col min="3576" max="3576" width="9" style="357" customWidth="1"/>
    <col min="3577" max="3577" width="9.140625" style="357"/>
    <col min="3578" max="3578" width="9.7109375" style="357" customWidth="1"/>
    <col min="3579" max="3579" width="9" style="357" customWidth="1"/>
    <col min="3580" max="3580" width="10.7109375" style="357" customWidth="1"/>
    <col min="3581" max="3581" width="12.7109375" style="357" customWidth="1"/>
    <col min="3582" max="3582" width="1" style="357" customWidth="1"/>
    <col min="3583" max="3583" width="12.7109375" style="357" customWidth="1"/>
    <col min="3584" max="3584" width="1" style="357" customWidth="1"/>
    <col min="3585" max="3585" width="12.7109375" style="357" customWidth="1"/>
    <col min="3586" max="3586" width="1" style="357" customWidth="1"/>
    <col min="3587" max="3587" width="12.7109375" style="357" customWidth="1"/>
    <col min="3588" max="3831" width="9.140625" style="357"/>
    <col min="3832" max="3832" width="9" style="357" customWidth="1"/>
    <col min="3833" max="3833" width="9.140625" style="357"/>
    <col min="3834" max="3834" width="9.7109375" style="357" customWidth="1"/>
    <col min="3835" max="3835" width="9" style="357" customWidth="1"/>
    <col min="3836" max="3836" width="10.7109375" style="357" customWidth="1"/>
    <col min="3837" max="3837" width="12.7109375" style="357" customWidth="1"/>
    <col min="3838" max="3838" width="1" style="357" customWidth="1"/>
    <col min="3839" max="3839" width="12.7109375" style="357" customWidth="1"/>
    <col min="3840" max="3840" width="1" style="357" customWidth="1"/>
    <col min="3841" max="3841" width="12.7109375" style="357" customWidth="1"/>
    <col min="3842" max="3842" width="1" style="357" customWidth="1"/>
    <col min="3843" max="3843" width="12.7109375" style="357" customWidth="1"/>
    <col min="3844" max="4087" width="9.140625" style="357"/>
    <col min="4088" max="4088" width="9" style="357" customWidth="1"/>
    <col min="4089" max="4089" width="9.140625" style="357"/>
    <col min="4090" max="4090" width="9.7109375" style="357" customWidth="1"/>
    <col min="4091" max="4091" width="9" style="357" customWidth="1"/>
    <col min="4092" max="4092" width="10.7109375" style="357" customWidth="1"/>
    <col min="4093" max="4093" width="12.7109375" style="357" customWidth="1"/>
    <col min="4094" max="4094" width="1" style="357" customWidth="1"/>
    <col min="4095" max="4095" width="12.7109375" style="357" customWidth="1"/>
    <col min="4096" max="4096" width="1" style="357" customWidth="1"/>
    <col min="4097" max="4097" width="12.7109375" style="357" customWidth="1"/>
    <col min="4098" max="4098" width="1" style="357" customWidth="1"/>
    <col min="4099" max="4099" width="12.7109375" style="357" customWidth="1"/>
    <col min="4100" max="4343" width="9.140625" style="357"/>
    <col min="4344" max="4344" width="9" style="357" customWidth="1"/>
    <col min="4345" max="4345" width="9.140625" style="357"/>
    <col min="4346" max="4346" width="9.7109375" style="357" customWidth="1"/>
    <col min="4347" max="4347" width="9" style="357" customWidth="1"/>
    <col min="4348" max="4348" width="10.7109375" style="357" customWidth="1"/>
    <col min="4349" max="4349" width="12.7109375" style="357" customWidth="1"/>
    <col min="4350" max="4350" width="1" style="357" customWidth="1"/>
    <col min="4351" max="4351" width="12.7109375" style="357" customWidth="1"/>
    <col min="4352" max="4352" width="1" style="357" customWidth="1"/>
    <col min="4353" max="4353" width="12.7109375" style="357" customWidth="1"/>
    <col min="4354" max="4354" width="1" style="357" customWidth="1"/>
    <col min="4355" max="4355" width="12.7109375" style="357" customWidth="1"/>
    <col min="4356" max="4599" width="9.140625" style="357"/>
    <col min="4600" max="4600" width="9" style="357" customWidth="1"/>
    <col min="4601" max="4601" width="9.140625" style="357"/>
    <col min="4602" max="4602" width="9.7109375" style="357" customWidth="1"/>
    <col min="4603" max="4603" width="9" style="357" customWidth="1"/>
    <col min="4604" max="4604" width="10.7109375" style="357" customWidth="1"/>
    <col min="4605" max="4605" width="12.7109375" style="357" customWidth="1"/>
    <col min="4606" max="4606" width="1" style="357" customWidth="1"/>
    <col min="4607" max="4607" width="12.7109375" style="357" customWidth="1"/>
    <col min="4608" max="4608" width="1" style="357" customWidth="1"/>
    <col min="4609" max="4609" width="12.7109375" style="357" customWidth="1"/>
    <col min="4610" max="4610" width="1" style="357" customWidth="1"/>
    <col min="4611" max="4611" width="12.7109375" style="357" customWidth="1"/>
    <col min="4612" max="4855" width="9.140625" style="357"/>
    <col min="4856" max="4856" width="9" style="357" customWidth="1"/>
    <col min="4857" max="4857" width="9.140625" style="357"/>
    <col min="4858" max="4858" width="9.7109375" style="357" customWidth="1"/>
    <col min="4859" max="4859" width="9" style="357" customWidth="1"/>
    <col min="4860" max="4860" width="10.7109375" style="357" customWidth="1"/>
    <col min="4861" max="4861" width="12.7109375" style="357" customWidth="1"/>
    <col min="4862" max="4862" width="1" style="357" customWidth="1"/>
    <col min="4863" max="4863" width="12.7109375" style="357" customWidth="1"/>
    <col min="4864" max="4864" width="1" style="357" customWidth="1"/>
    <col min="4865" max="4865" width="12.7109375" style="357" customWidth="1"/>
    <col min="4866" max="4866" width="1" style="357" customWidth="1"/>
    <col min="4867" max="4867" width="12.7109375" style="357" customWidth="1"/>
    <col min="4868" max="5111" width="9.140625" style="357"/>
    <col min="5112" max="5112" width="9" style="357" customWidth="1"/>
    <col min="5113" max="5113" width="9.140625" style="357"/>
    <col min="5114" max="5114" width="9.7109375" style="357" customWidth="1"/>
    <col min="5115" max="5115" width="9" style="357" customWidth="1"/>
    <col min="5116" max="5116" width="10.7109375" style="357" customWidth="1"/>
    <col min="5117" max="5117" width="12.7109375" style="357" customWidth="1"/>
    <col min="5118" max="5118" width="1" style="357" customWidth="1"/>
    <col min="5119" max="5119" width="12.7109375" style="357" customWidth="1"/>
    <col min="5120" max="5120" width="1" style="357" customWidth="1"/>
    <col min="5121" max="5121" width="12.7109375" style="357" customWidth="1"/>
    <col min="5122" max="5122" width="1" style="357" customWidth="1"/>
    <col min="5123" max="5123" width="12.7109375" style="357" customWidth="1"/>
    <col min="5124" max="5367" width="9.140625" style="357"/>
    <col min="5368" max="5368" width="9" style="357" customWidth="1"/>
    <col min="5369" max="5369" width="9.140625" style="357"/>
    <col min="5370" max="5370" width="9.7109375" style="357" customWidth="1"/>
    <col min="5371" max="5371" width="9" style="357" customWidth="1"/>
    <col min="5372" max="5372" width="10.7109375" style="357" customWidth="1"/>
    <col min="5373" max="5373" width="12.7109375" style="357" customWidth="1"/>
    <col min="5374" max="5374" width="1" style="357" customWidth="1"/>
    <col min="5375" max="5375" width="12.7109375" style="357" customWidth="1"/>
    <col min="5376" max="5376" width="1" style="357" customWidth="1"/>
    <col min="5377" max="5377" width="12.7109375" style="357" customWidth="1"/>
    <col min="5378" max="5378" width="1" style="357" customWidth="1"/>
    <col min="5379" max="5379" width="12.7109375" style="357" customWidth="1"/>
    <col min="5380" max="5623" width="9.140625" style="357"/>
    <col min="5624" max="5624" width="9" style="357" customWidth="1"/>
    <col min="5625" max="5625" width="9.140625" style="357"/>
    <col min="5626" max="5626" width="9.7109375" style="357" customWidth="1"/>
    <col min="5627" max="5627" width="9" style="357" customWidth="1"/>
    <col min="5628" max="5628" width="10.7109375" style="357" customWidth="1"/>
    <col min="5629" max="5629" width="12.7109375" style="357" customWidth="1"/>
    <col min="5630" max="5630" width="1" style="357" customWidth="1"/>
    <col min="5631" max="5631" width="12.7109375" style="357" customWidth="1"/>
    <col min="5632" max="5632" width="1" style="357" customWidth="1"/>
    <col min="5633" max="5633" width="12.7109375" style="357" customWidth="1"/>
    <col min="5634" max="5634" width="1" style="357" customWidth="1"/>
    <col min="5635" max="5635" width="12.7109375" style="357" customWidth="1"/>
    <col min="5636" max="5879" width="9.140625" style="357"/>
    <col min="5880" max="5880" width="9" style="357" customWidth="1"/>
    <col min="5881" max="5881" width="9.140625" style="357"/>
    <col min="5882" max="5882" width="9.7109375" style="357" customWidth="1"/>
    <col min="5883" max="5883" width="9" style="357" customWidth="1"/>
    <col min="5884" max="5884" width="10.7109375" style="357" customWidth="1"/>
    <col min="5885" max="5885" width="12.7109375" style="357" customWidth="1"/>
    <col min="5886" max="5886" width="1" style="357" customWidth="1"/>
    <col min="5887" max="5887" width="12.7109375" style="357" customWidth="1"/>
    <col min="5888" max="5888" width="1" style="357" customWidth="1"/>
    <col min="5889" max="5889" width="12.7109375" style="357" customWidth="1"/>
    <col min="5890" max="5890" width="1" style="357" customWidth="1"/>
    <col min="5891" max="5891" width="12.7109375" style="357" customWidth="1"/>
    <col min="5892" max="6135" width="9.140625" style="357"/>
    <col min="6136" max="6136" width="9" style="357" customWidth="1"/>
    <col min="6137" max="6137" width="9.140625" style="357"/>
    <col min="6138" max="6138" width="9.7109375" style="357" customWidth="1"/>
    <col min="6139" max="6139" width="9" style="357" customWidth="1"/>
    <col min="6140" max="6140" width="10.7109375" style="357" customWidth="1"/>
    <col min="6141" max="6141" width="12.7109375" style="357" customWidth="1"/>
    <col min="6142" max="6142" width="1" style="357" customWidth="1"/>
    <col min="6143" max="6143" width="12.7109375" style="357" customWidth="1"/>
    <col min="6144" max="6144" width="1" style="357" customWidth="1"/>
    <col min="6145" max="6145" width="12.7109375" style="357" customWidth="1"/>
    <col min="6146" max="6146" width="1" style="357" customWidth="1"/>
    <col min="6147" max="6147" width="12.7109375" style="357" customWidth="1"/>
    <col min="6148" max="6391" width="9.140625" style="357"/>
    <col min="6392" max="6392" width="9" style="357" customWidth="1"/>
    <col min="6393" max="6393" width="9.140625" style="357"/>
    <col min="6394" max="6394" width="9.7109375" style="357" customWidth="1"/>
    <col min="6395" max="6395" width="9" style="357" customWidth="1"/>
    <col min="6396" max="6396" width="10.7109375" style="357" customWidth="1"/>
    <col min="6397" max="6397" width="12.7109375" style="357" customWidth="1"/>
    <col min="6398" max="6398" width="1" style="357" customWidth="1"/>
    <col min="6399" max="6399" width="12.7109375" style="357" customWidth="1"/>
    <col min="6400" max="6400" width="1" style="357" customWidth="1"/>
    <col min="6401" max="6401" width="12.7109375" style="357" customWidth="1"/>
    <col min="6402" max="6402" width="1" style="357" customWidth="1"/>
    <col min="6403" max="6403" width="12.7109375" style="357" customWidth="1"/>
    <col min="6404" max="6647" width="9.140625" style="357"/>
    <col min="6648" max="6648" width="9" style="357" customWidth="1"/>
    <col min="6649" max="6649" width="9.140625" style="357"/>
    <col min="6650" max="6650" width="9.7109375" style="357" customWidth="1"/>
    <col min="6651" max="6651" width="9" style="357" customWidth="1"/>
    <col min="6652" max="6652" width="10.7109375" style="357" customWidth="1"/>
    <col min="6653" max="6653" width="12.7109375" style="357" customWidth="1"/>
    <col min="6654" max="6654" width="1" style="357" customWidth="1"/>
    <col min="6655" max="6655" width="12.7109375" style="357" customWidth="1"/>
    <col min="6656" max="6656" width="1" style="357" customWidth="1"/>
    <col min="6657" max="6657" width="12.7109375" style="357" customWidth="1"/>
    <col min="6658" max="6658" width="1" style="357" customWidth="1"/>
    <col min="6659" max="6659" width="12.7109375" style="357" customWidth="1"/>
    <col min="6660" max="6903" width="9.140625" style="357"/>
    <col min="6904" max="6904" width="9" style="357" customWidth="1"/>
    <col min="6905" max="6905" width="9.140625" style="357"/>
    <col min="6906" max="6906" width="9.7109375" style="357" customWidth="1"/>
    <col min="6907" max="6907" width="9" style="357" customWidth="1"/>
    <col min="6908" max="6908" width="10.7109375" style="357" customWidth="1"/>
    <col min="6909" max="6909" width="12.7109375" style="357" customWidth="1"/>
    <col min="6910" max="6910" width="1" style="357" customWidth="1"/>
    <col min="6911" max="6911" width="12.7109375" style="357" customWidth="1"/>
    <col min="6912" max="6912" width="1" style="357" customWidth="1"/>
    <col min="6913" max="6913" width="12.7109375" style="357" customWidth="1"/>
    <col min="6914" max="6914" width="1" style="357" customWidth="1"/>
    <col min="6915" max="6915" width="12.7109375" style="357" customWidth="1"/>
    <col min="6916" max="7159" width="9.140625" style="357"/>
    <col min="7160" max="7160" width="9" style="357" customWidth="1"/>
    <col min="7161" max="7161" width="9.140625" style="357"/>
    <col min="7162" max="7162" width="9.7109375" style="357" customWidth="1"/>
    <col min="7163" max="7163" width="9" style="357" customWidth="1"/>
    <col min="7164" max="7164" width="10.7109375" style="357" customWidth="1"/>
    <col min="7165" max="7165" width="12.7109375" style="357" customWidth="1"/>
    <col min="7166" max="7166" width="1" style="357" customWidth="1"/>
    <col min="7167" max="7167" width="12.7109375" style="357" customWidth="1"/>
    <col min="7168" max="7168" width="1" style="357" customWidth="1"/>
    <col min="7169" max="7169" width="12.7109375" style="357" customWidth="1"/>
    <col min="7170" max="7170" width="1" style="357" customWidth="1"/>
    <col min="7171" max="7171" width="12.7109375" style="357" customWidth="1"/>
    <col min="7172" max="7415" width="9.140625" style="357"/>
    <col min="7416" max="7416" width="9" style="357" customWidth="1"/>
    <col min="7417" max="7417" width="9.140625" style="357"/>
    <col min="7418" max="7418" width="9.7109375" style="357" customWidth="1"/>
    <col min="7419" max="7419" width="9" style="357" customWidth="1"/>
    <col min="7420" max="7420" width="10.7109375" style="357" customWidth="1"/>
    <col min="7421" max="7421" width="12.7109375" style="357" customWidth="1"/>
    <col min="7422" max="7422" width="1" style="357" customWidth="1"/>
    <col min="7423" max="7423" width="12.7109375" style="357" customWidth="1"/>
    <col min="7424" max="7424" width="1" style="357" customWidth="1"/>
    <col min="7425" max="7425" width="12.7109375" style="357" customWidth="1"/>
    <col min="7426" max="7426" width="1" style="357" customWidth="1"/>
    <col min="7427" max="7427" width="12.7109375" style="357" customWidth="1"/>
    <col min="7428" max="7671" width="9.140625" style="357"/>
    <col min="7672" max="7672" width="9" style="357" customWidth="1"/>
    <col min="7673" max="7673" width="9.140625" style="357"/>
    <col min="7674" max="7674" width="9.7109375" style="357" customWidth="1"/>
    <col min="7675" max="7675" width="9" style="357" customWidth="1"/>
    <col min="7676" max="7676" width="10.7109375" style="357" customWidth="1"/>
    <col min="7677" max="7677" width="12.7109375" style="357" customWidth="1"/>
    <col min="7678" max="7678" width="1" style="357" customWidth="1"/>
    <col min="7679" max="7679" width="12.7109375" style="357" customWidth="1"/>
    <col min="7680" max="7680" width="1" style="357" customWidth="1"/>
    <col min="7681" max="7681" width="12.7109375" style="357" customWidth="1"/>
    <col min="7682" max="7682" width="1" style="357" customWidth="1"/>
    <col min="7683" max="7683" width="12.7109375" style="357" customWidth="1"/>
    <col min="7684" max="7927" width="9.140625" style="357"/>
    <col min="7928" max="7928" width="9" style="357" customWidth="1"/>
    <col min="7929" max="7929" width="9.140625" style="357"/>
    <col min="7930" max="7930" width="9.7109375" style="357" customWidth="1"/>
    <col min="7931" max="7931" width="9" style="357" customWidth="1"/>
    <col min="7932" max="7932" width="10.7109375" style="357" customWidth="1"/>
    <col min="7933" max="7933" width="12.7109375" style="357" customWidth="1"/>
    <col min="7934" max="7934" width="1" style="357" customWidth="1"/>
    <col min="7935" max="7935" width="12.7109375" style="357" customWidth="1"/>
    <col min="7936" max="7936" width="1" style="357" customWidth="1"/>
    <col min="7937" max="7937" width="12.7109375" style="357" customWidth="1"/>
    <col min="7938" max="7938" width="1" style="357" customWidth="1"/>
    <col min="7939" max="7939" width="12.7109375" style="357" customWidth="1"/>
    <col min="7940" max="8183" width="9.140625" style="357"/>
    <col min="8184" max="8184" width="9" style="357" customWidth="1"/>
    <col min="8185" max="8185" width="9.140625" style="357"/>
    <col min="8186" max="8186" width="9.7109375" style="357" customWidth="1"/>
    <col min="8187" max="8187" width="9" style="357" customWidth="1"/>
    <col min="8188" max="8188" width="10.7109375" style="357" customWidth="1"/>
    <col min="8189" max="8189" width="12.7109375" style="357" customWidth="1"/>
    <col min="8190" max="8190" width="1" style="357" customWidth="1"/>
    <col min="8191" max="8191" width="12.7109375" style="357" customWidth="1"/>
    <col min="8192" max="8192" width="1" style="357" customWidth="1"/>
    <col min="8193" max="8193" width="12.7109375" style="357" customWidth="1"/>
    <col min="8194" max="8194" width="1" style="357" customWidth="1"/>
    <col min="8195" max="8195" width="12.7109375" style="357" customWidth="1"/>
    <col min="8196" max="8439" width="9.140625" style="357"/>
    <col min="8440" max="8440" width="9" style="357" customWidth="1"/>
    <col min="8441" max="8441" width="9.140625" style="357"/>
    <col min="8442" max="8442" width="9.7109375" style="357" customWidth="1"/>
    <col min="8443" max="8443" width="9" style="357" customWidth="1"/>
    <col min="8444" max="8444" width="10.7109375" style="357" customWidth="1"/>
    <col min="8445" max="8445" width="12.7109375" style="357" customWidth="1"/>
    <col min="8446" max="8446" width="1" style="357" customWidth="1"/>
    <col min="8447" max="8447" width="12.7109375" style="357" customWidth="1"/>
    <col min="8448" max="8448" width="1" style="357" customWidth="1"/>
    <col min="8449" max="8449" width="12.7109375" style="357" customWidth="1"/>
    <col min="8450" max="8450" width="1" style="357" customWidth="1"/>
    <col min="8451" max="8451" width="12.7109375" style="357" customWidth="1"/>
    <col min="8452" max="8695" width="9.140625" style="357"/>
    <col min="8696" max="8696" width="9" style="357" customWidth="1"/>
    <col min="8697" max="8697" width="9.140625" style="357"/>
    <col min="8698" max="8698" width="9.7109375" style="357" customWidth="1"/>
    <col min="8699" max="8699" width="9" style="357" customWidth="1"/>
    <col min="8700" max="8700" width="10.7109375" style="357" customWidth="1"/>
    <col min="8701" max="8701" width="12.7109375" style="357" customWidth="1"/>
    <col min="8702" max="8702" width="1" style="357" customWidth="1"/>
    <col min="8703" max="8703" width="12.7109375" style="357" customWidth="1"/>
    <col min="8704" max="8704" width="1" style="357" customWidth="1"/>
    <col min="8705" max="8705" width="12.7109375" style="357" customWidth="1"/>
    <col min="8706" max="8706" width="1" style="357" customWidth="1"/>
    <col min="8707" max="8707" width="12.7109375" style="357" customWidth="1"/>
    <col min="8708" max="8951" width="9.140625" style="357"/>
    <col min="8952" max="8952" width="9" style="357" customWidth="1"/>
    <col min="8953" max="8953" width="9.140625" style="357"/>
    <col min="8954" max="8954" width="9.7109375" style="357" customWidth="1"/>
    <col min="8955" max="8955" width="9" style="357" customWidth="1"/>
    <col min="8956" max="8956" width="10.7109375" style="357" customWidth="1"/>
    <col min="8957" max="8957" width="12.7109375" style="357" customWidth="1"/>
    <col min="8958" max="8958" width="1" style="357" customWidth="1"/>
    <col min="8959" max="8959" width="12.7109375" style="357" customWidth="1"/>
    <col min="8960" max="8960" width="1" style="357" customWidth="1"/>
    <col min="8961" max="8961" width="12.7109375" style="357" customWidth="1"/>
    <col min="8962" max="8962" width="1" style="357" customWidth="1"/>
    <col min="8963" max="8963" width="12.7109375" style="357" customWidth="1"/>
    <col min="8964" max="9207" width="9.140625" style="357"/>
    <col min="9208" max="9208" width="9" style="357" customWidth="1"/>
    <col min="9209" max="9209" width="9.140625" style="357"/>
    <col min="9210" max="9210" width="9.7109375" style="357" customWidth="1"/>
    <col min="9211" max="9211" width="9" style="357" customWidth="1"/>
    <col min="9212" max="9212" width="10.7109375" style="357" customWidth="1"/>
    <col min="9213" max="9213" width="12.7109375" style="357" customWidth="1"/>
    <col min="9214" max="9214" width="1" style="357" customWidth="1"/>
    <col min="9215" max="9215" width="12.7109375" style="357" customWidth="1"/>
    <col min="9216" max="9216" width="1" style="357" customWidth="1"/>
    <col min="9217" max="9217" width="12.7109375" style="357" customWidth="1"/>
    <col min="9218" max="9218" width="1" style="357" customWidth="1"/>
    <col min="9219" max="9219" width="12.7109375" style="357" customWidth="1"/>
    <col min="9220" max="9463" width="9.140625" style="357"/>
    <col min="9464" max="9464" width="9" style="357" customWidth="1"/>
    <col min="9465" max="9465" width="9.140625" style="357"/>
    <col min="9466" max="9466" width="9.7109375" style="357" customWidth="1"/>
    <col min="9467" max="9467" width="9" style="357" customWidth="1"/>
    <col min="9468" max="9468" width="10.7109375" style="357" customWidth="1"/>
    <col min="9469" max="9469" width="12.7109375" style="357" customWidth="1"/>
    <col min="9470" max="9470" width="1" style="357" customWidth="1"/>
    <col min="9471" max="9471" width="12.7109375" style="357" customWidth="1"/>
    <col min="9472" max="9472" width="1" style="357" customWidth="1"/>
    <col min="9473" max="9473" width="12.7109375" style="357" customWidth="1"/>
    <col min="9474" max="9474" width="1" style="357" customWidth="1"/>
    <col min="9475" max="9475" width="12.7109375" style="357" customWidth="1"/>
    <col min="9476" max="9719" width="9.140625" style="357"/>
    <col min="9720" max="9720" width="9" style="357" customWidth="1"/>
    <col min="9721" max="9721" width="9.140625" style="357"/>
    <col min="9722" max="9722" width="9.7109375" style="357" customWidth="1"/>
    <col min="9723" max="9723" width="9" style="357" customWidth="1"/>
    <col min="9724" max="9724" width="10.7109375" style="357" customWidth="1"/>
    <col min="9725" max="9725" width="12.7109375" style="357" customWidth="1"/>
    <col min="9726" max="9726" width="1" style="357" customWidth="1"/>
    <col min="9727" max="9727" width="12.7109375" style="357" customWidth="1"/>
    <col min="9728" max="9728" width="1" style="357" customWidth="1"/>
    <col min="9729" max="9729" width="12.7109375" style="357" customWidth="1"/>
    <col min="9730" max="9730" width="1" style="357" customWidth="1"/>
    <col min="9731" max="9731" width="12.7109375" style="357" customWidth="1"/>
    <col min="9732" max="9975" width="9.140625" style="357"/>
    <col min="9976" max="9976" width="9" style="357" customWidth="1"/>
    <col min="9977" max="9977" width="9.140625" style="357"/>
    <col min="9978" max="9978" width="9.7109375" style="357" customWidth="1"/>
    <col min="9979" max="9979" width="9" style="357" customWidth="1"/>
    <col min="9980" max="9980" width="10.7109375" style="357" customWidth="1"/>
    <col min="9981" max="9981" width="12.7109375" style="357" customWidth="1"/>
    <col min="9982" max="9982" width="1" style="357" customWidth="1"/>
    <col min="9983" max="9983" width="12.7109375" style="357" customWidth="1"/>
    <col min="9984" max="9984" width="1" style="357" customWidth="1"/>
    <col min="9985" max="9985" width="12.7109375" style="357" customWidth="1"/>
    <col min="9986" max="9986" width="1" style="357" customWidth="1"/>
    <col min="9987" max="9987" width="12.7109375" style="357" customWidth="1"/>
    <col min="9988" max="10231" width="9.140625" style="357"/>
    <col min="10232" max="10232" width="9" style="357" customWidth="1"/>
    <col min="10233" max="10233" width="9.140625" style="357"/>
    <col min="10234" max="10234" width="9.7109375" style="357" customWidth="1"/>
    <col min="10235" max="10235" width="9" style="357" customWidth="1"/>
    <col min="10236" max="10236" width="10.7109375" style="357" customWidth="1"/>
    <col min="10237" max="10237" width="12.7109375" style="357" customWidth="1"/>
    <col min="10238" max="10238" width="1" style="357" customWidth="1"/>
    <col min="10239" max="10239" width="12.7109375" style="357" customWidth="1"/>
    <col min="10240" max="10240" width="1" style="357" customWidth="1"/>
    <col min="10241" max="10241" width="12.7109375" style="357" customWidth="1"/>
    <col min="10242" max="10242" width="1" style="357" customWidth="1"/>
    <col min="10243" max="10243" width="12.7109375" style="357" customWidth="1"/>
    <col min="10244" max="10487" width="9.140625" style="357"/>
    <col min="10488" max="10488" width="9" style="357" customWidth="1"/>
    <col min="10489" max="10489" width="9.140625" style="357"/>
    <col min="10490" max="10490" width="9.7109375" style="357" customWidth="1"/>
    <col min="10491" max="10491" width="9" style="357" customWidth="1"/>
    <col min="10492" max="10492" width="10.7109375" style="357" customWidth="1"/>
    <col min="10493" max="10493" width="12.7109375" style="357" customWidth="1"/>
    <col min="10494" max="10494" width="1" style="357" customWidth="1"/>
    <col min="10495" max="10495" width="12.7109375" style="357" customWidth="1"/>
    <col min="10496" max="10496" width="1" style="357" customWidth="1"/>
    <col min="10497" max="10497" width="12.7109375" style="357" customWidth="1"/>
    <col min="10498" max="10498" width="1" style="357" customWidth="1"/>
    <col min="10499" max="10499" width="12.7109375" style="357" customWidth="1"/>
    <col min="10500" max="10743" width="9.140625" style="357"/>
    <col min="10744" max="10744" width="9" style="357" customWidth="1"/>
    <col min="10745" max="10745" width="9.140625" style="357"/>
    <col min="10746" max="10746" width="9.7109375" style="357" customWidth="1"/>
    <col min="10747" max="10747" width="9" style="357" customWidth="1"/>
    <col min="10748" max="10748" width="10.7109375" style="357" customWidth="1"/>
    <col min="10749" max="10749" width="12.7109375" style="357" customWidth="1"/>
    <col min="10750" max="10750" width="1" style="357" customWidth="1"/>
    <col min="10751" max="10751" width="12.7109375" style="357" customWidth="1"/>
    <col min="10752" max="10752" width="1" style="357" customWidth="1"/>
    <col min="10753" max="10753" width="12.7109375" style="357" customWidth="1"/>
    <col min="10754" max="10754" width="1" style="357" customWidth="1"/>
    <col min="10755" max="10755" width="12.7109375" style="357" customWidth="1"/>
    <col min="10756" max="10999" width="9.140625" style="357"/>
    <col min="11000" max="11000" width="9" style="357" customWidth="1"/>
    <col min="11001" max="11001" width="9.140625" style="357"/>
    <col min="11002" max="11002" width="9.7109375" style="357" customWidth="1"/>
    <col min="11003" max="11003" width="9" style="357" customWidth="1"/>
    <col min="11004" max="11004" width="10.7109375" style="357" customWidth="1"/>
    <col min="11005" max="11005" width="12.7109375" style="357" customWidth="1"/>
    <col min="11006" max="11006" width="1" style="357" customWidth="1"/>
    <col min="11007" max="11007" width="12.7109375" style="357" customWidth="1"/>
    <col min="11008" max="11008" width="1" style="357" customWidth="1"/>
    <col min="11009" max="11009" width="12.7109375" style="357" customWidth="1"/>
    <col min="11010" max="11010" width="1" style="357" customWidth="1"/>
    <col min="11011" max="11011" width="12.7109375" style="357" customWidth="1"/>
    <col min="11012" max="11255" width="9.140625" style="357"/>
    <col min="11256" max="11256" width="9" style="357" customWidth="1"/>
    <col min="11257" max="11257" width="9.140625" style="357"/>
    <col min="11258" max="11258" width="9.7109375" style="357" customWidth="1"/>
    <col min="11259" max="11259" width="9" style="357" customWidth="1"/>
    <col min="11260" max="11260" width="10.7109375" style="357" customWidth="1"/>
    <col min="11261" max="11261" width="12.7109375" style="357" customWidth="1"/>
    <col min="11262" max="11262" width="1" style="357" customWidth="1"/>
    <col min="11263" max="11263" width="12.7109375" style="357" customWidth="1"/>
    <col min="11264" max="11264" width="1" style="357" customWidth="1"/>
    <col min="11265" max="11265" width="12.7109375" style="357" customWidth="1"/>
    <col min="11266" max="11266" width="1" style="357" customWidth="1"/>
    <col min="11267" max="11267" width="12.7109375" style="357" customWidth="1"/>
    <col min="11268" max="11511" width="9.140625" style="357"/>
    <col min="11512" max="11512" width="9" style="357" customWidth="1"/>
    <col min="11513" max="11513" width="9.140625" style="357"/>
    <col min="11514" max="11514" width="9.7109375" style="357" customWidth="1"/>
    <col min="11515" max="11515" width="9" style="357" customWidth="1"/>
    <col min="11516" max="11516" width="10.7109375" style="357" customWidth="1"/>
    <col min="11517" max="11517" width="12.7109375" style="357" customWidth="1"/>
    <col min="11518" max="11518" width="1" style="357" customWidth="1"/>
    <col min="11519" max="11519" width="12.7109375" style="357" customWidth="1"/>
    <col min="11520" max="11520" width="1" style="357" customWidth="1"/>
    <col min="11521" max="11521" width="12.7109375" style="357" customWidth="1"/>
    <col min="11522" max="11522" width="1" style="357" customWidth="1"/>
    <col min="11523" max="11523" width="12.7109375" style="357" customWidth="1"/>
    <col min="11524" max="11767" width="9.140625" style="357"/>
    <col min="11768" max="11768" width="9" style="357" customWidth="1"/>
    <col min="11769" max="11769" width="9.140625" style="357"/>
    <col min="11770" max="11770" width="9.7109375" style="357" customWidth="1"/>
    <col min="11771" max="11771" width="9" style="357" customWidth="1"/>
    <col min="11772" max="11772" width="10.7109375" style="357" customWidth="1"/>
    <col min="11773" max="11773" width="12.7109375" style="357" customWidth="1"/>
    <col min="11774" max="11774" width="1" style="357" customWidth="1"/>
    <col min="11775" max="11775" width="12.7109375" style="357" customWidth="1"/>
    <col min="11776" max="11776" width="1" style="357" customWidth="1"/>
    <col min="11777" max="11777" width="12.7109375" style="357" customWidth="1"/>
    <col min="11778" max="11778" width="1" style="357" customWidth="1"/>
    <col min="11779" max="11779" width="12.7109375" style="357" customWidth="1"/>
    <col min="11780" max="12023" width="9.140625" style="357"/>
    <col min="12024" max="12024" width="9" style="357" customWidth="1"/>
    <col min="12025" max="12025" width="9.140625" style="357"/>
    <col min="12026" max="12026" width="9.7109375" style="357" customWidth="1"/>
    <col min="12027" max="12027" width="9" style="357" customWidth="1"/>
    <col min="12028" max="12028" width="10.7109375" style="357" customWidth="1"/>
    <col min="12029" max="12029" width="12.7109375" style="357" customWidth="1"/>
    <col min="12030" max="12030" width="1" style="357" customWidth="1"/>
    <col min="12031" max="12031" width="12.7109375" style="357" customWidth="1"/>
    <col min="12032" max="12032" width="1" style="357" customWidth="1"/>
    <col min="12033" max="12033" width="12.7109375" style="357" customWidth="1"/>
    <col min="12034" max="12034" width="1" style="357" customWidth="1"/>
    <col min="12035" max="12035" width="12.7109375" style="357" customWidth="1"/>
    <col min="12036" max="12279" width="9.140625" style="357"/>
    <col min="12280" max="12280" width="9" style="357" customWidth="1"/>
    <col min="12281" max="12281" width="9.140625" style="357"/>
    <col min="12282" max="12282" width="9.7109375" style="357" customWidth="1"/>
    <col min="12283" max="12283" width="9" style="357" customWidth="1"/>
    <col min="12284" max="12284" width="10.7109375" style="357" customWidth="1"/>
    <col min="12285" max="12285" width="12.7109375" style="357" customWidth="1"/>
    <col min="12286" max="12286" width="1" style="357" customWidth="1"/>
    <col min="12287" max="12287" width="12.7109375" style="357" customWidth="1"/>
    <col min="12288" max="12288" width="1" style="357" customWidth="1"/>
    <col min="12289" max="12289" width="12.7109375" style="357" customWidth="1"/>
    <col min="12290" max="12290" width="1" style="357" customWidth="1"/>
    <col min="12291" max="12291" width="12.7109375" style="357" customWidth="1"/>
    <col min="12292" max="12535" width="9.140625" style="357"/>
    <col min="12536" max="12536" width="9" style="357" customWidth="1"/>
    <col min="12537" max="12537" width="9.140625" style="357"/>
    <col min="12538" max="12538" width="9.7109375" style="357" customWidth="1"/>
    <col min="12539" max="12539" width="9" style="357" customWidth="1"/>
    <col min="12540" max="12540" width="10.7109375" style="357" customWidth="1"/>
    <col min="12541" max="12541" width="12.7109375" style="357" customWidth="1"/>
    <col min="12542" max="12542" width="1" style="357" customWidth="1"/>
    <col min="12543" max="12543" width="12.7109375" style="357" customWidth="1"/>
    <col min="12544" max="12544" width="1" style="357" customWidth="1"/>
    <col min="12545" max="12545" width="12.7109375" style="357" customWidth="1"/>
    <col min="12546" max="12546" width="1" style="357" customWidth="1"/>
    <col min="12547" max="12547" width="12.7109375" style="357" customWidth="1"/>
    <col min="12548" max="12791" width="9.140625" style="357"/>
    <col min="12792" max="12792" width="9" style="357" customWidth="1"/>
    <col min="12793" max="12793" width="9.140625" style="357"/>
    <col min="12794" max="12794" width="9.7109375" style="357" customWidth="1"/>
    <col min="12795" max="12795" width="9" style="357" customWidth="1"/>
    <col min="12796" max="12796" width="10.7109375" style="357" customWidth="1"/>
    <col min="12797" max="12797" width="12.7109375" style="357" customWidth="1"/>
    <col min="12798" max="12798" width="1" style="357" customWidth="1"/>
    <col min="12799" max="12799" width="12.7109375" style="357" customWidth="1"/>
    <col min="12800" max="12800" width="1" style="357" customWidth="1"/>
    <col min="12801" max="12801" width="12.7109375" style="357" customWidth="1"/>
    <col min="12802" max="12802" width="1" style="357" customWidth="1"/>
    <col min="12803" max="12803" width="12.7109375" style="357" customWidth="1"/>
    <col min="12804" max="13047" width="9.140625" style="357"/>
    <col min="13048" max="13048" width="9" style="357" customWidth="1"/>
    <col min="13049" max="13049" width="9.140625" style="357"/>
    <col min="13050" max="13050" width="9.7109375" style="357" customWidth="1"/>
    <col min="13051" max="13051" width="9" style="357" customWidth="1"/>
    <col min="13052" max="13052" width="10.7109375" style="357" customWidth="1"/>
    <col min="13053" max="13053" width="12.7109375" style="357" customWidth="1"/>
    <col min="13054" max="13054" width="1" style="357" customWidth="1"/>
    <col min="13055" max="13055" width="12.7109375" style="357" customWidth="1"/>
    <col min="13056" max="13056" width="1" style="357" customWidth="1"/>
    <col min="13057" max="13057" width="12.7109375" style="357" customWidth="1"/>
    <col min="13058" max="13058" width="1" style="357" customWidth="1"/>
    <col min="13059" max="13059" width="12.7109375" style="357" customWidth="1"/>
    <col min="13060" max="13303" width="9.140625" style="357"/>
    <col min="13304" max="13304" width="9" style="357" customWidth="1"/>
    <col min="13305" max="13305" width="9.140625" style="357"/>
    <col min="13306" max="13306" width="9.7109375" style="357" customWidth="1"/>
    <col min="13307" max="13307" width="9" style="357" customWidth="1"/>
    <col min="13308" max="13308" width="10.7109375" style="357" customWidth="1"/>
    <col min="13309" max="13309" width="12.7109375" style="357" customWidth="1"/>
    <col min="13310" max="13310" width="1" style="357" customWidth="1"/>
    <col min="13311" max="13311" width="12.7109375" style="357" customWidth="1"/>
    <col min="13312" max="13312" width="1" style="357" customWidth="1"/>
    <col min="13313" max="13313" width="12.7109375" style="357" customWidth="1"/>
    <col min="13314" max="13314" width="1" style="357" customWidth="1"/>
    <col min="13315" max="13315" width="12.7109375" style="357" customWidth="1"/>
    <col min="13316" max="13559" width="9.140625" style="357"/>
    <col min="13560" max="13560" width="9" style="357" customWidth="1"/>
    <col min="13561" max="13561" width="9.140625" style="357"/>
    <col min="13562" max="13562" width="9.7109375" style="357" customWidth="1"/>
    <col min="13563" max="13563" width="9" style="357" customWidth="1"/>
    <col min="13564" max="13564" width="10.7109375" style="357" customWidth="1"/>
    <col min="13565" max="13565" width="12.7109375" style="357" customWidth="1"/>
    <col min="13566" max="13566" width="1" style="357" customWidth="1"/>
    <col min="13567" max="13567" width="12.7109375" style="357" customWidth="1"/>
    <col min="13568" max="13568" width="1" style="357" customWidth="1"/>
    <col min="13569" max="13569" width="12.7109375" style="357" customWidth="1"/>
    <col min="13570" max="13570" width="1" style="357" customWidth="1"/>
    <col min="13571" max="13571" width="12.7109375" style="357" customWidth="1"/>
    <col min="13572" max="13815" width="9.140625" style="357"/>
    <col min="13816" max="13816" width="9" style="357" customWidth="1"/>
    <col min="13817" max="13817" width="9.140625" style="357"/>
    <col min="13818" max="13818" width="9.7109375" style="357" customWidth="1"/>
    <col min="13819" max="13819" width="9" style="357" customWidth="1"/>
    <col min="13820" max="13820" width="10.7109375" style="357" customWidth="1"/>
    <col min="13821" max="13821" width="12.7109375" style="357" customWidth="1"/>
    <col min="13822" max="13822" width="1" style="357" customWidth="1"/>
    <col min="13823" max="13823" width="12.7109375" style="357" customWidth="1"/>
    <col min="13824" max="13824" width="1" style="357" customWidth="1"/>
    <col min="13825" max="13825" width="12.7109375" style="357" customWidth="1"/>
    <col min="13826" max="13826" width="1" style="357" customWidth="1"/>
    <col min="13827" max="13827" width="12.7109375" style="357" customWidth="1"/>
    <col min="13828" max="14071" width="9.140625" style="357"/>
    <col min="14072" max="14072" width="9" style="357" customWidth="1"/>
    <col min="14073" max="14073" width="9.140625" style="357"/>
    <col min="14074" max="14074" width="9.7109375" style="357" customWidth="1"/>
    <col min="14075" max="14075" width="9" style="357" customWidth="1"/>
    <col min="14076" max="14076" width="10.7109375" style="357" customWidth="1"/>
    <col min="14077" max="14077" width="12.7109375" style="357" customWidth="1"/>
    <col min="14078" max="14078" width="1" style="357" customWidth="1"/>
    <col min="14079" max="14079" width="12.7109375" style="357" customWidth="1"/>
    <col min="14080" max="14080" width="1" style="357" customWidth="1"/>
    <col min="14081" max="14081" width="12.7109375" style="357" customWidth="1"/>
    <col min="14082" max="14082" width="1" style="357" customWidth="1"/>
    <col min="14083" max="14083" width="12.7109375" style="357" customWidth="1"/>
    <col min="14084" max="14327" width="9.140625" style="357"/>
    <col min="14328" max="14328" width="9" style="357" customWidth="1"/>
    <col min="14329" max="14329" width="9.140625" style="357"/>
    <col min="14330" max="14330" width="9.7109375" style="357" customWidth="1"/>
    <col min="14331" max="14331" width="9" style="357" customWidth="1"/>
    <col min="14332" max="14332" width="10.7109375" style="357" customWidth="1"/>
    <col min="14333" max="14333" width="12.7109375" style="357" customWidth="1"/>
    <col min="14334" max="14334" width="1" style="357" customWidth="1"/>
    <col min="14335" max="14335" width="12.7109375" style="357" customWidth="1"/>
    <col min="14336" max="14336" width="1" style="357" customWidth="1"/>
    <col min="14337" max="14337" width="12.7109375" style="357" customWidth="1"/>
    <col min="14338" max="14338" width="1" style="357" customWidth="1"/>
    <col min="14339" max="14339" width="12.7109375" style="357" customWidth="1"/>
    <col min="14340" max="14583" width="9.140625" style="357"/>
    <col min="14584" max="14584" width="9" style="357" customWidth="1"/>
    <col min="14585" max="14585" width="9.140625" style="357"/>
    <col min="14586" max="14586" width="9.7109375" style="357" customWidth="1"/>
    <col min="14587" max="14587" width="9" style="357" customWidth="1"/>
    <col min="14588" max="14588" width="10.7109375" style="357" customWidth="1"/>
    <col min="14589" max="14589" width="12.7109375" style="357" customWidth="1"/>
    <col min="14590" max="14590" width="1" style="357" customWidth="1"/>
    <col min="14591" max="14591" width="12.7109375" style="357" customWidth="1"/>
    <col min="14592" max="14592" width="1" style="357" customWidth="1"/>
    <col min="14593" max="14593" width="12.7109375" style="357" customWidth="1"/>
    <col min="14594" max="14594" width="1" style="357" customWidth="1"/>
    <col min="14595" max="14595" width="12.7109375" style="357" customWidth="1"/>
    <col min="14596" max="14839" width="9.140625" style="357"/>
    <col min="14840" max="14840" width="9" style="357" customWidth="1"/>
    <col min="14841" max="14841" width="9.140625" style="357"/>
    <col min="14842" max="14842" width="9.7109375" style="357" customWidth="1"/>
    <col min="14843" max="14843" width="9" style="357" customWidth="1"/>
    <col min="14844" max="14844" width="10.7109375" style="357" customWidth="1"/>
    <col min="14845" max="14845" width="12.7109375" style="357" customWidth="1"/>
    <col min="14846" max="14846" width="1" style="357" customWidth="1"/>
    <col min="14847" max="14847" width="12.7109375" style="357" customWidth="1"/>
    <col min="14848" max="14848" width="1" style="357" customWidth="1"/>
    <col min="14849" max="14849" width="12.7109375" style="357" customWidth="1"/>
    <col min="14850" max="14850" width="1" style="357" customWidth="1"/>
    <col min="14851" max="14851" width="12.7109375" style="357" customWidth="1"/>
    <col min="14852" max="15095" width="9.140625" style="357"/>
    <col min="15096" max="15096" width="9" style="357" customWidth="1"/>
    <col min="15097" max="15097" width="9.140625" style="357"/>
    <col min="15098" max="15098" width="9.7109375" style="357" customWidth="1"/>
    <col min="15099" max="15099" width="9" style="357" customWidth="1"/>
    <col min="15100" max="15100" width="10.7109375" style="357" customWidth="1"/>
    <col min="15101" max="15101" width="12.7109375" style="357" customWidth="1"/>
    <col min="15102" max="15102" width="1" style="357" customWidth="1"/>
    <col min="15103" max="15103" width="12.7109375" style="357" customWidth="1"/>
    <col min="15104" max="15104" width="1" style="357" customWidth="1"/>
    <col min="15105" max="15105" width="12.7109375" style="357" customWidth="1"/>
    <col min="15106" max="15106" width="1" style="357" customWidth="1"/>
    <col min="15107" max="15107" width="12.7109375" style="357" customWidth="1"/>
    <col min="15108" max="15351" width="9.140625" style="357"/>
    <col min="15352" max="15352" width="9" style="357" customWidth="1"/>
    <col min="15353" max="15353" width="9.140625" style="357"/>
    <col min="15354" max="15354" width="9.7109375" style="357" customWidth="1"/>
    <col min="15355" max="15355" width="9" style="357" customWidth="1"/>
    <col min="15356" max="15356" width="10.7109375" style="357" customWidth="1"/>
    <col min="15357" max="15357" width="12.7109375" style="357" customWidth="1"/>
    <col min="15358" max="15358" width="1" style="357" customWidth="1"/>
    <col min="15359" max="15359" width="12.7109375" style="357" customWidth="1"/>
    <col min="15360" max="15360" width="1" style="357" customWidth="1"/>
    <col min="15361" max="15361" width="12.7109375" style="357" customWidth="1"/>
    <col min="15362" max="15362" width="1" style="357" customWidth="1"/>
    <col min="15363" max="15363" width="12.7109375" style="357" customWidth="1"/>
    <col min="15364" max="15607" width="9.140625" style="357"/>
    <col min="15608" max="15608" width="9" style="357" customWidth="1"/>
    <col min="15609" max="15609" width="9.140625" style="357"/>
    <col min="15610" max="15610" width="9.7109375" style="357" customWidth="1"/>
    <col min="15611" max="15611" width="9" style="357" customWidth="1"/>
    <col min="15612" max="15612" width="10.7109375" style="357" customWidth="1"/>
    <col min="15613" max="15613" width="12.7109375" style="357" customWidth="1"/>
    <col min="15614" max="15614" width="1" style="357" customWidth="1"/>
    <col min="15615" max="15615" width="12.7109375" style="357" customWidth="1"/>
    <col min="15616" max="15616" width="1" style="357" customWidth="1"/>
    <col min="15617" max="15617" width="12.7109375" style="357" customWidth="1"/>
    <col min="15618" max="15618" width="1" style="357" customWidth="1"/>
    <col min="15619" max="15619" width="12.7109375" style="357" customWidth="1"/>
    <col min="15620" max="15863" width="9.140625" style="357"/>
    <col min="15864" max="15864" width="9" style="357" customWidth="1"/>
    <col min="15865" max="15865" width="9.140625" style="357"/>
    <col min="15866" max="15866" width="9.7109375" style="357" customWidth="1"/>
    <col min="15867" max="15867" width="9" style="357" customWidth="1"/>
    <col min="15868" max="15868" width="10.7109375" style="357" customWidth="1"/>
    <col min="15869" max="15869" width="12.7109375" style="357" customWidth="1"/>
    <col min="15870" max="15870" width="1" style="357" customWidth="1"/>
    <col min="15871" max="15871" width="12.7109375" style="357" customWidth="1"/>
    <col min="15872" max="15872" width="1" style="357" customWidth="1"/>
    <col min="15873" max="15873" width="12.7109375" style="357" customWidth="1"/>
    <col min="15874" max="15874" width="1" style="357" customWidth="1"/>
    <col min="15875" max="15875" width="12.7109375" style="357" customWidth="1"/>
    <col min="15876" max="16119" width="9.140625" style="357"/>
    <col min="16120" max="16120" width="9" style="357" customWidth="1"/>
    <col min="16121" max="16121" width="9.140625" style="357"/>
    <col min="16122" max="16122" width="9.7109375" style="357" customWidth="1"/>
    <col min="16123" max="16123" width="9" style="357" customWidth="1"/>
    <col min="16124" max="16124" width="10.7109375" style="357" customWidth="1"/>
    <col min="16125" max="16125" width="12.7109375" style="357" customWidth="1"/>
    <col min="16126" max="16126" width="1" style="357" customWidth="1"/>
    <col min="16127" max="16127" width="12.7109375" style="357" customWidth="1"/>
    <col min="16128" max="16128" width="1" style="357" customWidth="1"/>
    <col min="16129" max="16129" width="12.7109375" style="357" customWidth="1"/>
    <col min="16130" max="16130" width="1" style="357" customWidth="1"/>
    <col min="16131" max="16131" width="12.7109375" style="357" customWidth="1"/>
    <col min="16132" max="16384" width="9.140625" style="357"/>
  </cols>
  <sheetData>
    <row r="1" spans="1:21" ht="13.5" thickBot="1">
      <c r="A1" s="5" t="s">
        <v>30</v>
      </c>
    </row>
    <row r="2" spans="1:21" s="350" customFormat="1" ht="28.5" customHeight="1" thickTop="1" thickBot="1">
      <c r="A2" s="342" t="s">
        <v>1066</v>
      </c>
      <c r="B2" s="687" t="s">
        <v>1179</v>
      </c>
      <c r="C2" s="688"/>
      <c r="D2" s="343" t="s">
        <v>1067</v>
      </c>
      <c r="E2" s="344" t="str">
        <f>[0]!Survey_Period</f>
        <v>H2 2006</v>
      </c>
      <c r="F2" s="573" t="s">
        <v>57</v>
      </c>
      <c r="G2" s="573" t="s">
        <v>693</v>
      </c>
      <c r="H2" s="573" t="s">
        <v>24</v>
      </c>
      <c r="I2" s="573" t="s">
        <v>25</v>
      </c>
      <c r="J2" s="573" t="s">
        <v>26</v>
      </c>
      <c r="K2" s="573" t="s">
        <v>7</v>
      </c>
      <c r="L2" s="573" t="s">
        <v>541</v>
      </c>
      <c r="M2" s="573" t="s">
        <v>8</v>
      </c>
      <c r="N2" s="573" t="s">
        <v>9</v>
      </c>
      <c r="O2" s="573" t="s">
        <v>12</v>
      </c>
      <c r="P2" s="573" t="s">
        <v>10</v>
      </c>
      <c r="Q2" s="573" t="s">
        <v>1110</v>
      </c>
      <c r="R2" s="573" t="s">
        <v>1160</v>
      </c>
      <c r="S2" s="574" t="s">
        <v>11</v>
      </c>
    </row>
    <row r="3" spans="1:21" ht="17.25" thickTop="1" thickBot="1">
      <c r="A3" s="351" t="s">
        <v>1006</v>
      </c>
      <c r="B3" s="352"/>
      <c r="C3" s="352"/>
      <c r="D3" s="352"/>
      <c r="E3" s="352"/>
      <c r="F3" s="505">
        <v>3.8479099232786775</v>
      </c>
      <c r="G3" s="592" t="s">
        <v>1107</v>
      </c>
      <c r="H3" s="592" t="s">
        <v>1107</v>
      </c>
      <c r="I3" s="592" t="s">
        <v>1107</v>
      </c>
      <c r="J3" s="505">
        <v>4.4365079365079367</v>
      </c>
      <c r="K3" s="592" t="s">
        <v>1107</v>
      </c>
      <c r="L3" s="505">
        <v>3.8340388007054678</v>
      </c>
      <c r="M3" s="505">
        <v>3.8342679956973047</v>
      </c>
      <c r="N3" s="505">
        <v>3.7884278664341058</v>
      </c>
      <c r="O3" s="592" t="s">
        <v>1107</v>
      </c>
      <c r="P3" s="505">
        <v>3.9482052080091292</v>
      </c>
      <c r="Q3" s="592" t="s">
        <v>1107</v>
      </c>
      <c r="R3" s="505">
        <v>4.1575963718820859</v>
      </c>
      <c r="S3" s="593" t="s">
        <v>1107</v>
      </c>
      <c r="T3" s="357" t="s">
        <v>1174</v>
      </c>
      <c r="U3" s="5" t="s">
        <v>1164</v>
      </c>
    </row>
    <row r="4" spans="1:21">
      <c r="A4" s="575"/>
      <c r="B4" s="576"/>
      <c r="C4" s="576"/>
      <c r="D4" s="576"/>
      <c r="E4" s="577" t="s">
        <v>1015</v>
      </c>
      <c r="F4" s="578">
        <v>3.8806510937490661</v>
      </c>
      <c r="G4" s="578">
        <v>4.1269841269841274</v>
      </c>
      <c r="H4" s="578">
        <v>3.6403061224489797</v>
      </c>
      <c r="I4" s="578">
        <v>3.8174603174603172</v>
      </c>
      <c r="J4" s="578">
        <v>4.4285714285714288</v>
      </c>
      <c r="K4" s="578">
        <v>3.8061224489795924</v>
      </c>
      <c r="L4" s="578">
        <v>3.9285714285714284</v>
      </c>
      <c r="M4" s="578">
        <v>3.8128261831048209</v>
      </c>
      <c r="N4" s="578">
        <v>3.8063492063492066</v>
      </c>
      <c r="O4" s="578" t="s">
        <v>1107</v>
      </c>
      <c r="P4" s="578">
        <v>4.0079365079365079</v>
      </c>
      <c r="Q4" s="578">
        <v>4.1428571428571432</v>
      </c>
      <c r="R4" s="578">
        <v>4.1632653061224483</v>
      </c>
      <c r="S4" s="579">
        <v>3.8253968253968256</v>
      </c>
      <c r="U4" s="5" t="s">
        <v>1165</v>
      </c>
    </row>
    <row r="5" spans="1:21" ht="13.5" thickBot="1">
      <c r="A5" s="358"/>
      <c r="B5" s="359"/>
      <c r="C5" s="359"/>
      <c r="D5" s="359"/>
      <c r="E5" s="360" t="s">
        <v>1106</v>
      </c>
      <c r="F5" s="468">
        <v>3.8806510937490661</v>
      </c>
      <c r="G5" s="468">
        <v>4.1269841269841274</v>
      </c>
      <c r="H5" s="468">
        <v>3.6403061224489797</v>
      </c>
      <c r="I5" s="468">
        <v>3.8174603174603172</v>
      </c>
      <c r="J5" s="468">
        <v>4.4285714285714288</v>
      </c>
      <c r="K5" s="468">
        <v>3.8061224489795924</v>
      </c>
      <c r="L5" s="468">
        <v>3.9285714285714284</v>
      </c>
      <c r="M5" s="468">
        <v>3.8128261831048209</v>
      </c>
      <c r="N5" s="468">
        <v>3.8063492063492066</v>
      </c>
      <c r="O5" s="468" t="s">
        <v>1107</v>
      </c>
      <c r="P5" s="468">
        <v>4.0079365079365079</v>
      </c>
      <c r="Q5" s="468">
        <v>4.1428571428571432</v>
      </c>
      <c r="R5" s="468">
        <v>4.1632653061224483</v>
      </c>
      <c r="S5" s="510">
        <v>3.8253968253968256</v>
      </c>
      <c r="U5" s="5" t="s">
        <v>1141</v>
      </c>
    </row>
    <row r="6" spans="1:21">
      <c r="A6" s="358"/>
      <c r="B6" s="576"/>
      <c r="C6" s="576"/>
      <c r="D6" s="576"/>
      <c r="E6" s="577" t="s">
        <v>1020</v>
      </c>
      <c r="F6" s="580">
        <v>3.7011372841455752</v>
      </c>
      <c r="G6" s="580">
        <v>3.9833333333333338</v>
      </c>
      <c r="H6" s="580">
        <v>3.6220238095238089</v>
      </c>
      <c r="I6" s="580">
        <v>3.4375</v>
      </c>
      <c r="J6" s="580">
        <v>4.166666666666667</v>
      </c>
      <c r="K6" s="580">
        <v>3.5833333333333335</v>
      </c>
      <c r="L6" s="580">
        <v>3.7592592592592595</v>
      </c>
      <c r="M6" s="580">
        <v>3.5114063754156639</v>
      </c>
      <c r="N6" s="580">
        <v>3.6924338392432552</v>
      </c>
      <c r="O6" s="580" t="s">
        <v>1107</v>
      </c>
      <c r="P6" s="580">
        <v>3.7652505446623086</v>
      </c>
      <c r="Q6" s="580">
        <v>3.3333333333333335</v>
      </c>
      <c r="R6" s="580">
        <v>4.0952380952380958</v>
      </c>
      <c r="S6" s="579">
        <v>3.75</v>
      </c>
      <c r="U6" s="5" t="s">
        <v>1061</v>
      </c>
    </row>
    <row r="7" spans="1:21" ht="13.5" thickBot="1">
      <c r="A7" s="358"/>
      <c r="B7" s="359"/>
      <c r="C7" s="359"/>
      <c r="D7" s="359"/>
      <c r="E7" s="360" t="s">
        <v>1106</v>
      </c>
      <c r="F7" s="364">
        <v>3.7011372841455752</v>
      </c>
      <c r="G7" s="364">
        <v>3.9833333333333338</v>
      </c>
      <c r="H7" s="364">
        <v>3.6220238095238089</v>
      </c>
      <c r="I7" s="364">
        <v>3.4375</v>
      </c>
      <c r="J7" s="364">
        <v>4.166666666666667</v>
      </c>
      <c r="K7" s="364">
        <v>3.5833333333333335</v>
      </c>
      <c r="L7" s="364">
        <v>3.7592592592592595</v>
      </c>
      <c r="M7" s="364">
        <v>3.5114063754156639</v>
      </c>
      <c r="N7" s="364">
        <v>3.6924338392432552</v>
      </c>
      <c r="O7" s="364" t="s">
        <v>1107</v>
      </c>
      <c r="P7" s="364">
        <v>3.7652505446623086</v>
      </c>
      <c r="Q7" s="364">
        <v>3.3333333333333335</v>
      </c>
      <c r="R7" s="364">
        <v>4.0952380952380958</v>
      </c>
      <c r="S7" s="510">
        <v>3.75</v>
      </c>
      <c r="U7" s="5" t="s">
        <v>1142</v>
      </c>
    </row>
    <row r="8" spans="1:21">
      <c r="A8" s="358"/>
      <c r="B8" s="576"/>
      <c r="C8" s="576"/>
      <c r="D8" s="576"/>
      <c r="E8" s="577" t="s">
        <v>1025</v>
      </c>
      <c r="F8" s="578">
        <v>3.9619413919413913</v>
      </c>
      <c r="G8" s="578" t="s">
        <v>1107</v>
      </c>
      <c r="H8" s="578" t="s">
        <v>1107</v>
      </c>
      <c r="I8" s="578" t="s">
        <v>1107</v>
      </c>
      <c r="J8" s="578">
        <v>4.7142857142857144</v>
      </c>
      <c r="K8" s="578" t="s">
        <v>1107</v>
      </c>
      <c r="L8" s="578">
        <v>3.8142857142857145</v>
      </c>
      <c r="M8" s="578">
        <v>4.1785714285714288</v>
      </c>
      <c r="N8" s="578">
        <v>3.866500553709856</v>
      </c>
      <c r="O8" s="578" t="s">
        <v>1107</v>
      </c>
      <c r="P8" s="578">
        <v>4.0714285714285721</v>
      </c>
      <c r="Q8" s="578" t="s">
        <v>1107</v>
      </c>
      <c r="R8" s="578">
        <v>4.2142857142857144</v>
      </c>
      <c r="S8" s="579" t="s">
        <v>1107</v>
      </c>
      <c r="U8" s="5" t="s">
        <v>1166</v>
      </c>
    </row>
    <row r="9" spans="1:21" ht="13.5" thickBot="1">
      <c r="A9" s="367"/>
      <c r="B9" s="368"/>
      <c r="C9" s="368"/>
      <c r="D9" s="368"/>
      <c r="E9" s="369" t="s">
        <v>1106</v>
      </c>
      <c r="F9" s="469">
        <v>3.9619413919413913</v>
      </c>
      <c r="G9" s="469" t="s">
        <v>1107</v>
      </c>
      <c r="H9" s="469" t="s">
        <v>1107</v>
      </c>
      <c r="I9" s="469" t="s">
        <v>1107</v>
      </c>
      <c r="J9" s="469">
        <v>4.7142857142857144</v>
      </c>
      <c r="K9" s="469" t="s">
        <v>1107</v>
      </c>
      <c r="L9" s="469">
        <v>3.8142857142857145</v>
      </c>
      <c r="M9" s="469">
        <v>4.1785714285714288</v>
      </c>
      <c r="N9" s="469">
        <v>3.866500553709856</v>
      </c>
      <c r="O9" s="469" t="s">
        <v>1107</v>
      </c>
      <c r="P9" s="469">
        <v>4.0714285714285721</v>
      </c>
      <c r="Q9" s="469" t="s">
        <v>1107</v>
      </c>
      <c r="R9" s="469">
        <v>4.2142857142857144</v>
      </c>
      <c r="S9" s="512" t="s">
        <v>1107</v>
      </c>
      <c r="U9" s="5" t="s">
        <v>1167</v>
      </c>
    </row>
    <row r="10" spans="1:21" ht="17.25" thickTop="1" thickBot="1">
      <c r="A10" s="373" t="s">
        <v>1007</v>
      </c>
      <c r="B10" s="374"/>
      <c r="C10" s="374"/>
      <c r="D10" s="374"/>
      <c r="E10" s="374"/>
      <c r="F10" s="470">
        <v>4.4858405388775546</v>
      </c>
      <c r="G10" s="594" t="s">
        <v>1107</v>
      </c>
      <c r="H10" s="470">
        <v>4.5</v>
      </c>
      <c r="I10" s="594" t="s">
        <v>1107</v>
      </c>
      <c r="J10" s="470">
        <v>4.4733333333333327</v>
      </c>
      <c r="K10" s="594" t="s">
        <v>1107</v>
      </c>
      <c r="L10" s="470">
        <v>4.6288888888888886</v>
      </c>
      <c r="M10" s="470">
        <v>4.5549019607843135</v>
      </c>
      <c r="N10" s="470">
        <v>4.425845665961945</v>
      </c>
      <c r="O10" s="594" t="s">
        <v>1107</v>
      </c>
      <c r="P10" s="470">
        <v>3.3970588235294117</v>
      </c>
      <c r="Q10" s="594" t="s">
        <v>1107</v>
      </c>
      <c r="R10" s="470">
        <v>4.2928571428571427</v>
      </c>
      <c r="S10" s="513">
        <v>5</v>
      </c>
      <c r="U10" s="5" t="s">
        <v>1062</v>
      </c>
    </row>
    <row r="11" spans="1:21" ht="14.25" customHeight="1" thickBot="1">
      <c r="A11" s="581"/>
      <c r="B11" s="377"/>
      <c r="C11" s="377"/>
      <c r="D11" s="377"/>
      <c r="E11" s="378" t="s">
        <v>1072</v>
      </c>
      <c r="F11" s="379"/>
      <c r="G11" s="379"/>
      <c r="H11" s="379"/>
      <c r="I11" s="379"/>
      <c r="J11" s="379"/>
      <c r="K11" s="379"/>
      <c r="L11" s="379"/>
      <c r="M11" s="379"/>
      <c r="N11" s="379"/>
      <c r="O11" s="379"/>
      <c r="P11" s="379"/>
      <c r="Q11" s="379"/>
      <c r="R11" s="379"/>
      <c r="S11" s="382"/>
      <c r="U11" s="5" t="s">
        <v>1168</v>
      </c>
    </row>
    <row r="12" spans="1:21" ht="14.25" customHeight="1" thickBot="1">
      <c r="A12" s="383"/>
      <c r="B12" s="582"/>
      <c r="C12" s="582"/>
      <c r="D12" s="582"/>
      <c r="E12" s="583" t="s">
        <v>1073</v>
      </c>
      <c r="F12" s="487">
        <v>4.4858405388775546</v>
      </c>
      <c r="G12" s="487" t="s">
        <v>1107</v>
      </c>
      <c r="H12" s="487">
        <v>4.5</v>
      </c>
      <c r="I12" s="487" t="s">
        <v>1107</v>
      </c>
      <c r="J12" s="487">
        <v>4.4733333333333327</v>
      </c>
      <c r="K12" s="487" t="s">
        <v>1107</v>
      </c>
      <c r="L12" s="487">
        <v>4.6288888888888886</v>
      </c>
      <c r="M12" s="487">
        <v>4.5549019607843135</v>
      </c>
      <c r="N12" s="487">
        <v>4.425845665961945</v>
      </c>
      <c r="O12" s="487" t="s">
        <v>1107</v>
      </c>
      <c r="P12" s="487">
        <v>3.3970588235294117</v>
      </c>
      <c r="Q12" s="487" t="s">
        <v>1107</v>
      </c>
      <c r="R12" s="487">
        <v>4.2928571428571427</v>
      </c>
      <c r="S12" s="517">
        <v>5</v>
      </c>
      <c r="U12" s="5" t="s">
        <v>1063</v>
      </c>
    </row>
    <row r="13" spans="1:21">
      <c r="A13" s="383"/>
      <c r="B13" s="385"/>
      <c r="C13" s="385"/>
      <c r="D13" s="385"/>
      <c r="E13" s="386" t="s">
        <v>60</v>
      </c>
      <c r="F13" s="492">
        <v>1.0139668318243389</v>
      </c>
      <c r="G13" s="492" t="s">
        <v>1107</v>
      </c>
      <c r="H13" s="492">
        <v>0.9619976721428839</v>
      </c>
      <c r="I13" s="492" t="s">
        <v>1107</v>
      </c>
      <c r="J13" s="492">
        <v>0.98987499999999995</v>
      </c>
      <c r="K13" s="492" t="s">
        <v>1107</v>
      </c>
      <c r="L13" s="492">
        <v>0.99222437971440081</v>
      </c>
      <c r="M13" s="492">
        <v>1</v>
      </c>
      <c r="N13" s="492">
        <v>0.98824762711603897</v>
      </c>
      <c r="O13" s="492" t="s">
        <v>1107</v>
      </c>
      <c r="P13" s="492">
        <v>1.2048043031165956</v>
      </c>
      <c r="Q13" s="492" t="s">
        <v>1107</v>
      </c>
      <c r="R13" s="492">
        <v>0.97458567250479033</v>
      </c>
      <c r="S13" s="518">
        <v>1</v>
      </c>
      <c r="U13" s="5" t="s">
        <v>1169</v>
      </c>
    </row>
    <row r="14" spans="1:21" ht="13.5" thickBot="1">
      <c r="A14" s="383"/>
      <c r="B14" s="390"/>
      <c r="C14" s="390"/>
      <c r="D14" s="390"/>
      <c r="E14" s="391" t="s">
        <v>1106</v>
      </c>
      <c r="F14" s="364">
        <v>3.9716810777551088</v>
      </c>
      <c r="G14" s="364" t="s">
        <v>1107</v>
      </c>
      <c r="H14" s="364" t="s">
        <v>1107</v>
      </c>
      <c r="I14" s="364" t="s">
        <v>1107</v>
      </c>
      <c r="J14" s="364">
        <v>3.9466666666666663</v>
      </c>
      <c r="K14" s="364" t="s">
        <v>1107</v>
      </c>
      <c r="L14" s="364">
        <v>4.2577777777777772</v>
      </c>
      <c r="M14" s="364">
        <v>4.1098039215686271</v>
      </c>
      <c r="N14" s="364">
        <v>3.8516913319238903</v>
      </c>
      <c r="O14" s="364" t="s">
        <v>1107</v>
      </c>
      <c r="P14" s="364">
        <v>3.7941176470588234</v>
      </c>
      <c r="Q14" s="364" t="s">
        <v>1107</v>
      </c>
      <c r="R14" s="364">
        <v>4.0857142857142863</v>
      </c>
      <c r="S14" s="510" t="s">
        <v>1107</v>
      </c>
      <c r="U14" s="5" t="s">
        <v>439</v>
      </c>
    </row>
    <row r="15" spans="1:21" ht="14.25" customHeight="1" thickBot="1">
      <c r="A15" s="383"/>
      <c r="B15" s="385"/>
      <c r="C15" s="385"/>
      <c r="D15" s="385"/>
      <c r="E15" s="395" t="s">
        <v>1114</v>
      </c>
      <c r="F15" s="396"/>
      <c r="G15" s="396"/>
      <c r="H15" s="396"/>
      <c r="I15" s="396"/>
      <c r="J15" s="396"/>
      <c r="K15" s="396"/>
      <c r="L15" s="396"/>
      <c r="M15" s="396"/>
      <c r="N15" s="396"/>
      <c r="O15" s="396"/>
      <c r="P15" s="396"/>
      <c r="Q15" s="396"/>
      <c r="R15" s="396"/>
      <c r="S15" s="398"/>
      <c r="U15" s="5" t="s">
        <v>1170</v>
      </c>
    </row>
    <row r="16" spans="1:21" ht="14.25" customHeight="1">
      <c r="A16" s="383"/>
      <c r="B16" s="385"/>
      <c r="C16" s="385"/>
      <c r="D16" s="399"/>
      <c r="E16" s="386" t="s">
        <v>1101</v>
      </c>
      <c r="F16" s="400">
        <v>1.1499999999999999</v>
      </c>
      <c r="G16" s="400">
        <v>0</v>
      </c>
      <c r="H16" s="400">
        <v>3.53</v>
      </c>
      <c r="I16" s="400">
        <v>0</v>
      </c>
      <c r="J16" s="400">
        <v>0.53</v>
      </c>
      <c r="K16" s="400">
        <v>0</v>
      </c>
      <c r="L16" s="400">
        <v>1.67</v>
      </c>
      <c r="M16" s="400">
        <v>0.96</v>
      </c>
      <c r="N16" s="400">
        <v>0.95</v>
      </c>
      <c r="O16" s="400">
        <v>0</v>
      </c>
      <c r="P16" s="400">
        <v>0.91</v>
      </c>
      <c r="Q16" s="400">
        <v>0.91</v>
      </c>
      <c r="R16" s="400">
        <v>1.67</v>
      </c>
      <c r="S16" s="519">
        <v>0.31</v>
      </c>
      <c r="U16" s="5" t="s">
        <v>113</v>
      </c>
    </row>
    <row r="17" spans="1:21" ht="14.25" customHeight="1">
      <c r="A17" s="383"/>
      <c r="B17" s="385"/>
      <c r="C17" s="385"/>
      <c r="D17" s="399"/>
      <c r="E17" s="386" t="s">
        <v>1102</v>
      </c>
      <c r="F17" s="404">
        <v>1.1499999999999999</v>
      </c>
      <c r="G17" s="404">
        <v>0</v>
      </c>
      <c r="H17" s="404">
        <v>0</v>
      </c>
      <c r="I17" s="404">
        <v>0.73</v>
      </c>
      <c r="J17" s="404">
        <v>0</v>
      </c>
      <c r="K17" s="404">
        <v>0</v>
      </c>
      <c r="L17" s="404">
        <v>1.35</v>
      </c>
      <c r="M17" s="404">
        <v>0.92</v>
      </c>
      <c r="N17" s="404">
        <v>0.01</v>
      </c>
      <c r="O17" s="404">
        <v>0</v>
      </c>
      <c r="P17" s="404">
        <v>0</v>
      </c>
      <c r="Q17" s="404">
        <v>0</v>
      </c>
      <c r="R17" s="404">
        <v>1.35</v>
      </c>
      <c r="S17" s="520">
        <v>0.8</v>
      </c>
      <c r="U17" s="5" t="s">
        <v>59</v>
      </c>
    </row>
    <row r="18" spans="1:21" ht="14.25" customHeight="1">
      <c r="A18" s="383"/>
      <c r="B18" s="385"/>
      <c r="C18" s="385"/>
      <c r="D18" s="399"/>
      <c r="E18" s="386" t="s">
        <v>1103</v>
      </c>
      <c r="F18" s="404">
        <v>0.94</v>
      </c>
      <c r="G18" s="404">
        <v>0.28000000000000003</v>
      </c>
      <c r="H18" s="404">
        <v>0.35</v>
      </c>
      <c r="I18" s="404">
        <v>1.22</v>
      </c>
      <c r="J18" s="404">
        <v>0.83</v>
      </c>
      <c r="K18" s="404">
        <v>0</v>
      </c>
      <c r="L18" s="404">
        <v>2.06</v>
      </c>
      <c r="M18" s="404">
        <v>0.43</v>
      </c>
      <c r="N18" s="404">
        <v>0.95</v>
      </c>
      <c r="O18" s="404">
        <v>0</v>
      </c>
      <c r="P18" s="404">
        <v>0</v>
      </c>
      <c r="Q18" s="404">
        <v>0</v>
      </c>
      <c r="R18" s="404">
        <v>2.06</v>
      </c>
      <c r="S18" s="520">
        <v>1.33</v>
      </c>
      <c r="U18" s="5" t="s">
        <v>540</v>
      </c>
    </row>
    <row r="19" spans="1:21" ht="14.25" customHeight="1">
      <c r="A19" s="383"/>
      <c r="B19" s="385"/>
      <c r="C19" s="385"/>
      <c r="D19" s="399"/>
      <c r="E19" s="386" t="s">
        <v>1104</v>
      </c>
      <c r="F19" s="404">
        <v>1.19</v>
      </c>
      <c r="G19" s="404">
        <v>0</v>
      </c>
      <c r="H19" s="404">
        <v>1.1000000000000001</v>
      </c>
      <c r="I19" s="404">
        <v>0.81</v>
      </c>
      <c r="J19" s="404">
        <v>0.47</v>
      </c>
      <c r="K19" s="404">
        <v>0</v>
      </c>
      <c r="L19" s="404">
        <v>0</v>
      </c>
      <c r="M19" s="404">
        <v>0</v>
      </c>
      <c r="N19" s="404">
        <v>0.61</v>
      </c>
      <c r="O19" s="404">
        <v>0</v>
      </c>
      <c r="P19" s="404">
        <v>0.38</v>
      </c>
      <c r="Q19" s="404">
        <v>0.38</v>
      </c>
      <c r="R19" s="404">
        <v>0</v>
      </c>
      <c r="S19" s="520">
        <v>0</v>
      </c>
      <c r="U19" s="5" t="s">
        <v>584</v>
      </c>
    </row>
    <row r="20" spans="1:21" ht="14.25" customHeight="1">
      <c r="A20" s="383"/>
      <c r="B20" s="385"/>
      <c r="C20" s="385"/>
      <c r="D20" s="399"/>
      <c r="E20" s="386" t="s">
        <v>1105</v>
      </c>
      <c r="F20" s="404">
        <v>1.03</v>
      </c>
      <c r="G20" s="404">
        <v>0.99</v>
      </c>
      <c r="H20" s="404">
        <v>0.9</v>
      </c>
      <c r="I20" s="404">
        <v>1.01</v>
      </c>
      <c r="J20" s="404">
        <v>0.97</v>
      </c>
      <c r="K20" s="404">
        <v>0</v>
      </c>
      <c r="L20" s="404">
        <v>1.1299999999999999</v>
      </c>
      <c r="M20" s="404">
        <v>0.96</v>
      </c>
      <c r="N20" s="404">
        <v>1.02</v>
      </c>
      <c r="O20" s="404">
        <v>1.1299999999999999</v>
      </c>
      <c r="P20" s="404">
        <v>0.95</v>
      </c>
      <c r="Q20" s="404">
        <v>0.95</v>
      </c>
      <c r="R20" s="404">
        <v>1.1299999999999999</v>
      </c>
      <c r="S20" s="520">
        <v>0.95</v>
      </c>
      <c r="U20" s="5" t="s">
        <v>605</v>
      </c>
    </row>
    <row r="21" spans="1:21" ht="14.25" customHeight="1" thickBot="1">
      <c r="A21" s="407"/>
      <c r="B21" s="408"/>
      <c r="C21" s="408"/>
      <c r="D21" s="408"/>
      <c r="E21" s="409" t="s">
        <v>1115</v>
      </c>
      <c r="F21" s="410">
        <v>4.21</v>
      </c>
      <c r="G21" s="410">
        <v>0</v>
      </c>
      <c r="H21" s="410">
        <v>0</v>
      </c>
      <c r="I21" s="410">
        <v>0.2</v>
      </c>
      <c r="J21" s="410">
        <v>0</v>
      </c>
      <c r="K21" s="410">
        <v>0</v>
      </c>
      <c r="L21" s="410">
        <v>0</v>
      </c>
      <c r="M21" s="410">
        <v>0</v>
      </c>
      <c r="N21" s="410">
        <v>0.32</v>
      </c>
      <c r="O21" s="410">
        <v>0</v>
      </c>
      <c r="P21" s="410">
        <v>0</v>
      </c>
      <c r="Q21" s="410">
        <v>0</v>
      </c>
      <c r="R21" s="410">
        <v>0</v>
      </c>
      <c r="S21" s="521">
        <v>0</v>
      </c>
      <c r="U21" s="5" t="s">
        <v>480</v>
      </c>
    </row>
    <row r="22" spans="1:21" ht="17.25" thickTop="1" thickBot="1">
      <c r="A22" s="414" t="s">
        <v>1008</v>
      </c>
      <c r="B22" s="415"/>
      <c r="C22" s="415"/>
      <c r="D22" s="415"/>
      <c r="E22" s="415"/>
      <c r="F22" s="470">
        <v>4.0320447846379537</v>
      </c>
      <c r="G22" s="594" t="s">
        <v>1107</v>
      </c>
      <c r="H22" s="470">
        <v>4.4166666666666661</v>
      </c>
      <c r="I22" s="594" t="s">
        <v>1107</v>
      </c>
      <c r="J22" s="470">
        <v>3.9095238095238094</v>
      </c>
      <c r="K22" s="594" t="s">
        <v>1107</v>
      </c>
      <c r="L22" s="470">
        <v>4.2722222222222221</v>
      </c>
      <c r="M22" s="470">
        <v>4.4444444444444446</v>
      </c>
      <c r="N22" s="470">
        <v>3.9177609427609426</v>
      </c>
      <c r="O22" s="594" t="s">
        <v>1107</v>
      </c>
      <c r="P22" s="470">
        <v>3.666666666666667</v>
      </c>
      <c r="Q22" s="594" t="s">
        <v>1107</v>
      </c>
      <c r="R22" s="470">
        <v>4.1294642857142856</v>
      </c>
      <c r="S22" s="595" t="s">
        <v>1107</v>
      </c>
      <c r="T22" s="357" t="s">
        <v>1174</v>
      </c>
      <c r="U22" s="5" t="s">
        <v>585</v>
      </c>
    </row>
    <row r="23" spans="1:21">
      <c r="A23" s="584"/>
      <c r="B23" s="585"/>
      <c r="C23" s="585"/>
      <c r="D23" s="585"/>
      <c r="E23" s="586" t="s">
        <v>1018</v>
      </c>
      <c r="F23" s="580">
        <v>3.9877548658135118</v>
      </c>
      <c r="G23" s="580">
        <v>4</v>
      </c>
      <c r="H23" s="580">
        <v>4.583333333333333</v>
      </c>
      <c r="I23" s="580" t="s">
        <v>1107</v>
      </c>
      <c r="J23" s="580">
        <v>3.8523809523809525</v>
      </c>
      <c r="K23" s="580" t="s">
        <v>1107</v>
      </c>
      <c r="L23" s="580">
        <v>4.3777777777777782</v>
      </c>
      <c r="M23" s="580">
        <v>4.3888888888888893</v>
      </c>
      <c r="N23" s="580">
        <v>3.8454545454545457</v>
      </c>
      <c r="O23" s="580" t="s">
        <v>1107</v>
      </c>
      <c r="P23" s="580">
        <v>3.4666666666666668</v>
      </c>
      <c r="Q23" s="580">
        <v>4.333333333333333</v>
      </c>
      <c r="R23" s="580">
        <v>4.0505952380952381</v>
      </c>
      <c r="S23" s="579" t="s">
        <v>1107</v>
      </c>
      <c r="U23" s="5" t="s">
        <v>690</v>
      </c>
    </row>
    <row r="24" spans="1:21" ht="13.5" thickBot="1">
      <c r="A24" s="416"/>
      <c r="B24" s="417"/>
      <c r="C24" s="417"/>
      <c r="D24" s="417"/>
      <c r="E24" s="418" t="s">
        <v>1106</v>
      </c>
      <c r="F24" s="490">
        <v>3.9877548658135118</v>
      </c>
      <c r="G24" s="490">
        <v>4</v>
      </c>
      <c r="H24" s="490">
        <v>4.583333333333333</v>
      </c>
      <c r="I24" s="490" t="s">
        <v>1107</v>
      </c>
      <c r="J24" s="490">
        <v>3.8523809523809525</v>
      </c>
      <c r="K24" s="490" t="s">
        <v>1107</v>
      </c>
      <c r="L24" s="490">
        <v>4.3777777777777782</v>
      </c>
      <c r="M24" s="490">
        <v>4.3888888888888893</v>
      </c>
      <c r="N24" s="490">
        <v>3.8454545454545457</v>
      </c>
      <c r="O24" s="490" t="s">
        <v>1107</v>
      </c>
      <c r="P24" s="490">
        <v>3.4666666666666668</v>
      </c>
      <c r="Q24" s="490">
        <v>4.333333333333333</v>
      </c>
      <c r="R24" s="490">
        <v>4.0505952380952381</v>
      </c>
      <c r="S24" s="525" t="s">
        <v>1107</v>
      </c>
      <c r="U24" s="5" t="s">
        <v>60</v>
      </c>
    </row>
    <row r="25" spans="1:21">
      <c r="A25" s="416"/>
      <c r="B25" s="585"/>
      <c r="C25" s="585"/>
      <c r="D25" s="585"/>
      <c r="E25" s="586" t="s">
        <v>1074</v>
      </c>
      <c r="F25" s="580">
        <v>4.076334703462396</v>
      </c>
      <c r="G25" s="580" t="s">
        <v>1107</v>
      </c>
      <c r="H25" s="580">
        <v>4.25</v>
      </c>
      <c r="I25" s="580" t="s">
        <v>1107</v>
      </c>
      <c r="J25" s="580">
        <v>3.9666666666666663</v>
      </c>
      <c r="K25" s="580" t="s">
        <v>1107</v>
      </c>
      <c r="L25" s="580">
        <v>4.166666666666667</v>
      </c>
      <c r="M25" s="580">
        <v>4.5</v>
      </c>
      <c r="N25" s="580">
        <v>3.9900673400673399</v>
      </c>
      <c r="O25" s="580" t="s">
        <v>1107</v>
      </c>
      <c r="P25" s="580">
        <v>3.8666666666666667</v>
      </c>
      <c r="Q25" s="580" t="s">
        <v>1107</v>
      </c>
      <c r="R25" s="580">
        <v>4.208333333333333</v>
      </c>
      <c r="S25" s="579" t="s">
        <v>1107</v>
      </c>
      <c r="U25" s="5" t="s">
        <v>1064</v>
      </c>
    </row>
    <row r="26" spans="1:21" ht="13.5" thickBot="1">
      <c r="A26" s="416"/>
      <c r="B26" s="417"/>
      <c r="C26" s="417"/>
      <c r="D26" s="417"/>
      <c r="E26" s="418" t="s">
        <v>1106</v>
      </c>
      <c r="F26" s="490">
        <v>4.076334703462396</v>
      </c>
      <c r="G26" s="490" t="s">
        <v>1107</v>
      </c>
      <c r="H26" s="490">
        <v>4.25</v>
      </c>
      <c r="I26" s="490" t="s">
        <v>1107</v>
      </c>
      <c r="J26" s="490">
        <v>3.9666666666666663</v>
      </c>
      <c r="K26" s="490" t="s">
        <v>1107</v>
      </c>
      <c r="L26" s="490">
        <v>4.166666666666667</v>
      </c>
      <c r="M26" s="490">
        <v>4.5</v>
      </c>
      <c r="N26" s="490">
        <v>3.9900673400673399</v>
      </c>
      <c r="O26" s="490" t="s">
        <v>1107</v>
      </c>
      <c r="P26" s="490">
        <v>3.8666666666666667</v>
      </c>
      <c r="Q26" s="490" t="s">
        <v>1107</v>
      </c>
      <c r="R26" s="490">
        <v>4.208333333333333</v>
      </c>
      <c r="S26" s="525" t="s">
        <v>1107</v>
      </c>
      <c r="U26" s="5" t="s">
        <v>1065</v>
      </c>
    </row>
    <row r="27" spans="1:21" ht="13.5" thickBot="1">
      <c r="A27" s="419"/>
      <c r="B27" s="420"/>
      <c r="C27" s="420"/>
      <c r="D27" s="420"/>
      <c r="E27" s="421" t="s">
        <v>1075</v>
      </c>
      <c r="F27" s="422"/>
      <c r="G27" s="422"/>
      <c r="H27" s="422"/>
      <c r="I27" s="422"/>
      <c r="J27" s="422"/>
      <c r="K27" s="422"/>
      <c r="L27" s="422"/>
      <c r="M27" s="422"/>
      <c r="N27" s="422"/>
      <c r="O27" s="422"/>
      <c r="P27" s="422"/>
      <c r="Q27" s="422"/>
      <c r="R27" s="422"/>
      <c r="S27" s="423"/>
      <c r="U27" s="5" t="s">
        <v>1171</v>
      </c>
    </row>
    <row r="28" spans="1:21" ht="17.25" thickTop="1" thickBot="1">
      <c r="A28" s="424" t="s">
        <v>1009</v>
      </c>
      <c r="B28" s="425"/>
      <c r="C28" s="425"/>
      <c r="D28" s="425"/>
      <c r="E28" s="488" t="s">
        <v>1136</v>
      </c>
      <c r="F28" s="471">
        <v>3.984375</v>
      </c>
      <c r="G28" s="596" t="s">
        <v>1107</v>
      </c>
      <c r="H28" s="471">
        <v>3.75</v>
      </c>
      <c r="I28" s="596" t="s">
        <v>1107</v>
      </c>
      <c r="J28" s="471">
        <v>3.875</v>
      </c>
      <c r="K28" s="596" t="s">
        <v>1107</v>
      </c>
      <c r="L28" s="471">
        <v>4.125</v>
      </c>
      <c r="M28" s="471">
        <v>3.75</v>
      </c>
      <c r="N28" s="471">
        <v>3.9375</v>
      </c>
      <c r="O28" s="596" t="s">
        <v>1107</v>
      </c>
      <c r="P28" s="471">
        <v>3.8125</v>
      </c>
      <c r="Q28" s="596" t="s">
        <v>1107</v>
      </c>
      <c r="R28" s="471">
        <v>5</v>
      </c>
      <c r="S28" s="595" t="s">
        <v>1107</v>
      </c>
      <c r="T28" s="357" t="s">
        <v>1174</v>
      </c>
      <c r="U28" s="5"/>
    </row>
    <row r="29" spans="1:21">
      <c r="A29" s="427"/>
      <c r="B29" s="587"/>
      <c r="C29" s="587"/>
      <c r="D29" s="587"/>
      <c r="E29" s="588" t="s">
        <v>1019</v>
      </c>
      <c r="F29" s="589">
        <v>3.90625</v>
      </c>
      <c r="G29" s="589" t="s">
        <v>1107</v>
      </c>
      <c r="H29" s="589">
        <v>3.5</v>
      </c>
      <c r="I29" s="589" t="s">
        <v>1107</v>
      </c>
      <c r="J29" s="589">
        <v>3.75</v>
      </c>
      <c r="K29" s="589" t="s">
        <v>1107</v>
      </c>
      <c r="L29" s="589">
        <v>4.25</v>
      </c>
      <c r="M29" s="589">
        <v>3.5</v>
      </c>
      <c r="N29" s="589">
        <v>3.875</v>
      </c>
      <c r="O29" s="589" t="s">
        <v>1107</v>
      </c>
      <c r="P29" s="589">
        <v>3.625</v>
      </c>
      <c r="Q29" s="589" t="s">
        <v>1107</v>
      </c>
      <c r="R29" s="589">
        <v>5</v>
      </c>
      <c r="S29" s="590" t="s">
        <v>1107</v>
      </c>
    </row>
    <row r="30" spans="1:21" ht="13.5" thickBot="1">
      <c r="A30" s="427"/>
      <c r="B30" s="428"/>
      <c r="C30" s="428"/>
      <c r="D30" s="428"/>
      <c r="E30" s="429" t="s">
        <v>1106</v>
      </c>
      <c r="F30" s="490">
        <v>3.90625</v>
      </c>
      <c r="G30" s="490" t="s">
        <v>1107</v>
      </c>
      <c r="H30" s="490">
        <v>3.5</v>
      </c>
      <c r="I30" s="490" t="s">
        <v>1107</v>
      </c>
      <c r="J30" s="490">
        <v>3.75</v>
      </c>
      <c r="K30" s="490" t="s">
        <v>1107</v>
      </c>
      <c r="L30" s="490">
        <v>4.25</v>
      </c>
      <c r="M30" s="490">
        <v>3.5</v>
      </c>
      <c r="N30" s="490">
        <v>3.875</v>
      </c>
      <c r="O30" s="490" t="s">
        <v>1107</v>
      </c>
      <c r="P30" s="490">
        <v>3.625</v>
      </c>
      <c r="Q30" s="490" t="s">
        <v>1107</v>
      </c>
      <c r="R30" s="490">
        <v>5</v>
      </c>
      <c r="S30" s="525" t="s">
        <v>1107</v>
      </c>
    </row>
    <row r="31" spans="1:21" ht="13.5" thickBot="1">
      <c r="A31" s="427"/>
      <c r="B31" s="430"/>
      <c r="C31" s="430"/>
      <c r="D31" s="430"/>
      <c r="E31" s="431" t="s">
        <v>1024</v>
      </c>
      <c r="F31" s="432"/>
      <c r="G31" s="432"/>
      <c r="H31" s="432"/>
      <c r="I31" s="432"/>
      <c r="J31" s="432"/>
      <c r="K31" s="432"/>
      <c r="L31" s="432"/>
      <c r="M31" s="432"/>
      <c r="N31" s="432"/>
      <c r="O31" s="432"/>
      <c r="P31" s="432"/>
      <c r="Q31" s="432"/>
      <c r="R31" s="432"/>
      <c r="S31" s="529"/>
    </row>
    <row r="32" spans="1:21">
      <c r="A32" s="427"/>
      <c r="B32" s="587"/>
      <c r="C32" s="587"/>
      <c r="D32" s="587"/>
      <c r="E32" s="588" t="s">
        <v>1030</v>
      </c>
      <c r="F32" s="578">
        <v>4.0625</v>
      </c>
      <c r="G32" s="578" t="s">
        <v>1107</v>
      </c>
      <c r="H32" s="578">
        <v>4</v>
      </c>
      <c r="I32" s="578" t="s">
        <v>1107</v>
      </c>
      <c r="J32" s="578">
        <v>4</v>
      </c>
      <c r="K32" s="578" t="s">
        <v>1107</v>
      </c>
      <c r="L32" s="578">
        <v>4</v>
      </c>
      <c r="M32" s="578">
        <v>4</v>
      </c>
      <c r="N32" s="578">
        <v>4</v>
      </c>
      <c r="O32" s="578" t="s">
        <v>1107</v>
      </c>
      <c r="P32" s="578">
        <v>4</v>
      </c>
      <c r="Q32" s="578" t="s">
        <v>1107</v>
      </c>
      <c r="R32" s="578">
        <v>5</v>
      </c>
      <c r="S32" s="579" t="s">
        <v>1107</v>
      </c>
    </row>
    <row r="33" spans="1:19" ht="13.5" thickBot="1">
      <c r="A33" s="427"/>
      <c r="B33" s="430"/>
      <c r="C33" s="430"/>
      <c r="D33" s="430"/>
      <c r="E33" s="533" t="s">
        <v>1106</v>
      </c>
      <c r="F33" s="530">
        <v>4.0625</v>
      </c>
      <c r="G33" s="530" t="s">
        <v>1107</v>
      </c>
      <c r="H33" s="530">
        <v>4</v>
      </c>
      <c r="I33" s="530" t="s">
        <v>1107</v>
      </c>
      <c r="J33" s="530">
        <v>4</v>
      </c>
      <c r="K33" s="530" t="s">
        <v>1107</v>
      </c>
      <c r="L33" s="530">
        <v>4</v>
      </c>
      <c r="M33" s="530">
        <v>4</v>
      </c>
      <c r="N33" s="530">
        <v>4</v>
      </c>
      <c r="O33" s="530" t="s">
        <v>1107</v>
      </c>
      <c r="P33" s="530">
        <v>4</v>
      </c>
      <c r="Q33" s="530" t="s">
        <v>1107</v>
      </c>
      <c r="R33" s="530">
        <v>5</v>
      </c>
      <c r="S33" s="531" t="s">
        <v>1107</v>
      </c>
    </row>
    <row r="34" spans="1:19" ht="15.75" thickTop="1">
      <c r="A34" s="494" t="s">
        <v>1163</v>
      </c>
      <c r="B34" s="495"/>
      <c r="C34" s="495"/>
      <c r="D34" s="496"/>
      <c r="E34" s="534" t="s">
        <v>1161</v>
      </c>
      <c r="F34" s="535">
        <v>2337</v>
      </c>
      <c r="G34" s="535">
        <v>73</v>
      </c>
      <c r="H34" s="535">
        <v>166</v>
      </c>
      <c r="I34" s="535">
        <v>1</v>
      </c>
      <c r="J34" s="535">
        <v>283</v>
      </c>
      <c r="K34" s="535">
        <v>56</v>
      </c>
      <c r="L34" s="535">
        <v>74</v>
      </c>
      <c r="M34" s="535">
        <v>277</v>
      </c>
      <c r="N34" s="535">
        <v>865</v>
      </c>
      <c r="O34" s="535">
        <v>0</v>
      </c>
      <c r="P34" s="535">
        <v>135</v>
      </c>
      <c r="Q34" s="535">
        <v>0</v>
      </c>
      <c r="R34" s="535">
        <v>128</v>
      </c>
      <c r="S34" s="536">
        <v>279</v>
      </c>
    </row>
    <row r="35" spans="1:19" ht="14.25">
      <c r="A35" s="497"/>
      <c r="B35" s="498"/>
      <c r="C35" s="499"/>
      <c r="D35" s="500"/>
      <c r="E35" s="501" t="s">
        <v>1162</v>
      </c>
      <c r="F35" s="532">
        <v>2569</v>
      </c>
      <c r="G35" s="532">
        <v>102</v>
      </c>
      <c r="H35" s="532">
        <v>198</v>
      </c>
      <c r="I35" s="532">
        <v>2</v>
      </c>
      <c r="J35" s="532">
        <v>314</v>
      </c>
      <c r="K35" s="532">
        <v>53</v>
      </c>
      <c r="L35" s="532">
        <v>134</v>
      </c>
      <c r="M35" s="532">
        <v>209</v>
      </c>
      <c r="N35" s="532">
        <v>975</v>
      </c>
      <c r="O35" s="532">
        <v>0</v>
      </c>
      <c r="P35" s="532">
        <v>146</v>
      </c>
      <c r="Q35" s="532">
        <v>0</v>
      </c>
      <c r="R35" s="532">
        <v>176</v>
      </c>
      <c r="S35" s="537">
        <v>260</v>
      </c>
    </row>
    <row r="36" spans="1:19" ht="13.5" thickBot="1">
      <c r="A36" s="502"/>
      <c r="B36" s="503"/>
      <c r="C36" s="504"/>
      <c r="D36" s="504"/>
      <c r="E36" s="538" t="s">
        <v>1095</v>
      </c>
      <c r="F36" s="539">
        <v>2759</v>
      </c>
      <c r="G36" s="539">
        <v>54</v>
      </c>
      <c r="H36" s="539">
        <v>338</v>
      </c>
      <c r="I36" s="539">
        <v>71</v>
      </c>
      <c r="J36" s="539">
        <v>221</v>
      </c>
      <c r="K36" s="539">
        <v>31</v>
      </c>
      <c r="L36" s="539">
        <v>105</v>
      </c>
      <c r="M36" s="539">
        <v>494</v>
      </c>
      <c r="N36" s="539">
        <v>775</v>
      </c>
      <c r="O36" s="539">
        <v>0</v>
      </c>
      <c r="P36" s="539">
        <v>138</v>
      </c>
      <c r="Q36" s="539">
        <v>0</v>
      </c>
      <c r="R36" s="539">
        <v>161</v>
      </c>
      <c r="S36" s="540">
        <v>371</v>
      </c>
    </row>
    <row r="37" spans="1:19" ht="13.5" thickTop="1">
      <c r="A37" s="493"/>
      <c r="B37" s="493"/>
      <c r="C37" s="493"/>
      <c r="D37" s="493"/>
      <c r="E37" s="493"/>
    </row>
    <row r="38" spans="1:19" ht="12.75" customHeight="1">
      <c r="A38" s="493"/>
      <c r="B38" s="493"/>
      <c r="C38" s="493"/>
      <c r="D38" s="493"/>
      <c r="E38" s="493"/>
    </row>
    <row r="39" spans="1:19" ht="39" customHeight="1">
      <c r="A39" s="493"/>
      <c r="B39" s="493"/>
      <c r="C39" s="493"/>
      <c r="D39" s="493"/>
      <c r="E39" s="493"/>
    </row>
    <row r="40" spans="1:19" ht="24" customHeight="1">
      <c r="A40" s="493"/>
      <c r="B40" s="493"/>
      <c r="C40" s="493"/>
      <c r="D40" s="493"/>
      <c r="E40" s="493"/>
    </row>
    <row r="42" spans="1:19">
      <c r="A42" s="467"/>
    </row>
  </sheetData>
  <mergeCells count="1">
    <mergeCell ref="B2:C2"/>
  </mergeCells>
  <hyperlinks>
    <hyperlink ref="A1" location="'Table of Contents'!A1" display="Table of Contents"/>
    <hyperlink ref="U3" location="'Scorecard - Individual Team'!A1" display="Scorecard - Individual Team"/>
    <hyperlink ref="U4" location="'Scorecard - All Teams'!A1" display="Scorecard - All Teams"/>
    <hyperlink ref="U5" location="'Budget Rollup'!A1" display="Budget Rollup"/>
    <hyperlink ref="U6" location="'Survey Rollup'!A1" display="Survey Rollup"/>
    <hyperlink ref="U7" location="'Survey Mapping'!A1" display="Survey Mapping"/>
    <hyperlink ref="U8" location="'Lookups'!A1" display="Lookups"/>
    <hyperlink ref="U9" location="'Partner Survey Data (2)'!A1" display="Partner Survey Data (2)"/>
    <hyperlink ref="U10" location="'Partner Survey Data'!A1" display="Partner Survey Data"/>
    <hyperlink ref="U11" location="'Partner Survey Questions'!A1" display="Partner Survey Questions"/>
    <hyperlink ref="U12" location="'Business Survey Data'!A1" display="Business Survey Data"/>
    <hyperlink ref="U13" location="'Business Survey Questions'!A1" display="Business Survey Questions"/>
    <hyperlink ref="U14" location="'IT Survey Data'!A1" display="IT Survey Data"/>
    <hyperlink ref="U15" location="'IT Survey Questions'!A1" display="IT Survey Questions"/>
    <hyperlink ref="U16" location="'IT Sales On-Time Data'!A1" display="IT Sales On-Time Data"/>
    <hyperlink ref="U17" location="'eBusiness On-Time Data'!A1" display="eBusiness On-Time Data"/>
    <hyperlink ref="U18" location="'IT Finance On-Time Data'!A1" display="IT Finance On-Time Data"/>
    <hyperlink ref="U19" location="'IT Producer On-Time Delivery'!A1" display="IT Producer On-Time Delivery"/>
    <hyperlink ref="U20" location="'Product Admin On-Time Delivery'!A1" display="Product Admin On-Time Delivery"/>
    <hyperlink ref="U21" location="'Workflow On-Time Data'!A1" display="Workflow On-Time Data"/>
    <hyperlink ref="U22" location="'Viewpoint On-Time Delivery'!A1" display="Viewpoint On-Time Delivery"/>
    <hyperlink ref="U23" location="'IT Service On-Time Delivery'!A1" display="IT Service On-Time Delivery"/>
    <hyperlink ref="U24" location="'On-Time Delivery Data'!A1" display="On-Time Delivery Data"/>
    <hyperlink ref="U25" location="'Budget Variance Data'!A1" display="Budget Variance Data"/>
    <hyperlink ref="U26" location="'ITR Data'!A1" display="ITR Data"/>
    <hyperlink ref="U27" location="'TrendAppDev'!A1" display="TrendAppDev"/>
  </hyperlinks>
  <pageMargins left="0.25" right="0.25" top="0.5" bottom="0.5" header="0.3" footer="0.3"/>
  <pageSetup scale="75" orientation="landscape" r:id="rId1"/>
  <headerFooter alignWithMargins="0">
    <oddHeader>&amp;A</oddHeader>
    <oddFooter>&amp;L&amp;5&amp;Z&amp;F
Created: 9/29/2006 10:44:00 PM
Last Saved: 2/5/2008 9:15:17 PM
Last Printed: 2/5/2008 6:12:16 PM&amp;R&amp;5&amp;P - &amp;N
Title :&lt;Not Set&gt;
Subject: &lt;Not Set&gt;</oddFooter>
  </headerFooter>
  <legacyDrawing r:id="rId2"/>
</worksheet>
</file>

<file path=xl/worksheets/sheet4.xml><?xml version="1.0" encoding="utf-8"?>
<worksheet xmlns="http://schemas.openxmlformats.org/spreadsheetml/2006/main" xmlns:r="http://schemas.openxmlformats.org/officeDocument/2006/relationships">
  <sheetPr codeName="Sheet15"/>
  <dimension ref="A1:F70"/>
  <sheetViews>
    <sheetView workbookViewId="0"/>
  </sheetViews>
  <sheetFormatPr defaultRowHeight="12.75"/>
  <cols>
    <col min="2" max="2" width="15.85546875" customWidth="1"/>
    <col min="4" max="4" width="9.28515625" bestFit="1" customWidth="1"/>
    <col min="6" max="6" width="12.5703125" bestFit="1" customWidth="1"/>
  </cols>
  <sheetData>
    <row r="1" spans="1:3">
      <c r="A1" s="5" t="s">
        <v>30</v>
      </c>
    </row>
    <row r="5" spans="1:3">
      <c r="B5" s="317" t="s">
        <v>1119</v>
      </c>
      <c r="C5" s="317" t="s">
        <v>1118</v>
      </c>
    </row>
    <row r="6" spans="1:3">
      <c r="B6" s="34">
        <v>0</v>
      </c>
      <c r="C6">
        <v>2</v>
      </c>
    </row>
    <row r="7" spans="1:3">
      <c r="B7" s="34">
        <v>0.5</v>
      </c>
      <c r="C7">
        <v>3</v>
      </c>
    </row>
    <row r="8" spans="1:3">
      <c r="B8" s="34">
        <v>0.8</v>
      </c>
      <c r="C8">
        <v>4</v>
      </c>
    </row>
    <row r="9" spans="1:3">
      <c r="B9" s="34">
        <v>1</v>
      </c>
      <c r="C9">
        <v>5</v>
      </c>
    </row>
    <row r="10" spans="1:3">
      <c r="B10" s="34">
        <v>1.1000000000000001</v>
      </c>
      <c r="C10">
        <v>4</v>
      </c>
    </row>
    <row r="11" spans="1:3">
      <c r="B11" s="34">
        <v>1.2</v>
      </c>
      <c r="C11">
        <v>3</v>
      </c>
    </row>
    <row r="12" spans="1:3">
      <c r="B12" s="34">
        <v>2</v>
      </c>
      <c r="C12">
        <v>2</v>
      </c>
    </row>
    <row r="13" spans="1:3">
      <c r="B13" s="34">
        <v>100</v>
      </c>
      <c r="C13">
        <v>1</v>
      </c>
    </row>
    <row r="17" spans="2:6">
      <c r="B17" s="36"/>
    </row>
    <row r="29" spans="2:6">
      <c r="B29" s="472" t="s">
        <v>1114</v>
      </c>
      <c r="F29" s="477">
        <f>SUM(F31:F36)</f>
        <v>2.6668666666666669</v>
      </c>
    </row>
    <row r="30" spans="2:6">
      <c r="B30" s="317" t="s">
        <v>1120</v>
      </c>
      <c r="C30" s="317" t="s">
        <v>899</v>
      </c>
      <c r="D30" s="317" t="s">
        <v>1117</v>
      </c>
      <c r="E30" s="317" t="s">
        <v>1118</v>
      </c>
      <c r="F30" s="317" t="s">
        <v>1121</v>
      </c>
    </row>
    <row r="31" spans="2:6">
      <c r="B31" s="473" t="s">
        <v>1101</v>
      </c>
      <c r="C31" s="34">
        <f>'Scorecard - Individual Team'!F16</f>
        <v>1.67</v>
      </c>
      <c r="D31" s="475">
        <f>100/6/100</f>
        <v>0.16666666666666669</v>
      </c>
      <c r="E31">
        <f t="shared" ref="E31:E36" si="0">LOOKUP(C31,$B$6:$B$13,$C$6:$C$13)</f>
        <v>3</v>
      </c>
      <c r="F31" s="476">
        <f>E31*D31</f>
        <v>0.5</v>
      </c>
    </row>
    <row r="32" spans="2:6">
      <c r="B32" s="473" t="s">
        <v>1102</v>
      </c>
      <c r="C32" s="34">
        <f>'Scorecard - Individual Team'!F17</f>
        <v>1.35</v>
      </c>
      <c r="D32" s="475">
        <f t="shared" ref="D32:D34" si="1">100/6/100</f>
        <v>0.16666666666666669</v>
      </c>
      <c r="E32" s="341">
        <f t="shared" si="0"/>
        <v>3</v>
      </c>
      <c r="F32" s="476">
        <f t="shared" ref="F32:F36" si="2">E32*D32</f>
        <v>0.5</v>
      </c>
    </row>
    <row r="33" spans="2:6">
      <c r="B33" s="473" t="s">
        <v>1103</v>
      </c>
      <c r="C33" s="34">
        <f>'Scorecard - Individual Team'!F18</f>
        <v>2.06</v>
      </c>
      <c r="D33" s="475">
        <f t="shared" si="1"/>
        <v>0.16666666666666669</v>
      </c>
      <c r="E33" s="341">
        <f t="shared" si="0"/>
        <v>2</v>
      </c>
      <c r="F33" s="476">
        <f t="shared" si="2"/>
        <v>0.33333333333333337</v>
      </c>
    </row>
    <row r="34" spans="2:6">
      <c r="B34" s="473" t="s">
        <v>1104</v>
      </c>
      <c r="C34" s="34">
        <f>'Scorecard - Individual Team'!F19</f>
        <v>0</v>
      </c>
      <c r="D34" s="475">
        <f t="shared" si="1"/>
        <v>0.16666666666666669</v>
      </c>
      <c r="E34" s="341">
        <f t="shared" si="0"/>
        <v>2</v>
      </c>
      <c r="F34" s="476">
        <f t="shared" si="2"/>
        <v>0.33333333333333337</v>
      </c>
    </row>
    <row r="35" spans="2:6">
      <c r="B35" s="473" t="s">
        <v>1105</v>
      </c>
      <c r="C35" s="34">
        <f>'Scorecard - Individual Team'!F20</f>
        <v>1.1299999999999999</v>
      </c>
      <c r="D35" s="475">
        <v>0.16669999999999999</v>
      </c>
      <c r="E35" s="341">
        <f t="shared" si="0"/>
        <v>4</v>
      </c>
      <c r="F35" s="476">
        <f t="shared" si="2"/>
        <v>0.66679999999999995</v>
      </c>
    </row>
    <row r="36" spans="2:6">
      <c r="B36" s="473" t="s">
        <v>1115</v>
      </c>
      <c r="C36" s="34">
        <f>'Scorecard - Individual Team'!F21</f>
        <v>0</v>
      </c>
      <c r="D36" s="475">
        <v>0.16669999999999999</v>
      </c>
      <c r="E36" s="341">
        <f t="shared" si="0"/>
        <v>2</v>
      </c>
      <c r="F36" s="476">
        <f t="shared" si="2"/>
        <v>0.33339999999999997</v>
      </c>
    </row>
    <row r="37" spans="2:6" s="341" customFormat="1">
      <c r="B37" s="473"/>
      <c r="C37" s="34"/>
      <c r="D37" s="475">
        <f>SUM(D31:D36)</f>
        <v>1.0000666666666667</v>
      </c>
    </row>
    <row r="38" spans="2:6">
      <c r="C38" s="34">
        <v>0.1</v>
      </c>
      <c r="E38" s="341">
        <f t="shared" ref="E38:E69" si="3">LOOKUP(C38,$B$6:$B$13,$C$6:$C$13)</f>
        <v>2</v>
      </c>
    </row>
    <row r="39" spans="2:6">
      <c r="C39" s="34">
        <v>0.15</v>
      </c>
      <c r="E39" s="341">
        <f t="shared" si="3"/>
        <v>2</v>
      </c>
    </row>
    <row r="40" spans="2:6">
      <c r="C40" s="34">
        <v>0.2</v>
      </c>
      <c r="E40" s="341">
        <f t="shared" si="3"/>
        <v>2</v>
      </c>
    </row>
    <row r="41" spans="2:6">
      <c r="C41" s="34">
        <v>0.25</v>
      </c>
      <c r="E41" s="341">
        <f t="shared" si="3"/>
        <v>2</v>
      </c>
    </row>
    <row r="42" spans="2:6">
      <c r="C42" s="34">
        <v>0.3</v>
      </c>
      <c r="E42" s="341">
        <f t="shared" si="3"/>
        <v>2</v>
      </c>
    </row>
    <row r="43" spans="2:6">
      <c r="C43" s="34">
        <v>0.35</v>
      </c>
      <c r="E43" s="341">
        <f t="shared" si="3"/>
        <v>2</v>
      </c>
    </row>
    <row r="44" spans="2:6">
      <c r="C44" s="34">
        <v>0.4</v>
      </c>
      <c r="E44" s="341">
        <f t="shared" si="3"/>
        <v>2</v>
      </c>
    </row>
    <row r="45" spans="2:6">
      <c r="C45" s="34">
        <v>0.45</v>
      </c>
      <c r="E45" s="341">
        <f t="shared" si="3"/>
        <v>2</v>
      </c>
    </row>
    <row r="46" spans="2:6">
      <c r="C46" s="34">
        <v>0.5</v>
      </c>
      <c r="E46" s="341">
        <f t="shared" si="3"/>
        <v>3</v>
      </c>
    </row>
    <row r="47" spans="2:6">
      <c r="C47" s="34">
        <v>0.55000000000000004</v>
      </c>
      <c r="E47" s="341">
        <f t="shared" si="3"/>
        <v>3</v>
      </c>
    </row>
    <row r="48" spans="2:6">
      <c r="C48" s="34">
        <v>0.6</v>
      </c>
      <c r="E48" s="341">
        <f t="shared" si="3"/>
        <v>3</v>
      </c>
    </row>
    <row r="49" spans="3:5">
      <c r="C49" s="34">
        <v>0.65</v>
      </c>
      <c r="E49" s="341">
        <f t="shared" si="3"/>
        <v>3</v>
      </c>
    </row>
    <row r="50" spans="3:5">
      <c r="C50" s="34">
        <v>0.7</v>
      </c>
      <c r="E50" s="341">
        <f t="shared" si="3"/>
        <v>3</v>
      </c>
    </row>
    <row r="51" spans="3:5">
      <c r="C51" s="34">
        <v>0.75</v>
      </c>
      <c r="E51" s="341">
        <f t="shared" si="3"/>
        <v>3</v>
      </c>
    </row>
    <row r="52" spans="3:5">
      <c r="C52" s="34">
        <v>0.8</v>
      </c>
      <c r="E52" s="341">
        <f t="shared" si="3"/>
        <v>4</v>
      </c>
    </row>
    <row r="53" spans="3:5">
      <c r="C53" s="34">
        <v>0.85</v>
      </c>
      <c r="E53" s="341">
        <f t="shared" si="3"/>
        <v>4</v>
      </c>
    </row>
    <row r="54" spans="3:5">
      <c r="C54" s="34">
        <v>0.9</v>
      </c>
      <c r="E54" s="341">
        <f t="shared" si="3"/>
        <v>4</v>
      </c>
    </row>
    <row r="55" spans="3:5">
      <c r="C55" s="34">
        <v>0.95</v>
      </c>
      <c r="E55" s="341">
        <f t="shared" si="3"/>
        <v>4</v>
      </c>
    </row>
    <row r="56" spans="3:5">
      <c r="C56" s="34">
        <v>1</v>
      </c>
      <c r="E56" s="341">
        <f t="shared" si="3"/>
        <v>5</v>
      </c>
    </row>
    <row r="57" spans="3:5">
      <c r="C57" s="34">
        <v>1.05</v>
      </c>
      <c r="E57" s="341">
        <f t="shared" si="3"/>
        <v>5</v>
      </c>
    </row>
    <row r="58" spans="3:5">
      <c r="C58" s="34">
        <v>1.1000000000000001</v>
      </c>
      <c r="E58" s="341">
        <f t="shared" si="3"/>
        <v>4</v>
      </c>
    </row>
    <row r="59" spans="3:5">
      <c r="C59" s="34">
        <v>1.1499999999999999</v>
      </c>
      <c r="E59" s="341">
        <f t="shared" si="3"/>
        <v>4</v>
      </c>
    </row>
    <row r="60" spans="3:5">
      <c r="C60" s="34">
        <v>1.2</v>
      </c>
      <c r="E60" s="341">
        <f t="shared" si="3"/>
        <v>3</v>
      </c>
    </row>
    <row r="61" spans="3:5">
      <c r="C61" s="34">
        <v>1.25</v>
      </c>
      <c r="E61" s="341">
        <f t="shared" si="3"/>
        <v>3</v>
      </c>
    </row>
    <row r="62" spans="3:5">
      <c r="C62" s="34">
        <v>1.3</v>
      </c>
      <c r="E62" s="341">
        <f t="shared" si="3"/>
        <v>3</v>
      </c>
    </row>
    <row r="63" spans="3:5">
      <c r="C63" s="34">
        <v>1.35</v>
      </c>
      <c r="E63" s="341">
        <f t="shared" si="3"/>
        <v>3</v>
      </c>
    </row>
    <row r="64" spans="3:5">
      <c r="C64" s="34">
        <v>1.4</v>
      </c>
      <c r="E64" s="341">
        <f t="shared" si="3"/>
        <v>3</v>
      </c>
    </row>
    <row r="65" spans="3:5">
      <c r="C65" s="34">
        <v>1.45</v>
      </c>
      <c r="E65" s="341">
        <f t="shared" si="3"/>
        <v>3</v>
      </c>
    </row>
    <row r="66" spans="3:5">
      <c r="C66" s="34">
        <v>1.5</v>
      </c>
      <c r="E66" s="341">
        <f t="shared" si="3"/>
        <v>3</v>
      </c>
    </row>
    <row r="67" spans="3:5">
      <c r="C67" s="34">
        <v>1.55</v>
      </c>
      <c r="E67" s="341">
        <f t="shared" si="3"/>
        <v>3</v>
      </c>
    </row>
    <row r="68" spans="3:5">
      <c r="C68" s="34">
        <v>1.6</v>
      </c>
      <c r="E68" s="341">
        <f t="shared" si="3"/>
        <v>3</v>
      </c>
    </row>
    <row r="69" spans="3:5">
      <c r="C69" s="34">
        <v>1.65</v>
      </c>
      <c r="E69" s="341">
        <f t="shared" si="3"/>
        <v>3</v>
      </c>
    </row>
    <row r="70" spans="3:5">
      <c r="C70" s="34">
        <v>1.7</v>
      </c>
    </row>
  </sheetData>
  <hyperlinks>
    <hyperlink ref="A1" location="'Table of Contents'!A1" display="Table of Contents"/>
  </hyperlinks>
  <pageMargins left="0.7" right="0.7" top="0.75" bottom="0.75" header="0.3" footer="0.3"/>
  <pageSetup orientation="portrait" r:id="rId1"/>
  <headerFooter>
    <oddFooter>&amp;L&amp;5&amp;Z&amp;F
Created: 9/29/2006 10:44:00 PM
Last Saved: 2/5/2008 9:15:17 PM
Last Printed: 2/5/2008 6:12:16 PM&amp;R&amp;5&amp;P - &amp;N
Title :&lt;Not Set&gt;
Subject: &lt;Not Set&gt;</oddFooter>
  </headerFooter>
</worksheet>
</file>

<file path=xl/worksheets/sheet5.xml><?xml version="1.0" encoding="utf-8"?>
<worksheet xmlns="http://schemas.openxmlformats.org/spreadsheetml/2006/main" xmlns:r="http://schemas.openxmlformats.org/officeDocument/2006/relationships">
  <sheetPr codeName="Sheet16"/>
  <dimension ref="A1:V11"/>
  <sheetViews>
    <sheetView workbookViewId="0">
      <selection activeCell="D6" sqref="D6"/>
    </sheetView>
  </sheetViews>
  <sheetFormatPr defaultRowHeight="20.25" customHeight="1"/>
  <cols>
    <col min="1" max="2" width="9.140625" style="202"/>
    <col min="3" max="4" width="4.5703125" style="202" bestFit="1" customWidth="1"/>
    <col min="5" max="5" width="4.5703125" style="275" customWidth="1"/>
    <col min="6" max="6" width="5.28515625" style="221" bestFit="1" customWidth="1"/>
    <col min="7" max="7" width="24.85546875" style="1" customWidth="1"/>
    <col min="8" max="8" width="6.42578125" style="1" customWidth="1"/>
    <col min="9" max="9" width="7" style="1" bestFit="1" customWidth="1"/>
    <col min="10" max="10" width="7" style="1" customWidth="1"/>
    <col min="11" max="11" width="5.5703125" style="221" bestFit="1" customWidth="1"/>
    <col min="12" max="12" width="24.85546875" style="1" customWidth="1"/>
    <col min="13" max="13" width="4.5703125" style="202" bestFit="1" customWidth="1"/>
    <col min="14" max="14" width="7" style="202" bestFit="1" customWidth="1"/>
    <col min="15" max="15" width="7" style="275" customWidth="1"/>
    <col min="16" max="16" width="5.5703125" style="221" bestFit="1" customWidth="1"/>
    <col min="17" max="17" width="24.85546875" style="1" customWidth="1"/>
    <col min="18" max="18" width="6.28515625" style="1" customWidth="1"/>
    <col min="19" max="19" width="7" style="1" bestFit="1" customWidth="1"/>
    <col min="20" max="20" width="7" style="1" customWidth="1"/>
    <col min="21" max="21" width="5.7109375" style="221" bestFit="1" customWidth="1"/>
    <col min="22" max="22" width="24.85546875" style="1" customWidth="1"/>
    <col min="23" max="16384" width="9.140625" style="202"/>
  </cols>
  <sheetData>
    <row r="1" spans="1:22" s="255" customFormat="1" ht="54.75" customHeight="1" thickTop="1" thickBot="1">
      <c r="A1" s="314" t="s">
        <v>30</v>
      </c>
      <c r="B1" s="273" t="s">
        <v>993</v>
      </c>
      <c r="C1" s="625" t="s">
        <v>994</v>
      </c>
      <c r="D1" s="626"/>
      <c r="E1" s="626"/>
      <c r="F1" s="626"/>
      <c r="G1" s="627"/>
      <c r="H1" s="628" t="s">
        <v>995</v>
      </c>
      <c r="I1" s="629"/>
      <c r="J1" s="629"/>
      <c r="K1" s="629"/>
      <c r="L1" s="630"/>
      <c r="M1" s="631" t="s">
        <v>996</v>
      </c>
      <c r="N1" s="632"/>
      <c r="O1" s="632"/>
      <c r="P1" s="626"/>
      <c r="Q1" s="627"/>
      <c r="R1" s="631" t="s">
        <v>997</v>
      </c>
      <c r="S1" s="632"/>
      <c r="T1" s="632"/>
      <c r="U1" s="632"/>
      <c r="V1" s="633"/>
    </row>
    <row r="2" spans="1:22" s="255" customFormat="1" ht="22.5" customHeight="1" thickTop="1" thickBot="1">
      <c r="B2" s="634" t="s">
        <v>998</v>
      </c>
      <c r="C2" s="620" t="s">
        <v>999</v>
      </c>
      <c r="D2" s="621"/>
      <c r="E2" s="621"/>
      <c r="F2" s="621"/>
      <c r="G2" s="622"/>
      <c r="H2" s="620" t="s">
        <v>1000</v>
      </c>
      <c r="I2" s="621"/>
      <c r="J2" s="621"/>
      <c r="K2" s="621"/>
      <c r="L2" s="622"/>
      <c r="M2" s="620" t="s">
        <v>1001</v>
      </c>
      <c r="N2" s="621"/>
      <c r="O2" s="621"/>
      <c r="P2" s="621"/>
      <c r="Q2" s="622"/>
      <c r="R2" s="620" t="s">
        <v>1002</v>
      </c>
      <c r="S2" s="621"/>
      <c r="T2" s="621"/>
      <c r="U2" s="621"/>
      <c r="V2" s="622"/>
    </row>
    <row r="3" spans="1:22" s="255" customFormat="1" ht="22.5" customHeight="1" thickTop="1" thickBot="1">
      <c r="B3" s="635"/>
      <c r="C3" s="620" t="s">
        <v>1003</v>
      </c>
      <c r="D3" s="621"/>
      <c r="E3" s="621"/>
      <c r="F3" s="621"/>
      <c r="G3" s="622"/>
      <c r="H3" s="620" t="s">
        <v>0</v>
      </c>
      <c r="I3" s="621"/>
      <c r="J3" s="621"/>
      <c r="K3" s="621"/>
      <c r="L3" s="622"/>
      <c r="M3" s="620" t="s">
        <v>1004</v>
      </c>
      <c r="N3" s="621"/>
      <c r="O3" s="621"/>
      <c r="P3" s="621"/>
      <c r="Q3" s="622"/>
      <c r="R3" s="620" t="s">
        <v>1005</v>
      </c>
      <c r="S3" s="621"/>
      <c r="T3" s="621"/>
      <c r="U3" s="621"/>
      <c r="V3" s="622"/>
    </row>
    <row r="4" spans="1:22" s="1" customFormat="1" ht="20.25" customHeight="1" thickTop="1" thickBot="1">
      <c r="A4" s="611" t="s">
        <v>900</v>
      </c>
      <c r="B4" s="256" t="s">
        <v>900</v>
      </c>
      <c r="C4" s="257">
        <f t="array" aca="1" ref="C4" ca="1">IF(ISNUMBER(AVERAGE(IF(ISNUMBER(D6:D8),D6:D8,""))),AVERAGE(IF(ISNUMBER(D6:D8),D6:D8,"")),"No Data")</f>
        <v>4.1575963718820859</v>
      </c>
      <c r="D4" s="623" t="s">
        <v>1006</v>
      </c>
      <c r="E4" s="623"/>
      <c r="F4" s="623"/>
      <c r="G4" s="624"/>
      <c r="H4" s="257">
        <f t="array" aca="1" ref="H4" ca="1">IF(ISNUMBER(AVERAGE(IF(ISNUMBER(I6:I8),I6:I8,""))),AVERAGE(IF(ISNUMBER(I6:I8),I6:I8,"")),"No Data")</f>
        <v>4.0857142857142863</v>
      </c>
      <c r="I4" s="623" t="s">
        <v>1007</v>
      </c>
      <c r="J4" s="623"/>
      <c r="K4" s="623"/>
      <c r="L4" s="624"/>
      <c r="M4" s="257">
        <f t="array" aca="1" ref="M4" ca="1">IF(ISNUMBER(AVERAGE(IF(ISNUMBER(N6:N8),N6:N8,""))),AVERAGE(IF(ISNUMBER(N6:N8),N6:N8,"")),"No Data")</f>
        <v>4.1294642857142856</v>
      </c>
      <c r="N4" s="623" t="s">
        <v>1008</v>
      </c>
      <c r="O4" s="623"/>
      <c r="P4" s="623"/>
      <c r="Q4" s="624"/>
      <c r="R4" s="257">
        <f t="array" aca="1" ref="R4" ca="1">IF(ISNUMBER(AVERAGE(IF(ISNUMBER(S6:S8),S6:S8,""))),AVERAGE(IF(ISNUMBER(S6:S8),S6:S8,"")),"No Data")</f>
        <v>5</v>
      </c>
      <c r="S4" s="623" t="s">
        <v>1009</v>
      </c>
      <c r="T4" s="623"/>
      <c r="U4" s="623"/>
      <c r="V4" s="624"/>
    </row>
    <row r="5" spans="1:22" s="1" customFormat="1" ht="58.5" customHeight="1" thickBot="1">
      <c r="A5" s="612"/>
      <c r="B5" s="258"/>
      <c r="C5" s="614" t="s">
        <v>1010</v>
      </c>
      <c r="D5" s="615"/>
      <c r="E5" s="615"/>
      <c r="F5" s="615"/>
      <c r="G5" s="616"/>
      <c r="H5" s="614" t="s">
        <v>1011</v>
      </c>
      <c r="I5" s="615"/>
      <c r="J5" s="615"/>
      <c r="K5" s="615"/>
      <c r="L5" s="616"/>
      <c r="M5" s="614" t="s">
        <v>1012</v>
      </c>
      <c r="N5" s="615"/>
      <c r="O5" s="615"/>
      <c r="P5" s="615"/>
      <c r="Q5" s="616"/>
      <c r="R5" s="614" t="s">
        <v>1013</v>
      </c>
      <c r="S5" s="615"/>
      <c r="T5" s="615"/>
      <c r="U5" s="615"/>
      <c r="V5" s="616"/>
    </row>
    <row r="6" spans="1:22" s="1" customFormat="1" ht="35.25" customHeight="1" thickTop="1">
      <c r="A6" s="612"/>
      <c r="B6" s="617" t="s">
        <v>1014</v>
      </c>
      <c r="C6" s="259">
        <f t="array" ref="C6">COUNT(FIND(F6,'Survey Mapping'!$E$4:$E$23),FIND(F6,'Survey Mapping'!$M$4:$M$25),FIND(F6,'Survey Mapping'!$V$4:$V$25))</f>
        <v>7</v>
      </c>
      <c r="D6" s="260">
        <f t="array" aca="1" ref="D6" ca="1">AVERAGE(IF(F6='Survey Mapping'!$E$4:$E$23,'Survey Mapping'!$B$4:$B$23),IF(F6='Survey Mapping'!$M$4:$M$23,'Survey Mapping'!$J$4:$J$23),IF(F6='Survey Mapping'!$V$4:$V$23,'Survey Mapping'!$R$4:$R$23))</f>
        <v>4.1632653061224483</v>
      </c>
      <c r="E6" s="260">
        <f ca="1">IF(ISNUMBER(D6),D6,"No Data")</f>
        <v>4.1632653061224483</v>
      </c>
      <c r="F6" s="261" t="s">
        <v>903</v>
      </c>
      <c r="G6" s="262" t="s">
        <v>1015</v>
      </c>
      <c r="H6" s="259">
        <f t="array" ref="H6">COUNT(FIND(K6,'Survey Mapping'!$E$4:$E$23),FIND(K6,'Survey Mapping'!$M$4:$M$25),FIND(K6,'Survey Mapping'!$V$4:$V$25))</f>
        <v>0</v>
      </c>
      <c r="I6" s="260" t="e">
        <f t="array" aca="1" ref="I6" ca="1">AVERAGE(IF(K6='Survey Mapping'!$E$4:$E$23,'Survey Mapping'!$B$4:$B$23),IF(K6='Survey Mapping'!$M$4:$M$23,'Survey Mapping'!$J$4:$J$23),IF(K6='Survey Mapping'!$V$4:$V$23,'Survey Mapping'!$R$4:$R$23))</f>
        <v>#DIV/0!</v>
      </c>
      <c r="J6" s="260" t="str">
        <f ca="1">IF(ISNUMBER(I6),I6,"No Data")</f>
        <v>No Data</v>
      </c>
      <c r="K6" s="261" t="s">
        <v>1016</v>
      </c>
      <c r="L6" s="262" t="s">
        <v>1017</v>
      </c>
      <c r="M6" s="259">
        <f t="array" ref="M6">COUNT(FIND(P6,'Survey Mapping'!$E$4:$E$23),FIND(P6,'Survey Mapping'!$M$4:$M$25),FIND(P6,'Survey Mapping'!$V$4:$V$25))</f>
        <v>6</v>
      </c>
      <c r="N6" s="260">
        <f t="array" aca="1" ref="N6" ca="1">AVERAGE(IF(P6='Survey Mapping'!$E$4:$E$23,'Survey Mapping'!$B$4:$B$23),IF(P6='Survey Mapping'!$M$4:$M$23,'Survey Mapping'!$J$4:$J$23),IF(P6='Survey Mapping'!$V$4:$V$23,'Survey Mapping'!$R$4:$R$23))</f>
        <v>4.0505952380952381</v>
      </c>
      <c r="O6" s="260">
        <f ca="1">IF(ISNUMBER(N6),N6,"No Data")</f>
        <v>4.0505952380952381</v>
      </c>
      <c r="P6" s="261" t="s">
        <v>908</v>
      </c>
      <c r="Q6" s="262" t="s">
        <v>1018</v>
      </c>
      <c r="R6" s="259">
        <f t="array" ref="R6">COUNT(FIND(U6,'Survey Mapping'!$E$4:$E$23),FIND(U6,'Survey Mapping'!$M$4:$M$25),FIND(U6,'Survey Mapping'!$V$4:$V$25))</f>
        <v>4</v>
      </c>
      <c r="S6" s="260">
        <f t="array" aca="1" ref="S6" ca="1">AVERAGE(IF(U6='Survey Mapping'!$E$4:$E$23,'Survey Mapping'!$B$4:$B$23),IF(U6='Survey Mapping'!$M$4:$M$23,'Survey Mapping'!$J$4:$J$23),IF(U6='Survey Mapping'!$V$4:$V$23,'Survey Mapping'!$R$4:$R$23))</f>
        <v>5</v>
      </c>
      <c r="T6" s="260">
        <f ca="1">IF(ISNUMBER(S6),S6,"No Data")</f>
        <v>5</v>
      </c>
      <c r="U6" s="261" t="s">
        <v>913</v>
      </c>
      <c r="V6" s="262" t="s">
        <v>1019</v>
      </c>
    </row>
    <row r="7" spans="1:22" s="1" customFormat="1" ht="47.25" customHeight="1">
      <c r="A7" s="612"/>
      <c r="B7" s="618"/>
      <c r="C7" s="263">
        <f t="array" ref="C7">COUNT(FIND(F7,'Survey Mapping'!$E$4:$E$23),FIND(F7,'Survey Mapping'!$M$4:$M$25),FIND(F7,'Survey Mapping'!$V$4:$V$25))</f>
        <v>6</v>
      </c>
      <c r="D7" s="264">
        <f t="array" aca="1" ref="D7" ca="1">AVERAGE(IF(F7='Survey Mapping'!$E$4:$E$23,'Survey Mapping'!$B$4:$B$23),IF(F7='Survey Mapping'!$M$4:$M$23,'Survey Mapping'!$J$4:$J$23),IF(F7='Survey Mapping'!$V$4:$V$23,'Survey Mapping'!$R$4:$R$23))</f>
        <v>4.0952380952380958</v>
      </c>
      <c r="E7" s="264">
        <f t="shared" ref="E7:E8" ca="1" si="0">IF(ISNUMBER(D7),D7,"No Data")</f>
        <v>4.0952380952380958</v>
      </c>
      <c r="F7" s="265" t="s">
        <v>972</v>
      </c>
      <c r="G7" s="266" t="s">
        <v>1020</v>
      </c>
      <c r="H7" s="263">
        <f t="array" ref="H7">COUNT(FIND(K7,'Survey Mapping'!$E$4:$E$23),FIND(K7,'Survey Mapping'!$M$4:$M$25),FIND(K7,'Survey Mapping'!$V$4:$V$25))</f>
        <v>5</v>
      </c>
      <c r="I7" s="264">
        <f t="array" aca="1" ref="I7" ca="1">AVERAGE(IF(K7='Survey Mapping'!$E$4:$E$23,'Survey Mapping'!$B$4:$B$23),IF(K7='Survey Mapping'!$M$4:$M$23,'Survey Mapping'!$J$4:$J$23),IF(K7='Survey Mapping'!$V$4:$V$23,'Survey Mapping'!$R$4:$R$23))</f>
        <v>4.0857142857142863</v>
      </c>
      <c r="J7" s="264">
        <f t="shared" ref="J7:J8" ca="1" si="1">IF(ISNUMBER(I7),I7,"No Data")</f>
        <v>4.0857142857142863</v>
      </c>
      <c r="K7" s="265" t="s">
        <v>938</v>
      </c>
      <c r="L7" s="266" t="s">
        <v>1021</v>
      </c>
      <c r="M7" s="263">
        <f t="array" ref="M7">COUNT(FIND(P7,'Survey Mapping'!$E$4:$E$23),FIND(P7,'Survey Mapping'!$M$4:$M$25),FIND(P7,'Survey Mapping'!$V$4:$V$25))</f>
        <v>6</v>
      </c>
      <c r="N7" s="264">
        <f t="array" aca="1" ref="N7" ca="1">AVERAGE(IF(P7='Survey Mapping'!$E$4:$E$23,'Survey Mapping'!$B$4:$B$23),IF(P7='Survey Mapping'!$M$4:$M$23,'Survey Mapping'!$J$4:$J$23),IF(P7='Survey Mapping'!$V$4:$V$23,'Survey Mapping'!$R$4:$R$23))</f>
        <v>4.208333333333333</v>
      </c>
      <c r="O7" s="264">
        <f t="shared" ref="O7:O8" ca="1" si="2">IF(ISNUMBER(N7),N7,"No Data")</f>
        <v>4.208333333333333</v>
      </c>
      <c r="P7" s="265" t="s">
        <v>941</v>
      </c>
      <c r="Q7" s="266" t="s">
        <v>1022</v>
      </c>
      <c r="R7" s="263">
        <f t="array" ref="R7">COUNT(FIND(U7,'Survey Mapping'!$E$4:$E$23),FIND(U7,'Survey Mapping'!$M$4:$M$25),FIND(U7,'Survey Mapping'!$V$4:$V$25))</f>
        <v>0</v>
      </c>
      <c r="S7" s="264" t="e">
        <f t="array" aca="1" ref="S7" ca="1">AVERAGE(IF(U7='Survey Mapping'!$E$4:$E$23,'Survey Mapping'!$B$4:$B$23),IF(U7='Survey Mapping'!$M$4:$M$23,'Survey Mapping'!$J$4:$J$23),IF(U7='Survey Mapping'!$V$4:$V$23,'Survey Mapping'!$R$4:$R$23))</f>
        <v>#DIV/0!</v>
      </c>
      <c r="T7" s="264" t="str">
        <f t="shared" ref="T7:T8" ca="1" si="3">IF(ISNUMBER(S7),S7,"No Data")</f>
        <v>No Data</v>
      </c>
      <c r="U7" s="265" t="s">
        <v>1023</v>
      </c>
      <c r="V7" s="266" t="s">
        <v>1024</v>
      </c>
    </row>
    <row r="8" spans="1:22" s="1" customFormat="1" ht="35.25" customHeight="1">
      <c r="A8" s="612"/>
      <c r="B8" s="618"/>
      <c r="C8" s="263">
        <f t="array" ref="C8">COUNT(FIND(F8,'Survey Mapping'!$E$4:$E$23),FIND(F8,'Survey Mapping'!$M$4:$M$25),FIND(F8,'Survey Mapping'!$V$4:$V$25))</f>
        <v>7</v>
      </c>
      <c r="D8" s="264">
        <f t="array" aca="1" ref="D8" ca="1">AVERAGE(IF(F8='Survey Mapping'!$E$4:$E$23,'Survey Mapping'!$B$4:$B$23),IF(F8='Survey Mapping'!$M$4:$M$23,'Survey Mapping'!$J$4:$J$23),IF(F8='Survey Mapping'!$V$4:$V$23,'Survey Mapping'!$R$4:$R$23))</f>
        <v>4.2142857142857144</v>
      </c>
      <c r="E8" s="264">
        <f t="shared" ca="1" si="0"/>
        <v>4.2142857142857144</v>
      </c>
      <c r="F8" s="265" t="s">
        <v>951</v>
      </c>
      <c r="G8" s="266" t="s">
        <v>1025</v>
      </c>
      <c r="H8" s="263">
        <f t="array" ref="H8">COUNT(FIND(K8,'Survey Mapping'!$E$4:$E$23),FIND(K8,'Survey Mapping'!$M$4:$M$25),FIND(K8,'Survey Mapping'!$V$4:$V$25))</f>
        <v>0</v>
      </c>
      <c r="I8" s="264" t="e">
        <f t="array" aca="1" ref="I8" ca="1">AVERAGE(IF(K8='Survey Mapping'!$E$4:$E$23,'Survey Mapping'!$B$4:$B$23),IF(K8='Survey Mapping'!$M$4:$M$23,'Survey Mapping'!$J$4:$J$23),IF(K8='Survey Mapping'!$V$4:$V$23,'Survey Mapping'!$R$4:$R$23))</f>
        <v>#DIV/0!</v>
      </c>
      <c r="J8" s="264" t="str">
        <f t="shared" ca="1" si="1"/>
        <v>No Data</v>
      </c>
      <c r="K8" s="265" t="s">
        <v>1026</v>
      </c>
      <c r="L8" s="266" t="s">
        <v>1027</v>
      </c>
      <c r="M8" s="263">
        <f t="array" ref="M8">COUNT(FIND(P8,'Survey Mapping'!$E$4:$E$23),FIND(P8,'Survey Mapping'!$M$4:$M$25),FIND(P8,'Survey Mapping'!$V$4:$V$25))</f>
        <v>0</v>
      </c>
      <c r="N8" s="264" t="e">
        <f t="array" aca="1" ref="N8" ca="1">AVERAGE(IF(P8='Survey Mapping'!$E$4:$E$23,'Survey Mapping'!$B$4:$B$23),IF(P8='Survey Mapping'!$M$4:$M$23,'Survey Mapping'!$J$4:$J$23),IF(P8='Survey Mapping'!$V$4:$V$23,'Survey Mapping'!$R$4:$R$23))</f>
        <v>#DIV/0!</v>
      </c>
      <c r="O8" s="264" t="str">
        <f t="shared" ca="1" si="2"/>
        <v>No Data</v>
      </c>
      <c r="P8" s="265" t="s">
        <v>1028</v>
      </c>
      <c r="Q8" s="266" t="s">
        <v>1029</v>
      </c>
      <c r="R8" s="263">
        <f t="array" ref="R8">COUNT(FIND(U8,'Survey Mapping'!$E$4:$E$23),FIND(U8,'Survey Mapping'!$M$4:$M$25),FIND(U8,'Survey Mapping'!$V$4:$V$25))</f>
        <v>1</v>
      </c>
      <c r="S8" s="264">
        <f t="array" aca="1" ref="S8" ca="1">AVERAGE(IF(U8='Survey Mapping'!$E$4:$E$23,'Survey Mapping'!$B$4:$B$23),IF(U8='Survey Mapping'!$M$4:$M$23,'Survey Mapping'!$J$4:$J$23),IF(U8='Survey Mapping'!$V$4:$V$23,'Survey Mapping'!$R$4:$R$23))</f>
        <v>5</v>
      </c>
      <c r="T8" s="264">
        <f t="shared" ca="1" si="3"/>
        <v>5</v>
      </c>
      <c r="U8" s="265" t="s">
        <v>955</v>
      </c>
      <c r="V8" s="266" t="s">
        <v>1030</v>
      </c>
    </row>
    <row r="9" spans="1:22" s="1" customFormat="1" ht="24" customHeight="1">
      <c r="A9" s="612"/>
      <c r="B9" s="618"/>
      <c r="C9" s="263"/>
      <c r="D9" s="271"/>
      <c r="E9" s="271"/>
      <c r="F9" s="271"/>
      <c r="G9" s="272"/>
      <c r="H9" s="263"/>
      <c r="I9" s="271"/>
      <c r="J9" s="271"/>
      <c r="K9" s="265"/>
      <c r="L9" s="266"/>
      <c r="M9" s="263"/>
      <c r="N9" s="271"/>
      <c r="O9" s="271"/>
      <c r="P9" s="265"/>
      <c r="Q9" s="266"/>
      <c r="R9" s="263"/>
      <c r="S9" s="271"/>
      <c r="T9" s="271"/>
      <c r="U9" s="265"/>
      <c r="V9" s="266"/>
    </row>
    <row r="10" spans="1:22" s="1" customFormat="1" ht="24" customHeight="1" thickBot="1">
      <c r="A10" s="613"/>
      <c r="B10" s="619"/>
      <c r="C10" s="267"/>
      <c r="D10" s="268"/>
      <c r="E10" s="268"/>
      <c r="F10" s="268"/>
      <c r="G10" s="269"/>
      <c r="H10" s="267"/>
      <c r="I10" s="268"/>
      <c r="J10" s="268"/>
      <c r="K10" s="270"/>
      <c r="L10" s="248"/>
      <c r="M10" s="267"/>
      <c r="N10" s="268"/>
      <c r="O10" s="268"/>
      <c r="P10" s="268"/>
      <c r="Q10" s="269"/>
      <c r="R10" s="267"/>
      <c r="S10" s="268"/>
      <c r="T10" s="268"/>
      <c r="U10" s="268"/>
      <c r="V10" s="248"/>
    </row>
    <row r="11" spans="1:22" ht="20.25" customHeight="1" thickTop="1"/>
  </sheetData>
  <mergeCells count="23">
    <mergeCell ref="C1:G1"/>
    <mergeCell ref="H1:L1"/>
    <mergeCell ref="M1:Q1"/>
    <mergeCell ref="R1:V1"/>
    <mergeCell ref="B2:B3"/>
    <mergeCell ref="C2:G2"/>
    <mergeCell ref="H2:L2"/>
    <mergeCell ref="M2:Q2"/>
    <mergeCell ref="R2:V2"/>
    <mergeCell ref="C3:G3"/>
    <mergeCell ref="A4:A10"/>
    <mergeCell ref="M5:Q5"/>
    <mergeCell ref="R5:V5"/>
    <mergeCell ref="B6:B10"/>
    <mergeCell ref="H3:L3"/>
    <mergeCell ref="M3:Q3"/>
    <mergeCell ref="R3:V3"/>
    <mergeCell ref="D4:G4"/>
    <mergeCell ref="I4:L4"/>
    <mergeCell ref="N4:Q4"/>
    <mergeCell ref="S4:V4"/>
    <mergeCell ref="C5:G5"/>
    <mergeCell ref="H5:L5"/>
  </mergeCells>
  <hyperlinks>
    <hyperlink ref="A1" location="'Table of Contents'!A1" display="Table of Contents"/>
  </hyperlinks>
  <pageMargins left="0.7" right="0.7" top="0.75" bottom="0.75" header="0.3" footer="0.3"/>
  <pageSetup orientation="landscape" r:id="rId1"/>
  <headerFooter>
    <oddFooter>&amp;L&amp;5&amp;Z&amp;F
Created: 9/29/2006 10:44:00 PM
Last Saved: 2/5/2008 9:15:17 PM
Last Printed: 2/5/2008 6:12:16 PM&amp;R&amp;5&amp;P - &amp;N
Title :&lt;Not Set&gt;
Subject: &lt;Not Set&gt;</oddFooter>
  </headerFooter>
  <rowBreaks count="1" manualBreakCount="1">
    <brk id="10" max="16383" man="1"/>
  </rowBreaks>
  <colBreaks count="1" manualBreakCount="1">
    <brk id="12" max="1048575" man="1"/>
  </colBreaks>
  <legacyDrawing r:id="rId2"/>
</worksheet>
</file>

<file path=xl/worksheets/sheet6.xml><?xml version="1.0" encoding="utf-8"?>
<worksheet xmlns="http://schemas.openxmlformats.org/spreadsheetml/2006/main" xmlns:r="http://schemas.openxmlformats.org/officeDocument/2006/relationships">
  <sheetPr codeName="Sheet17"/>
  <dimension ref="A1:Y66"/>
  <sheetViews>
    <sheetView workbookViewId="0">
      <selection activeCell="B4" sqref="B4:B23"/>
    </sheetView>
  </sheetViews>
  <sheetFormatPr defaultRowHeight="12.75"/>
  <cols>
    <col min="1" max="1" width="3.42578125" style="202" customWidth="1"/>
    <col min="2" max="3" width="5.7109375" style="3" customWidth="1"/>
    <col min="4" max="4" width="3.42578125" style="206" bestFit="1" customWidth="1"/>
    <col min="5" max="5" width="4.5703125" style="250" bestFit="1" customWidth="1"/>
    <col min="6" max="6" width="9.140625" style="3"/>
    <col min="7" max="7" width="9.140625" style="249"/>
    <col min="8" max="8" width="21.5703125" style="1" customWidth="1"/>
    <col min="9" max="9" width="1.28515625" style="39" customWidth="1"/>
    <col min="10" max="10" width="5.7109375" style="39" customWidth="1"/>
    <col min="11" max="11" width="5.5703125" style="39" customWidth="1"/>
    <col min="12" max="12" width="3.42578125" style="203" bestFit="1" customWidth="1"/>
    <col min="13" max="13" width="4.5703125" style="203" bestFit="1" customWidth="1"/>
    <col min="14" max="14" width="9.140625" style="3"/>
    <col min="15" max="15" width="9.140625" style="249"/>
    <col min="16" max="16" width="21.5703125" style="1" customWidth="1"/>
    <col min="17" max="17" width="1.42578125" style="39" customWidth="1"/>
    <col min="18" max="18" width="5.7109375" style="39" customWidth="1"/>
    <col min="19" max="19" width="5.85546875" style="39" customWidth="1"/>
    <col min="20" max="20" width="5.7109375" style="204" customWidth="1"/>
    <col min="21" max="21" width="3.42578125" style="203" bestFit="1" customWidth="1"/>
    <col min="22" max="22" width="4.85546875" style="203" bestFit="1" customWidth="1"/>
    <col min="23" max="23" width="9.140625" style="2"/>
    <col min="24" max="24" width="9.140625" style="249"/>
    <col min="25" max="25" width="21.5703125" style="1" customWidth="1"/>
    <col min="26" max="16384" width="9.140625" style="202"/>
  </cols>
  <sheetData>
    <row r="1" spans="1:25">
      <c r="A1" s="5" t="s">
        <v>30</v>
      </c>
    </row>
    <row r="2" spans="1:25" ht="21" thickBot="1">
      <c r="B2" s="3" t="str">
        <f>Team_Name</f>
        <v>Viewpoint</v>
      </c>
      <c r="D2" s="636"/>
      <c r="E2" s="636"/>
      <c r="F2" s="637" t="s">
        <v>896</v>
      </c>
      <c r="G2" s="637"/>
      <c r="H2" s="637"/>
      <c r="N2" s="637" t="s">
        <v>897</v>
      </c>
      <c r="O2" s="637"/>
      <c r="P2" s="637"/>
      <c r="W2" s="638" t="s">
        <v>898</v>
      </c>
      <c r="X2" s="638"/>
      <c r="Y2" s="638"/>
    </row>
    <row r="3" spans="1:25" ht="21.75" thickTop="1" thickBot="1">
      <c r="B3" s="205" t="s">
        <v>899</v>
      </c>
      <c r="C3" s="205" t="s">
        <v>1173</v>
      </c>
      <c r="D3" s="206" t="s">
        <v>900</v>
      </c>
      <c r="E3" s="206" t="s">
        <v>901</v>
      </c>
      <c r="F3" s="639" t="s">
        <v>421</v>
      </c>
      <c r="G3" s="640"/>
      <c r="H3" s="641"/>
      <c r="I3" s="207"/>
      <c r="J3" s="205" t="s">
        <v>899</v>
      </c>
      <c r="K3" s="205" t="s">
        <v>1173</v>
      </c>
      <c r="L3" s="206" t="s">
        <v>900</v>
      </c>
      <c r="M3" s="206" t="s">
        <v>901</v>
      </c>
      <c r="N3" s="642" t="s">
        <v>811</v>
      </c>
      <c r="O3" s="643"/>
      <c r="P3" s="644"/>
      <c r="Q3" s="208"/>
      <c r="R3" s="205" t="s">
        <v>899</v>
      </c>
      <c r="S3" s="205" t="s">
        <v>1173</v>
      </c>
      <c r="T3" s="205" t="s">
        <v>899</v>
      </c>
      <c r="U3" s="206" t="s">
        <v>900</v>
      </c>
      <c r="V3" s="206" t="s">
        <v>901</v>
      </c>
      <c r="W3" s="639" t="s">
        <v>882</v>
      </c>
      <c r="X3" s="640"/>
      <c r="Y3" s="641"/>
    </row>
    <row r="4" spans="1:25" s="221" customFormat="1" ht="25.5">
      <c r="A4" s="158">
        <v>6</v>
      </c>
      <c r="B4" s="209">
        <f ca="1" xml:space="preserve"> INDIRECT(ADDRESS(26,$A4,,,"IT Survey Data"))</f>
        <v>4</v>
      </c>
      <c r="C4" s="209">
        <f t="shared" ref="C4:C23" ca="1" si="0" xml:space="preserve"> INDIRECT(ADDRESS(25,$A4,,,"IT Survey Data"))</f>
        <v>0.53452248382484879</v>
      </c>
      <c r="D4" s="210" t="s">
        <v>902</v>
      </c>
      <c r="E4" s="211" t="s">
        <v>903</v>
      </c>
      <c r="F4" s="212" t="s">
        <v>904</v>
      </c>
      <c r="G4" s="213" t="s">
        <v>905</v>
      </c>
      <c r="H4" s="214" t="s">
        <v>906</v>
      </c>
      <c r="I4" s="215"/>
      <c r="J4" s="209">
        <f ca="1" xml:space="preserve"> INDIRECT(ADDRESS(26,$A4,,,"Business Survey Data"))</f>
        <v>4</v>
      </c>
      <c r="K4" s="209">
        <f t="shared" ref="K4:K17" ca="1" si="1" xml:space="preserve"> INDIRECT(ADDRESS(25,$A4,,,"Business Survey Data"))</f>
        <v>1.0690449676496976</v>
      </c>
      <c r="L4" s="210" t="s">
        <v>907</v>
      </c>
      <c r="M4" s="216" t="s">
        <v>908</v>
      </c>
      <c r="N4" s="212" t="s">
        <v>909</v>
      </c>
      <c r="O4" s="213" t="s">
        <v>910</v>
      </c>
      <c r="P4" s="214" t="s">
        <v>911</v>
      </c>
      <c r="Q4" s="215"/>
      <c r="R4" s="570">
        <f t="shared" ref="R4:R11" ca="1" si="2" xml:space="preserve"> INDIRECT(ADDRESS(26,$A4,,,"Partner Survey Data"))</f>
        <v>5</v>
      </c>
      <c r="S4" s="570">
        <f t="shared" ref="S4:S11" ca="1" si="3" xml:space="preserve"> INDIRECT(ADDRESS(25,$A4,,,"Partner Survey Data"))</f>
        <v>0</v>
      </c>
      <c r="T4" s="489">
        <f t="shared" ref="T4:T11" ca="1" si="4" xml:space="preserve"> INDIRECT(ADDRESS(24,$A4,,,"Partner Survey Data"))</f>
        <v>4.117647058823529</v>
      </c>
      <c r="U4" s="210" t="s">
        <v>912</v>
      </c>
      <c r="V4" s="211" t="s">
        <v>913</v>
      </c>
      <c r="W4" s="218" t="s">
        <v>914</v>
      </c>
      <c r="X4" s="219" t="s">
        <v>915</v>
      </c>
      <c r="Y4" s="220" t="s">
        <v>813</v>
      </c>
    </row>
    <row r="5" spans="1:25" s="221" customFormat="1" ht="41.25">
      <c r="A5" s="158">
        <v>8</v>
      </c>
      <c r="B5" s="209">
        <f t="shared" ref="B5:B23" ca="1" si="5" xml:space="preserve"> INDIRECT(ADDRESS(26,$A5,,,"IT Survey Data"))</f>
        <v>4</v>
      </c>
      <c r="C5" s="209">
        <f t="shared" ca="1" si="0"/>
        <v>0.53452248382484879</v>
      </c>
      <c r="D5" s="222" t="s">
        <v>902</v>
      </c>
      <c r="E5" s="223" t="s">
        <v>903</v>
      </c>
      <c r="F5" s="224" t="s">
        <v>916</v>
      </c>
      <c r="G5" s="225" t="s">
        <v>917</v>
      </c>
      <c r="H5" s="226" t="s">
        <v>918</v>
      </c>
      <c r="I5" s="215"/>
      <c r="J5" s="209">
        <f t="shared" ref="J5:J17" ca="1" si="6" xml:space="preserve"> INDIRECT(ADDRESS(26,$A5,,,"Business Survey Data"))</f>
        <v>4.2857142857142856</v>
      </c>
      <c r="K5" s="209">
        <f t="shared" ca="1" si="1"/>
        <v>0.45175395145262565</v>
      </c>
      <c r="L5" s="222" t="s">
        <v>907</v>
      </c>
      <c r="M5" s="227" t="s">
        <v>908</v>
      </c>
      <c r="N5" s="224" t="s">
        <v>902</v>
      </c>
      <c r="O5" s="225" t="s">
        <v>919</v>
      </c>
      <c r="P5" s="226" t="s">
        <v>700</v>
      </c>
      <c r="Q5" s="215"/>
      <c r="R5" s="570">
        <f t="shared" ca="1" si="2"/>
        <v>5</v>
      </c>
      <c r="S5" s="570">
        <f t="shared" ca="1" si="3"/>
        <v>0</v>
      </c>
      <c r="T5" s="489">
        <f t="shared" ca="1" si="4"/>
        <v>4.1764705882352944</v>
      </c>
      <c r="U5" s="222" t="s">
        <v>912</v>
      </c>
      <c r="V5" s="223" t="s">
        <v>913</v>
      </c>
      <c r="W5" s="228" t="s">
        <v>920</v>
      </c>
      <c r="X5" s="229" t="s">
        <v>921</v>
      </c>
      <c r="Y5" s="230" t="s">
        <v>922</v>
      </c>
    </row>
    <row r="6" spans="1:25" s="221" customFormat="1" ht="17.25">
      <c r="A6" s="158">
        <v>10</v>
      </c>
      <c r="B6" s="209">
        <f t="shared" ca="1" si="5"/>
        <v>4</v>
      </c>
      <c r="C6" s="209">
        <f t="shared" ca="1" si="0"/>
        <v>0</v>
      </c>
      <c r="D6" s="222" t="s">
        <v>902</v>
      </c>
      <c r="E6" s="223" t="s">
        <v>903</v>
      </c>
      <c r="F6" s="224" t="s">
        <v>904</v>
      </c>
      <c r="G6" s="225" t="s">
        <v>923</v>
      </c>
      <c r="H6" s="226" t="s">
        <v>924</v>
      </c>
      <c r="I6" s="215"/>
      <c r="J6" s="209">
        <f t="shared" ca="1" si="6"/>
        <v>4.1428571428571432</v>
      </c>
      <c r="K6" s="209">
        <f t="shared" ca="1" si="1"/>
        <v>0.3499271061118826</v>
      </c>
      <c r="L6" s="222" t="s">
        <v>907</v>
      </c>
      <c r="M6" s="223" t="s">
        <v>908</v>
      </c>
      <c r="N6" s="224" t="s">
        <v>925</v>
      </c>
      <c r="O6" s="225" t="s">
        <v>926</v>
      </c>
      <c r="P6" s="226" t="s">
        <v>927</v>
      </c>
      <c r="Q6" s="215"/>
      <c r="R6" s="570">
        <f t="shared" ca="1" si="2"/>
        <v>5</v>
      </c>
      <c r="S6" s="570">
        <f t="shared" ca="1" si="3"/>
        <v>0</v>
      </c>
      <c r="T6" s="489">
        <f t="shared" ca="1" si="4"/>
        <v>3.7058823529411766</v>
      </c>
      <c r="U6" s="222" t="s">
        <v>912</v>
      </c>
      <c r="V6" s="223" t="s">
        <v>913</v>
      </c>
      <c r="W6" s="228" t="s">
        <v>914</v>
      </c>
      <c r="X6" s="229" t="s">
        <v>928</v>
      </c>
      <c r="Y6" s="231" t="s">
        <v>816</v>
      </c>
    </row>
    <row r="7" spans="1:25" s="221" customFormat="1" ht="42">
      <c r="A7" s="158">
        <v>12</v>
      </c>
      <c r="B7" s="209">
        <f t="shared" ca="1" si="5"/>
        <v>4.2857142857142856</v>
      </c>
      <c r="C7" s="209">
        <f t="shared" ca="1" si="0"/>
        <v>0.6998542122237652</v>
      </c>
      <c r="D7" s="222" t="s">
        <v>902</v>
      </c>
      <c r="E7" s="223" t="s">
        <v>903</v>
      </c>
      <c r="F7" s="224" t="s">
        <v>916</v>
      </c>
      <c r="G7" s="225" t="s">
        <v>929</v>
      </c>
      <c r="H7" s="226" t="s">
        <v>930</v>
      </c>
      <c r="I7" s="215"/>
      <c r="J7" s="209">
        <f t="shared" ca="1" si="6"/>
        <v>3.875</v>
      </c>
      <c r="K7" s="209">
        <f t="shared" ca="1" si="1"/>
        <v>0.92702481088695787</v>
      </c>
      <c r="L7" s="222" t="s">
        <v>907</v>
      </c>
      <c r="M7" s="223" t="s">
        <v>908</v>
      </c>
      <c r="N7" s="224" t="s">
        <v>909</v>
      </c>
      <c r="O7" s="225" t="s">
        <v>931</v>
      </c>
      <c r="P7" s="226" t="s">
        <v>703</v>
      </c>
      <c r="Q7" s="215"/>
      <c r="R7" s="570">
        <f t="shared" ca="1" si="2"/>
        <v>5</v>
      </c>
      <c r="S7" s="570">
        <f t="shared" ca="1" si="3"/>
        <v>0</v>
      </c>
      <c r="T7" s="489">
        <f t="shared" ca="1" si="4"/>
        <v>3.625</v>
      </c>
      <c r="U7" s="222" t="s">
        <v>912</v>
      </c>
      <c r="V7" s="223" t="s">
        <v>913</v>
      </c>
      <c r="W7" s="228" t="s">
        <v>909</v>
      </c>
      <c r="X7" s="229" t="s">
        <v>932</v>
      </c>
      <c r="Y7" s="231" t="s">
        <v>933</v>
      </c>
    </row>
    <row r="8" spans="1:25" s="221" customFormat="1" ht="17.25">
      <c r="A8" s="158">
        <v>14</v>
      </c>
      <c r="B8" s="209">
        <f t="shared" ca="1" si="5"/>
        <v>4.5714285714285712</v>
      </c>
      <c r="C8" s="209">
        <f t="shared" ca="1" si="0"/>
        <v>0.49487165930539351</v>
      </c>
      <c r="D8" s="222" t="s">
        <v>902</v>
      </c>
      <c r="E8" s="223" t="s">
        <v>903</v>
      </c>
      <c r="F8" s="224" t="s">
        <v>916</v>
      </c>
      <c r="G8" s="225" t="s">
        <v>934</v>
      </c>
      <c r="H8" s="226" t="s">
        <v>935</v>
      </c>
      <c r="I8" s="215"/>
      <c r="J8" s="209">
        <f t="shared" ca="1" si="6"/>
        <v>4</v>
      </c>
      <c r="K8" s="209">
        <f t="shared" ca="1" si="1"/>
        <v>0.70710678118654757</v>
      </c>
      <c r="L8" s="222" t="s">
        <v>907</v>
      </c>
      <c r="M8" s="223" t="s">
        <v>908</v>
      </c>
      <c r="N8" s="224" t="s">
        <v>904</v>
      </c>
      <c r="O8" s="225" t="s">
        <v>936</v>
      </c>
      <c r="P8" s="226" t="s">
        <v>705</v>
      </c>
      <c r="Q8" s="215"/>
      <c r="R8" s="570">
        <f t="shared" ca="1" si="2"/>
        <v>4</v>
      </c>
      <c r="S8" s="570">
        <f t="shared" ca="1" si="3"/>
        <v>0</v>
      </c>
      <c r="T8" s="489">
        <f t="shared" ca="1" si="4"/>
        <v>4.2</v>
      </c>
      <c r="U8" s="222" t="s">
        <v>937</v>
      </c>
      <c r="V8" s="223" t="s">
        <v>938</v>
      </c>
      <c r="W8" s="228" t="s">
        <v>920</v>
      </c>
      <c r="X8" s="229" t="s">
        <v>939</v>
      </c>
      <c r="Y8" s="231" t="s">
        <v>818</v>
      </c>
    </row>
    <row r="9" spans="1:25" s="221" customFormat="1" ht="24.75">
      <c r="A9" s="158">
        <v>16</v>
      </c>
      <c r="B9" s="209">
        <f t="shared" ca="1" si="5"/>
        <v>4.1428571428571432</v>
      </c>
      <c r="C9" s="209">
        <f t="shared" ca="1" si="0"/>
        <v>0.83299312783504287</v>
      </c>
      <c r="D9" s="222" t="s">
        <v>902</v>
      </c>
      <c r="E9" s="227" t="s">
        <v>903</v>
      </c>
      <c r="F9" s="224" t="s">
        <v>904</v>
      </c>
      <c r="G9" s="225" t="s">
        <v>940</v>
      </c>
      <c r="H9" s="226" t="s">
        <v>146</v>
      </c>
      <c r="I9" s="215"/>
      <c r="J9" s="209">
        <f t="shared" ca="1" si="6"/>
        <v>3.875</v>
      </c>
      <c r="K9" s="209">
        <f t="shared" ca="1" si="1"/>
        <v>0.92702481088695787</v>
      </c>
      <c r="L9" s="222" t="s">
        <v>907</v>
      </c>
      <c r="M9" s="227" t="s">
        <v>941</v>
      </c>
      <c r="N9" s="224" t="s">
        <v>942</v>
      </c>
      <c r="O9" s="225" t="s">
        <v>943</v>
      </c>
      <c r="P9" s="226" t="s">
        <v>707</v>
      </c>
      <c r="Q9" s="215"/>
      <c r="R9" s="570">
        <f t="shared" ca="1" si="2"/>
        <v>4</v>
      </c>
      <c r="S9" s="570">
        <f t="shared" ca="1" si="3"/>
        <v>0</v>
      </c>
      <c r="T9" s="489">
        <f t="shared" ca="1" si="4"/>
        <v>3.9411764705882355</v>
      </c>
      <c r="U9" s="222" t="s">
        <v>907</v>
      </c>
      <c r="V9" s="227" t="s">
        <v>941</v>
      </c>
      <c r="W9" s="228" t="s">
        <v>944</v>
      </c>
      <c r="X9" s="229" t="s">
        <v>945</v>
      </c>
      <c r="Y9" s="231" t="s">
        <v>824</v>
      </c>
    </row>
    <row r="10" spans="1:25" s="221" customFormat="1" ht="25.5">
      <c r="A10" s="158">
        <v>18</v>
      </c>
      <c r="B10" s="209">
        <f t="shared" ca="1" si="5"/>
        <v>4.1428571428571432</v>
      </c>
      <c r="C10" s="209">
        <f t="shared" ca="1" si="0"/>
        <v>0.98974331861078702</v>
      </c>
      <c r="D10" s="222" t="s">
        <v>902</v>
      </c>
      <c r="E10" s="223" t="s">
        <v>903</v>
      </c>
      <c r="F10" s="224" t="s">
        <v>914</v>
      </c>
      <c r="G10" s="225" t="s">
        <v>946</v>
      </c>
      <c r="H10" s="226" t="s">
        <v>947</v>
      </c>
      <c r="I10" s="215"/>
      <c r="J10" s="209">
        <f t="shared" ca="1" si="6"/>
        <v>4.25</v>
      </c>
      <c r="K10" s="209">
        <f t="shared" ca="1" si="1"/>
        <v>0.4330127018922193</v>
      </c>
      <c r="L10" s="222" t="s">
        <v>907</v>
      </c>
      <c r="M10" s="223" t="s">
        <v>941</v>
      </c>
      <c r="N10" s="224" t="s">
        <v>942</v>
      </c>
      <c r="O10" s="225" t="s">
        <v>948</v>
      </c>
      <c r="P10" s="226" t="s">
        <v>708</v>
      </c>
      <c r="Q10" s="215"/>
      <c r="R10" s="570">
        <f t="shared" ca="1" si="2"/>
        <v>5</v>
      </c>
      <c r="S10" s="570">
        <f t="shared" ca="1" si="3"/>
        <v>0</v>
      </c>
      <c r="T10" s="489">
        <f t="shared" ca="1" si="4"/>
        <v>4.2666666666666666</v>
      </c>
      <c r="U10" s="222" t="s">
        <v>902</v>
      </c>
      <c r="V10" s="223" t="s">
        <v>951</v>
      </c>
      <c r="W10" s="228" t="s">
        <v>904</v>
      </c>
      <c r="X10" s="229" t="s">
        <v>949</v>
      </c>
      <c r="Y10" s="231" t="s">
        <v>950</v>
      </c>
    </row>
    <row r="11" spans="1:25" s="221" customFormat="1" ht="24.75">
      <c r="A11" s="158">
        <v>20</v>
      </c>
      <c r="B11" s="209">
        <f t="shared" ca="1" si="5"/>
        <v>4.4285714285714288</v>
      </c>
      <c r="C11" s="209">
        <f t="shared" ca="1" si="0"/>
        <v>0.49487165930539351</v>
      </c>
      <c r="D11" s="222" t="s">
        <v>902</v>
      </c>
      <c r="E11" s="223" t="s">
        <v>951</v>
      </c>
      <c r="F11" s="224" t="s">
        <v>904</v>
      </c>
      <c r="G11" s="225" t="s">
        <v>952</v>
      </c>
      <c r="H11" s="226" t="s">
        <v>153</v>
      </c>
      <c r="I11" s="215"/>
      <c r="J11" s="209">
        <f t="shared" ca="1" si="6"/>
        <v>4.25</v>
      </c>
      <c r="K11" s="209">
        <f t="shared" ca="1" si="1"/>
        <v>0.66143782776614768</v>
      </c>
      <c r="L11" s="222" t="s">
        <v>907</v>
      </c>
      <c r="M11" s="223" t="s">
        <v>941</v>
      </c>
      <c r="N11" s="224" t="s">
        <v>909</v>
      </c>
      <c r="O11" s="225" t="s">
        <v>953</v>
      </c>
      <c r="P11" s="226" t="s">
        <v>954</v>
      </c>
      <c r="Q11" s="215"/>
      <c r="R11" s="570">
        <f t="shared" ca="1" si="2"/>
        <v>5</v>
      </c>
      <c r="S11" s="570">
        <f t="shared" ca="1" si="3"/>
        <v>0</v>
      </c>
      <c r="T11" s="489">
        <f t="shared" ca="1" si="4"/>
        <v>4.0625</v>
      </c>
      <c r="U11" s="232" t="s">
        <v>912</v>
      </c>
      <c r="V11" s="233" t="s">
        <v>955</v>
      </c>
      <c r="W11" s="228" t="s">
        <v>902</v>
      </c>
      <c r="X11" s="229" t="s">
        <v>956</v>
      </c>
      <c r="Y11" s="231" t="s">
        <v>821</v>
      </c>
    </row>
    <row r="12" spans="1:25" s="221" customFormat="1" ht="33">
      <c r="A12" s="158">
        <v>22</v>
      </c>
      <c r="B12" s="209">
        <f t="shared" ca="1" si="5"/>
        <v>3.7142857142857144</v>
      </c>
      <c r="C12" s="209">
        <f t="shared" ca="1" si="0"/>
        <v>0.88063057185271088</v>
      </c>
      <c r="D12" s="222" t="s">
        <v>902</v>
      </c>
      <c r="E12" s="223" t="s">
        <v>951</v>
      </c>
      <c r="F12" s="224" t="s">
        <v>904</v>
      </c>
      <c r="G12" s="225" t="s">
        <v>957</v>
      </c>
      <c r="H12" s="226" t="s">
        <v>156</v>
      </c>
      <c r="I12" s="215"/>
      <c r="J12" s="209">
        <f t="shared" ca="1" si="6"/>
        <v>4.625</v>
      </c>
      <c r="K12" s="209">
        <f t="shared" ca="1" si="1"/>
        <v>0.48412291827592713</v>
      </c>
      <c r="L12" s="222" t="s">
        <v>907</v>
      </c>
      <c r="M12" s="223" t="s">
        <v>941</v>
      </c>
      <c r="N12" s="224" t="s">
        <v>902</v>
      </c>
      <c r="O12" s="225" t="s">
        <v>958</v>
      </c>
      <c r="P12" s="226" t="s">
        <v>711</v>
      </c>
      <c r="Q12" s="215"/>
      <c r="R12" s="215"/>
      <c r="S12" s="215"/>
      <c r="T12" s="217"/>
      <c r="U12" s="222"/>
      <c r="V12" s="223"/>
      <c r="W12" s="228"/>
      <c r="X12" s="229" t="s">
        <v>959</v>
      </c>
      <c r="Y12" s="231" t="s">
        <v>822</v>
      </c>
    </row>
    <row r="13" spans="1:25" s="221" customFormat="1" ht="33">
      <c r="A13" s="158">
        <v>24</v>
      </c>
      <c r="B13" s="209">
        <f t="shared" ca="1" si="5"/>
        <v>4.1428571428571432</v>
      </c>
      <c r="C13" s="209">
        <f t="shared" ca="1" si="0"/>
        <v>0.3499271061118826</v>
      </c>
      <c r="D13" s="222" t="s">
        <v>902</v>
      </c>
      <c r="E13" s="223" t="s">
        <v>951</v>
      </c>
      <c r="F13" s="224" t="s">
        <v>904</v>
      </c>
      <c r="G13" s="225" t="s">
        <v>960</v>
      </c>
      <c r="H13" s="226" t="s">
        <v>159</v>
      </c>
      <c r="I13" s="215"/>
      <c r="J13" s="209">
        <f t="shared" ca="1" si="6"/>
        <v>4</v>
      </c>
      <c r="K13" s="209">
        <f t="shared" ca="1" si="1"/>
        <v>1.3093073414159542</v>
      </c>
      <c r="L13" s="222" t="s">
        <v>907</v>
      </c>
      <c r="M13" s="223" t="s">
        <v>908</v>
      </c>
      <c r="N13" s="234" t="s">
        <v>961</v>
      </c>
      <c r="O13" s="225" t="s">
        <v>962</v>
      </c>
      <c r="P13" s="226" t="s">
        <v>963</v>
      </c>
      <c r="Q13" s="215"/>
      <c r="R13" s="215"/>
      <c r="S13" s="215"/>
      <c r="T13" s="217"/>
      <c r="U13" s="222"/>
      <c r="V13" s="223"/>
      <c r="W13" s="228"/>
      <c r="X13" s="229" t="s">
        <v>964</v>
      </c>
      <c r="Y13" s="231" t="s">
        <v>965</v>
      </c>
    </row>
    <row r="14" spans="1:25" s="221" customFormat="1" ht="24.75">
      <c r="A14" s="158">
        <v>26</v>
      </c>
      <c r="B14" s="209">
        <f t="shared" ca="1" si="5"/>
        <v>4.2857142857142856</v>
      </c>
      <c r="C14" s="209">
        <f t="shared" ca="1" si="0"/>
        <v>0.6998542122237652</v>
      </c>
      <c r="D14" s="222" t="s">
        <v>902</v>
      </c>
      <c r="E14" s="223" t="s">
        <v>951</v>
      </c>
      <c r="F14" s="224" t="s">
        <v>920</v>
      </c>
      <c r="G14" s="225" t="s">
        <v>966</v>
      </c>
      <c r="H14" s="226" t="s">
        <v>162</v>
      </c>
      <c r="I14" s="215"/>
      <c r="J14" s="209">
        <f t="shared" ca="1" si="6"/>
        <v>4.25</v>
      </c>
      <c r="K14" s="209">
        <f t="shared" ca="1" si="1"/>
        <v>0.66143782776614768</v>
      </c>
      <c r="L14" s="222" t="s">
        <v>937</v>
      </c>
      <c r="M14" s="227" t="s">
        <v>938</v>
      </c>
      <c r="N14" s="224" t="s">
        <v>920</v>
      </c>
      <c r="O14" s="225" t="s">
        <v>967</v>
      </c>
      <c r="P14" s="226" t="s">
        <v>968</v>
      </c>
      <c r="Q14" s="215"/>
      <c r="R14" s="215"/>
      <c r="S14" s="215"/>
      <c r="T14" s="217"/>
      <c r="U14" s="222"/>
      <c r="V14" s="223"/>
      <c r="W14" s="228"/>
      <c r="X14" s="235"/>
      <c r="Y14" s="231"/>
    </row>
    <row r="15" spans="1:25" s="221" customFormat="1" ht="24.75">
      <c r="A15" s="158">
        <v>28</v>
      </c>
      <c r="B15" s="209">
        <f t="shared" ca="1" si="5"/>
        <v>4.4285714285714288</v>
      </c>
      <c r="C15" s="209">
        <f t="shared" ca="1" si="0"/>
        <v>0.49487165930539351</v>
      </c>
      <c r="D15" s="222" t="s">
        <v>902</v>
      </c>
      <c r="E15" s="223" t="s">
        <v>951</v>
      </c>
      <c r="F15" s="224" t="s">
        <v>920</v>
      </c>
      <c r="G15" s="225" t="s">
        <v>969</v>
      </c>
      <c r="H15" s="226" t="s">
        <v>166</v>
      </c>
      <c r="I15" s="215"/>
      <c r="J15" s="209">
        <f t="shared" ca="1" si="6"/>
        <v>4.375</v>
      </c>
      <c r="K15" s="209">
        <f t="shared" ca="1" si="1"/>
        <v>0.48412291827592713</v>
      </c>
      <c r="L15" s="222" t="s">
        <v>937</v>
      </c>
      <c r="M15" s="223" t="s">
        <v>938</v>
      </c>
      <c r="N15" s="224" t="s">
        <v>904</v>
      </c>
      <c r="O15" s="225" t="s">
        <v>970</v>
      </c>
      <c r="P15" s="226" t="s">
        <v>971</v>
      </c>
      <c r="Q15" s="215"/>
      <c r="R15" s="215"/>
      <c r="S15" s="215"/>
      <c r="T15" s="217"/>
      <c r="U15" s="222"/>
      <c r="V15" s="223"/>
      <c r="W15" s="228"/>
      <c r="X15" s="235"/>
      <c r="Y15" s="231"/>
    </row>
    <row r="16" spans="1:25" s="221" customFormat="1" ht="24.75">
      <c r="A16" s="158">
        <v>30</v>
      </c>
      <c r="B16" s="209">
        <f t="shared" ca="1" si="5"/>
        <v>4.4285714285714288</v>
      </c>
      <c r="C16" s="209">
        <f t="shared" ca="1" si="0"/>
        <v>0.72843135908468359</v>
      </c>
      <c r="D16" s="222" t="s">
        <v>902</v>
      </c>
      <c r="E16" s="223" t="s">
        <v>972</v>
      </c>
      <c r="F16" s="224" t="s">
        <v>909</v>
      </c>
      <c r="G16" s="225" t="s">
        <v>973</v>
      </c>
      <c r="H16" s="226" t="s">
        <v>169</v>
      </c>
      <c r="I16" s="215"/>
      <c r="J16" s="209">
        <f t="shared" ca="1" si="6"/>
        <v>4.25</v>
      </c>
      <c r="K16" s="209">
        <f t="shared" ca="1" si="1"/>
        <v>0.4330127018922193</v>
      </c>
      <c r="L16" s="222" t="s">
        <v>907</v>
      </c>
      <c r="M16" s="227" t="s">
        <v>941</v>
      </c>
      <c r="N16" s="224" t="s">
        <v>925</v>
      </c>
      <c r="O16" s="225" t="s">
        <v>974</v>
      </c>
      <c r="P16" s="226" t="s">
        <v>812</v>
      </c>
      <c r="Q16" s="215"/>
      <c r="R16" s="215"/>
      <c r="S16" s="215"/>
      <c r="T16" s="217"/>
      <c r="U16" s="222"/>
      <c r="V16" s="223"/>
      <c r="W16" s="228"/>
      <c r="X16" s="235"/>
      <c r="Y16" s="231"/>
    </row>
    <row r="17" spans="1:25" s="221" customFormat="1" ht="33">
      <c r="A17" s="158">
        <v>32</v>
      </c>
      <c r="B17" s="209">
        <f t="shared" ca="1" si="5"/>
        <v>4.2857142857142856</v>
      </c>
      <c r="C17" s="209">
        <f t="shared" ca="1" si="0"/>
        <v>0.6998542122237652</v>
      </c>
      <c r="D17" s="222" t="s">
        <v>902</v>
      </c>
      <c r="E17" s="227" t="s">
        <v>972</v>
      </c>
      <c r="F17" s="224" t="s">
        <v>909</v>
      </c>
      <c r="G17" s="225" t="s">
        <v>975</v>
      </c>
      <c r="H17" s="226" t="s">
        <v>976</v>
      </c>
      <c r="I17" s="215"/>
      <c r="J17" s="209">
        <f t="shared" ca="1" si="6"/>
        <v>4.375</v>
      </c>
      <c r="K17" s="209">
        <f t="shared" ca="1" si="1"/>
        <v>0.48412291827592713</v>
      </c>
      <c r="L17" s="222" t="s">
        <v>937</v>
      </c>
      <c r="M17" s="227" t="s">
        <v>938</v>
      </c>
      <c r="N17" s="224" t="s">
        <v>902</v>
      </c>
      <c r="O17" s="225" t="s">
        <v>977</v>
      </c>
      <c r="P17" s="226" t="s">
        <v>716</v>
      </c>
      <c r="Q17" s="215"/>
      <c r="R17" s="215"/>
      <c r="S17" s="215"/>
      <c r="T17" s="217"/>
      <c r="U17" s="222"/>
      <c r="V17" s="227"/>
      <c r="W17" s="228"/>
      <c r="X17" s="235"/>
      <c r="Y17" s="231"/>
    </row>
    <row r="18" spans="1:25" s="221" customFormat="1" ht="16.5">
      <c r="A18" s="158">
        <v>34</v>
      </c>
      <c r="B18" s="209">
        <f t="shared" ca="1" si="5"/>
        <v>4.2857142857142856</v>
      </c>
      <c r="C18" s="209">
        <f t="shared" ca="1" si="0"/>
        <v>0.6998542122237652</v>
      </c>
      <c r="D18" s="222" t="s">
        <v>902</v>
      </c>
      <c r="E18" s="227" t="s">
        <v>972</v>
      </c>
      <c r="F18" s="224" t="s">
        <v>909</v>
      </c>
      <c r="G18" s="225" t="s">
        <v>978</v>
      </c>
      <c r="H18" s="226" t="s">
        <v>979</v>
      </c>
      <c r="I18" s="215"/>
      <c r="J18" s="215"/>
      <c r="K18" s="215"/>
      <c r="L18" s="222"/>
      <c r="M18" s="236"/>
      <c r="N18" s="224"/>
      <c r="O18" s="225" t="s">
        <v>980</v>
      </c>
      <c r="P18" s="226" t="s">
        <v>822</v>
      </c>
      <c r="Q18" s="215"/>
      <c r="R18" s="215"/>
      <c r="S18" s="215"/>
      <c r="T18" s="217"/>
      <c r="U18" s="222"/>
      <c r="V18" s="227"/>
      <c r="W18" s="228"/>
      <c r="X18" s="235"/>
      <c r="Y18" s="231"/>
    </row>
    <row r="19" spans="1:25" s="221" customFormat="1" ht="16.5">
      <c r="A19" s="158">
        <v>36</v>
      </c>
      <c r="B19" s="209">
        <f t="shared" ca="1" si="5"/>
        <v>4</v>
      </c>
      <c r="C19" s="209">
        <f t="shared" ca="1" si="0"/>
        <v>0.57735026918962573</v>
      </c>
      <c r="D19" s="222" t="s">
        <v>902</v>
      </c>
      <c r="E19" s="227" t="s">
        <v>972</v>
      </c>
      <c r="F19" s="224" t="s">
        <v>909</v>
      </c>
      <c r="G19" s="225" t="s">
        <v>981</v>
      </c>
      <c r="H19" s="226" t="s">
        <v>440</v>
      </c>
      <c r="I19" s="215"/>
      <c r="J19" s="215"/>
      <c r="K19" s="215"/>
      <c r="L19" s="222"/>
      <c r="M19" s="227"/>
      <c r="N19" s="224"/>
      <c r="O19" s="225" t="s">
        <v>982</v>
      </c>
      <c r="P19" s="226" t="s">
        <v>983</v>
      </c>
      <c r="Q19" s="215"/>
      <c r="R19" s="215"/>
      <c r="S19" s="215"/>
      <c r="T19" s="217"/>
      <c r="U19" s="222"/>
      <c r="V19" s="227"/>
      <c r="W19" s="228"/>
      <c r="X19" s="235"/>
      <c r="Y19" s="231"/>
    </row>
    <row r="20" spans="1:25" s="221" customFormat="1" ht="16.5">
      <c r="A20" s="158">
        <v>38</v>
      </c>
      <c r="B20" s="209">
        <f t="shared" ca="1" si="5"/>
        <v>3.5</v>
      </c>
      <c r="C20" s="209">
        <f t="shared" ca="1" si="0"/>
        <v>0.9574271077563381</v>
      </c>
      <c r="D20" s="222" t="s">
        <v>902</v>
      </c>
      <c r="E20" s="223" t="s">
        <v>951</v>
      </c>
      <c r="F20" s="234" t="s">
        <v>984</v>
      </c>
      <c r="G20" s="225" t="s">
        <v>985</v>
      </c>
      <c r="H20" s="226" t="s">
        <v>986</v>
      </c>
      <c r="I20" s="215"/>
      <c r="J20" s="215"/>
      <c r="K20" s="215"/>
      <c r="L20" s="222"/>
      <c r="M20" s="223"/>
      <c r="N20" s="224"/>
      <c r="O20" s="237"/>
      <c r="P20" s="226"/>
      <c r="Q20" s="215"/>
      <c r="R20" s="215"/>
      <c r="S20" s="215"/>
      <c r="T20" s="217"/>
      <c r="U20" s="222"/>
      <c r="V20" s="223"/>
      <c r="W20" s="228"/>
      <c r="X20" s="235"/>
      <c r="Y20" s="231"/>
    </row>
    <row r="21" spans="1:25" s="221" customFormat="1" ht="16.5">
      <c r="A21" s="158">
        <v>40</v>
      </c>
      <c r="B21" s="209">
        <f t="shared" ca="1" si="5"/>
        <v>4</v>
      </c>
      <c r="C21" s="209">
        <f t="shared" ca="1" si="0"/>
        <v>0.53452248382484879</v>
      </c>
      <c r="D21" s="222" t="s">
        <v>902</v>
      </c>
      <c r="E21" s="223" t="s">
        <v>972</v>
      </c>
      <c r="F21" s="224" t="s">
        <v>916</v>
      </c>
      <c r="G21" s="225" t="s">
        <v>987</v>
      </c>
      <c r="H21" s="226" t="s">
        <v>988</v>
      </c>
      <c r="I21" s="215"/>
      <c r="J21" s="215"/>
      <c r="K21" s="215"/>
      <c r="L21" s="222"/>
      <c r="M21" s="223"/>
      <c r="N21" s="224"/>
      <c r="O21" s="237"/>
      <c r="P21" s="226"/>
      <c r="Q21" s="215"/>
      <c r="R21" s="215"/>
      <c r="S21" s="215"/>
      <c r="T21" s="217"/>
      <c r="U21" s="222"/>
      <c r="V21" s="223"/>
      <c r="W21" s="228"/>
      <c r="X21" s="235"/>
      <c r="Y21" s="231"/>
    </row>
    <row r="22" spans="1:25" s="221" customFormat="1" ht="16.5">
      <c r="A22" s="158">
        <v>42</v>
      </c>
      <c r="B22" s="209">
        <f t="shared" ca="1" si="5"/>
        <v>3.5714285714285716</v>
      </c>
      <c r="C22" s="209">
        <f t="shared" ca="1" si="0"/>
        <v>0.90350790290525129</v>
      </c>
      <c r="D22" s="222" t="s">
        <v>902</v>
      </c>
      <c r="E22" s="227" t="s">
        <v>972</v>
      </c>
      <c r="F22" s="224" t="s">
        <v>902</v>
      </c>
      <c r="G22" s="225" t="s">
        <v>989</v>
      </c>
      <c r="H22" s="226" t="s">
        <v>990</v>
      </c>
      <c r="I22" s="215"/>
      <c r="J22" s="215"/>
      <c r="K22" s="215"/>
      <c r="L22" s="222"/>
      <c r="M22" s="227"/>
      <c r="N22" s="224"/>
      <c r="O22" s="237"/>
      <c r="P22" s="226"/>
      <c r="Q22" s="215"/>
      <c r="R22" s="215"/>
      <c r="S22" s="215"/>
      <c r="T22" s="217"/>
      <c r="U22" s="222"/>
      <c r="V22" s="227"/>
      <c r="W22" s="228"/>
      <c r="X22" s="235"/>
      <c r="Y22" s="231"/>
    </row>
    <row r="23" spans="1:25" s="221" customFormat="1" ht="33">
      <c r="A23" s="158">
        <v>44</v>
      </c>
      <c r="B23" s="209">
        <f t="shared" ca="1" si="5"/>
        <v>3.4285714285714284</v>
      </c>
      <c r="C23" s="209">
        <f t="shared" ca="1" si="0"/>
        <v>1.0497813183356477</v>
      </c>
      <c r="D23" s="222" t="s">
        <v>937</v>
      </c>
      <c r="E23" s="223" t="s">
        <v>938</v>
      </c>
      <c r="F23" s="224" t="s">
        <v>902</v>
      </c>
      <c r="G23" s="225" t="s">
        <v>991</v>
      </c>
      <c r="H23" s="226" t="s">
        <v>191</v>
      </c>
      <c r="I23" s="215"/>
      <c r="J23" s="215"/>
      <c r="K23" s="215"/>
      <c r="L23" s="222"/>
      <c r="M23" s="223"/>
      <c r="N23" s="224"/>
      <c r="O23" s="237"/>
      <c r="P23" s="226"/>
      <c r="Q23" s="215"/>
      <c r="R23" s="215"/>
      <c r="S23" s="215"/>
      <c r="T23" s="217"/>
      <c r="U23" s="222"/>
      <c r="V23" s="223"/>
      <c r="W23" s="228"/>
      <c r="X23" s="235"/>
      <c r="Y23" s="231"/>
    </row>
    <row r="24" spans="1:25" s="221" customFormat="1" ht="16.5">
      <c r="B24" s="209"/>
      <c r="C24" s="209"/>
      <c r="D24" s="238"/>
      <c r="E24" s="223"/>
      <c r="F24" s="224"/>
      <c r="G24" s="225" t="s">
        <v>992</v>
      </c>
      <c r="H24" s="226" t="s">
        <v>194</v>
      </c>
      <c r="I24" s="215"/>
      <c r="J24" s="215"/>
      <c r="K24" s="215"/>
      <c r="L24" s="222"/>
      <c r="M24" s="223"/>
      <c r="N24" s="224"/>
      <c r="O24" s="237"/>
      <c r="P24" s="226"/>
      <c r="Q24" s="215"/>
      <c r="R24" s="215"/>
      <c r="S24" s="215"/>
      <c r="T24" s="217"/>
      <c r="U24" s="222"/>
      <c r="V24" s="223"/>
      <c r="W24" s="228"/>
      <c r="X24" s="235"/>
      <c r="Y24" s="231"/>
    </row>
    <row r="25" spans="1:25" s="221" customFormat="1" ht="12" thickBot="1">
      <c r="B25" s="209"/>
      <c r="C25" s="209"/>
      <c r="D25" s="239"/>
      <c r="E25" s="240"/>
      <c r="F25" s="241"/>
      <c r="G25" s="242"/>
      <c r="H25" s="243"/>
      <c r="I25" s="215"/>
      <c r="J25" s="215"/>
      <c r="K25" s="215"/>
      <c r="L25" s="244"/>
      <c r="M25" s="240"/>
      <c r="N25" s="245"/>
      <c r="O25" s="242"/>
      <c r="P25" s="243"/>
      <c r="Q25" s="215"/>
      <c r="R25" s="215"/>
      <c r="S25" s="215"/>
      <c r="T25" s="217"/>
      <c r="U25" s="244"/>
      <c r="V25" s="240"/>
      <c r="W25" s="246"/>
      <c r="X25" s="247"/>
      <c r="Y25" s="248"/>
    </row>
    <row r="26" spans="1:25" s="221" customFormat="1" ht="11.25">
      <c r="B26" s="249"/>
      <c r="C26" s="249"/>
      <c r="D26" s="206"/>
      <c r="E26" s="250"/>
      <c r="F26" s="249"/>
      <c r="G26" s="249"/>
      <c r="H26" s="251"/>
      <c r="I26" s="252"/>
      <c r="J26" s="252"/>
      <c r="K26" s="252"/>
      <c r="L26" s="203"/>
      <c r="M26" s="203"/>
      <c r="N26" s="249"/>
      <c r="O26" s="249"/>
      <c r="P26" s="251"/>
      <c r="Q26" s="252"/>
      <c r="R26" s="252"/>
      <c r="S26" s="252"/>
      <c r="T26" s="253"/>
      <c r="U26" s="203"/>
      <c r="V26" s="203"/>
      <c r="W26" s="254"/>
      <c r="X26" s="249"/>
      <c r="Y26" s="251"/>
    </row>
    <row r="27" spans="1:25" s="221" customFormat="1" ht="11.25">
      <c r="B27" s="249"/>
      <c r="C27" s="249"/>
      <c r="D27" s="206"/>
      <c r="E27" s="250"/>
      <c r="F27" s="249"/>
      <c r="G27" s="249"/>
      <c r="H27" s="251"/>
      <c r="I27" s="252"/>
      <c r="J27" s="252"/>
      <c r="K27" s="252"/>
      <c r="L27" s="203"/>
      <c r="M27" s="203"/>
      <c r="N27" s="249"/>
      <c r="O27" s="249"/>
      <c r="P27" s="251"/>
      <c r="Q27" s="252"/>
      <c r="R27" s="252"/>
      <c r="S27" s="252"/>
      <c r="T27" s="253"/>
      <c r="U27" s="203"/>
      <c r="V27" s="203"/>
      <c r="W27" s="254"/>
      <c r="X27" s="249"/>
      <c r="Y27" s="251"/>
    </row>
    <row r="28" spans="1:25" s="221" customFormat="1" ht="11.25">
      <c r="B28" s="249"/>
      <c r="C28" s="249"/>
      <c r="D28" s="206"/>
      <c r="E28" s="250"/>
      <c r="F28" s="249"/>
      <c r="G28" s="249"/>
      <c r="H28" s="251"/>
      <c r="I28" s="252"/>
      <c r="J28" s="252"/>
      <c r="K28" s="252"/>
      <c r="L28" s="203"/>
      <c r="M28" s="203"/>
      <c r="N28" s="249"/>
      <c r="O28" s="249"/>
      <c r="P28" s="251"/>
      <c r="Q28" s="252"/>
      <c r="R28" s="252"/>
      <c r="S28" s="252"/>
      <c r="T28" s="253"/>
      <c r="U28" s="203"/>
      <c r="V28" s="203"/>
      <c r="W28" s="254"/>
      <c r="X28" s="249"/>
      <c r="Y28" s="251"/>
    </row>
    <row r="29" spans="1:25" s="221" customFormat="1" ht="11.25">
      <c r="B29" s="249"/>
      <c r="C29" s="249"/>
      <c r="D29" s="206"/>
      <c r="E29" s="250"/>
      <c r="F29" s="249"/>
      <c r="G29" s="249"/>
      <c r="H29" s="251"/>
      <c r="I29" s="252"/>
      <c r="J29" s="252"/>
      <c r="K29" s="252"/>
      <c r="L29" s="203"/>
      <c r="M29" s="203"/>
      <c r="N29" s="249"/>
      <c r="O29" s="249"/>
      <c r="P29" s="251"/>
      <c r="Q29" s="252"/>
      <c r="R29" s="252"/>
      <c r="S29" s="252"/>
      <c r="T29" s="253"/>
      <c r="U29" s="203"/>
      <c r="V29" s="203"/>
      <c r="W29" s="254"/>
      <c r="X29" s="249"/>
      <c r="Y29" s="251"/>
    </row>
    <row r="30" spans="1:25" s="221" customFormat="1" ht="11.25">
      <c r="B30" s="249"/>
      <c r="C30" s="249"/>
      <c r="D30" s="206"/>
      <c r="E30" s="250"/>
      <c r="F30" s="249"/>
      <c r="G30" s="249"/>
      <c r="H30" s="251"/>
      <c r="I30" s="252"/>
      <c r="J30" s="252"/>
      <c r="K30" s="252"/>
      <c r="L30" s="203"/>
      <c r="M30" s="203"/>
      <c r="N30" s="249"/>
      <c r="O30" s="249"/>
      <c r="P30" s="251"/>
      <c r="Q30" s="252"/>
      <c r="R30" s="252"/>
      <c r="S30" s="252"/>
      <c r="T30" s="253"/>
      <c r="U30" s="203"/>
      <c r="V30" s="203"/>
      <c r="W30" s="254"/>
      <c r="X30" s="249"/>
      <c r="Y30" s="251"/>
    </row>
    <row r="31" spans="1:25" s="221" customFormat="1" ht="11.25">
      <c r="B31" s="249"/>
      <c r="C31" s="249"/>
      <c r="D31" s="206"/>
      <c r="E31" s="250"/>
      <c r="F31" s="249"/>
      <c r="G31" s="249"/>
      <c r="H31" s="251"/>
      <c r="I31" s="252"/>
      <c r="J31" s="252"/>
      <c r="K31" s="252"/>
      <c r="L31" s="203"/>
      <c r="M31" s="203"/>
      <c r="N31" s="249"/>
      <c r="O31" s="249"/>
      <c r="P31" s="251"/>
      <c r="Q31" s="252"/>
      <c r="R31" s="252"/>
      <c r="S31" s="252"/>
      <c r="T31" s="253"/>
      <c r="U31" s="203"/>
      <c r="V31" s="203"/>
      <c r="W31" s="254"/>
      <c r="X31" s="249"/>
      <c r="Y31" s="251"/>
    </row>
    <row r="32" spans="1:25" s="221" customFormat="1" ht="11.25">
      <c r="B32" s="249"/>
      <c r="C32" s="249"/>
      <c r="D32" s="206"/>
      <c r="E32" s="250"/>
      <c r="F32" s="249"/>
      <c r="G32" s="249"/>
      <c r="H32" s="251"/>
      <c r="I32" s="252"/>
      <c r="J32" s="252"/>
      <c r="K32" s="252"/>
      <c r="L32" s="203"/>
      <c r="M32" s="203"/>
      <c r="N32" s="249"/>
      <c r="O32" s="249"/>
      <c r="P32" s="251"/>
      <c r="Q32" s="252"/>
      <c r="R32" s="252"/>
      <c r="S32" s="252"/>
      <c r="T32" s="253"/>
      <c r="U32" s="203"/>
      <c r="V32" s="203"/>
      <c r="W32" s="254"/>
      <c r="X32" s="249"/>
      <c r="Y32" s="251"/>
    </row>
    <row r="33" spans="2:25" s="221" customFormat="1" ht="11.25">
      <c r="B33" s="249"/>
      <c r="C33" s="249"/>
      <c r="D33" s="206"/>
      <c r="E33" s="250"/>
      <c r="F33" s="249"/>
      <c r="G33" s="249"/>
      <c r="H33" s="251"/>
      <c r="I33" s="252"/>
      <c r="J33" s="252"/>
      <c r="K33" s="252"/>
      <c r="L33" s="203"/>
      <c r="M33" s="203"/>
      <c r="N33" s="249"/>
      <c r="O33" s="249"/>
      <c r="P33" s="251"/>
      <c r="Q33" s="252"/>
      <c r="R33" s="252"/>
      <c r="S33" s="252"/>
      <c r="T33" s="253"/>
      <c r="U33" s="203"/>
      <c r="V33" s="203"/>
      <c r="W33" s="254"/>
      <c r="X33" s="249"/>
      <c r="Y33" s="251"/>
    </row>
    <row r="34" spans="2:25" s="221" customFormat="1" ht="11.25">
      <c r="B34" s="249"/>
      <c r="C34" s="249"/>
      <c r="D34" s="206"/>
      <c r="E34" s="250"/>
      <c r="F34" s="249"/>
      <c r="G34" s="249"/>
      <c r="H34" s="251"/>
      <c r="I34" s="252"/>
      <c r="J34" s="252"/>
      <c r="K34" s="252"/>
      <c r="L34" s="203"/>
      <c r="M34" s="203"/>
      <c r="N34" s="249"/>
      <c r="O34" s="249"/>
      <c r="P34" s="251"/>
      <c r="Q34" s="252"/>
      <c r="R34" s="252"/>
      <c r="S34" s="252"/>
      <c r="T34" s="253"/>
      <c r="U34" s="203"/>
      <c r="V34" s="203"/>
      <c r="W34" s="254"/>
      <c r="X34" s="249"/>
      <c r="Y34" s="251"/>
    </row>
    <row r="35" spans="2:25" s="221" customFormat="1" ht="11.25">
      <c r="B35" s="249"/>
      <c r="C35" s="249"/>
      <c r="D35" s="206"/>
      <c r="E35" s="250"/>
      <c r="F35" s="249"/>
      <c r="G35" s="249"/>
      <c r="H35" s="251"/>
      <c r="I35" s="252"/>
      <c r="J35" s="252"/>
      <c r="K35" s="252"/>
      <c r="L35" s="203"/>
      <c r="M35" s="203"/>
      <c r="N35" s="249"/>
      <c r="O35" s="249"/>
      <c r="P35" s="251"/>
      <c r="Q35" s="252"/>
      <c r="R35" s="252"/>
      <c r="S35" s="252"/>
      <c r="T35" s="253"/>
      <c r="U35" s="203"/>
      <c r="V35" s="203"/>
      <c r="W35" s="254"/>
      <c r="X35" s="249"/>
      <c r="Y35" s="251"/>
    </row>
    <row r="36" spans="2:25" s="221" customFormat="1" ht="11.25">
      <c r="B36" s="249"/>
      <c r="C36" s="249"/>
      <c r="D36" s="206"/>
      <c r="E36" s="250"/>
      <c r="F36" s="249"/>
      <c r="G36" s="249"/>
      <c r="H36" s="251"/>
      <c r="I36" s="252"/>
      <c r="J36" s="252"/>
      <c r="K36" s="252"/>
      <c r="L36" s="203"/>
      <c r="M36" s="203"/>
      <c r="N36" s="249"/>
      <c r="O36" s="249"/>
      <c r="P36" s="251"/>
      <c r="Q36" s="252"/>
      <c r="R36" s="252"/>
      <c r="S36" s="252"/>
      <c r="T36" s="253"/>
      <c r="U36" s="203"/>
      <c r="V36" s="203"/>
      <c r="W36" s="254"/>
      <c r="X36" s="249"/>
      <c r="Y36" s="251"/>
    </row>
    <row r="37" spans="2:25" s="221" customFormat="1" ht="11.25">
      <c r="B37" s="249"/>
      <c r="C37" s="249"/>
      <c r="D37" s="206"/>
      <c r="E37" s="250"/>
      <c r="F37" s="249"/>
      <c r="G37" s="249"/>
      <c r="H37" s="251"/>
      <c r="I37" s="252"/>
      <c r="J37" s="252"/>
      <c r="K37" s="252"/>
      <c r="L37" s="203"/>
      <c r="M37" s="203"/>
      <c r="N37" s="249"/>
      <c r="O37" s="249"/>
      <c r="P37" s="251"/>
      <c r="Q37" s="252"/>
      <c r="R37" s="252"/>
      <c r="S37" s="252"/>
      <c r="T37" s="253"/>
      <c r="U37" s="203"/>
      <c r="V37" s="203"/>
      <c r="W37" s="254"/>
      <c r="X37" s="249"/>
      <c r="Y37" s="251"/>
    </row>
    <row r="38" spans="2:25" s="221" customFormat="1" ht="11.25">
      <c r="B38" s="249"/>
      <c r="C38" s="249"/>
      <c r="D38" s="206"/>
      <c r="E38" s="250"/>
      <c r="F38" s="249"/>
      <c r="G38" s="249"/>
      <c r="H38" s="251"/>
      <c r="I38" s="252"/>
      <c r="J38" s="252"/>
      <c r="K38" s="252"/>
      <c r="L38" s="203"/>
      <c r="M38" s="203"/>
      <c r="N38" s="249"/>
      <c r="O38" s="249"/>
      <c r="P38" s="251"/>
      <c r="Q38" s="252"/>
      <c r="R38" s="252"/>
      <c r="S38" s="252"/>
      <c r="T38" s="253"/>
      <c r="U38" s="203"/>
      <c r="V38" s="203"/>
      <c r="W38" s="254"/>
      <c r="X38" s="249"/>
      <c r="Y38" s="251"/>
    </row>
    <row r="39" spans="2:25" s="221" customFormat="1" ht="11.25">
      <c r="B39" s="249"/>
      <c r="C39" s="249"/>
      <c r="D39" s="206"/>
      <c r="E39" s="250"/>
      <c r="F39" s="249"/>
      <c r="G39" s="249"/>
      <c r="H39" s="251"/>
      <c r="I39" s="252"/>
      <c r="J39" s="252"/>
      <c r="K39" s="252"/>
      <c r="L39" s="203"/>
      <c r="M39" s="203"/>
      <c r="N39" s="249"/>
      <c r="O39" s="249"/>
      <c r="P39" s="251"/>
      <c r="Q39" s="252"/>
      <c r="R39" s="252"/>
      <c r="S39" s="252"/>
      <c r="T39" s="253"/>
      <c r="U39" s="203"/>
      <c r="V39" s="203"/>
      <c r="W39" s="254"/>
      <c r="X39" s="249"/>
      <c r="Y39" s="251"/>
    </row>
    <row r="40" spans="2:25" s="221" customFormat="1" ht="11.25">
      <c r="B40" s="249"/>
      <c r="C40" s="249"/>
      <c r="D40" s="206"/>
      <c r="E40" s="250"/>
      <c r="F40" s="249"/>
      <c r="G40" s="249"/>
      <c r="H40" s="251"/>
      <c r="I40" s="252"/>
      <c r="J40" s="252"/>
      <c r="K40" s="252"/>
      <c r="L40" s="203"/>
      <c r="M40" s="203"/>
      <c r="N40" s="249"/>
      <c r="O40" s="249"/>
      <c r="P40" s="251"/>
      <c r="Q40" s="252"/>
      <c r="R40" s="252"/>
      <c r="S40" s="252"/>
      <c r="T40" s="253"/>
      <c r="U40" s="203"/>
      <c r="V40" s="203"/>
      <c r="W40" s="254"/>
      <c r="X40" s="249"/>
      <c r="Y40" s="251"/>
    </row>
    <row r="41" spans="2:25" s="221" customFormat="1" ht="11.25">
      <c r="B41" s="249"/>
      <c r="C41" s="249"/>
      <c r="D41" s="206"/>
      <c r="E41" s="250"/>
      <c r="F41" s="249"/>
      <c r="G41" s="249"/>
      <c r="H41" s="251"/>
      <c r="I41" s="252"/>
      <c r="J41" s="252"/>
      <c r="K41" s="252"/>
      <c r="L41" s="203"/>
      <c r="M41" s="203"/>
      <c r="N41" s="249"/>
      <c r="O41" s="249"/>
      <c r="P41" s="251"/>
      <c r="Q41" s="252"/>
      <c r="R41" s="252"/>
      <c r="S41" s="252"/>
      <c r="T41" s="253"/>
      <c r="U41" s="203"/>
      <c r="V41" s="203"/>
      <c r="W41" s="254"/>
      <c r="X41" s="249"/>
      <c r="Y41" s="251"/>
    </row>
    <row r="42" spans="2:25" s="221" customFormat="1" ht="11.25">
      <c r="B42" s="249"/>
      <c r="C42" s="249"/>
      <c r="D42" s="206"/>
      <c r="E42" s="250"/>
      <c r="F42" s="249"/>
      <c r="G42" s="249"/>
      <c r="H42" s="251"/>
      <c r="I42" s="252"/>
      <c r="J42" s="252"/>
      <c r="K42" s="252"/>
      <c r="L42" s="203"/>
      <c r="M42" s="203"/>
      <c r="N42" s="249"/>
      <c r="O42" s="249"/>
      <c r="P42" s="251"/>
      <c r="Q42" s="252"/>
      <c r="R42" s="252"/>
      <c r="S42" s="252"/>
      <c r="T42" s="253"/>
      <c r="U42" s="203"/>
      <c r="V42" s="203"/>
      <c r="W42" s="254"/>
      <c r="X42" s="249"/>
      <c r="Y42" s="251"/>
    </row>
    <row r="43" spans="2:25" s="221" customFormat="1" ht="11.25">
      <c r="B43" s="249"/>
      <c r="C43" s="249"/>
      <c r="D43" s="206"/>
      <c r="E43" s="250"/>
      <c r="F43" s="249"/>
      <c r="G43" s="249"/>
      <c r="H43" s="251"/>
      <c r="I43" s="252"/>
      <c r="J43" s="252"/>
      <c r="K43" s="252"/>
      <c r="L43" s="203"/>
      <c r="M43" s="203"/>
      <c r="N43" s="249"/>
      <c r="O43" s="249"/>
      <c r="P43" s="251"/>
      <c r="Q43" s="252"/>
      <c r="R43" s="252"/>
      <c r="S43" s="252"/>
      <c r="T43" s="253"/>
      <c r="U43" s="203"/>
      <c r="V43" s="203"/>
      <c r="W43" s="254"/>
      <c r="X43" s="249"/>
      <c r="Y43" s="251"/>
    </row>
    <row r="44" spans="2:25" s="221" customFormat="1" ht="11.25">
      <c r="B44" s="249"/>
      <c r="C44" s="249"/>
      <c r="D44" s="206"/>
      <c r="E44" s="250"/>
      <c r="F44" s="249"/>
      <c r="G44" s="249"/>
      <c r="H44" s="251"/>
      <c r="I44" s="252"/>
      <c r="J44" s="252"/>
      <c r="K44" s="252"/>
      <c r="L44" s="203"/>
      <c r="M44" s="203"/>
      <c r="N44" s="249"/>
      <c r="O44" s="249"/>
      <c r="P44" s="251"/>
      <c r="Q44" s="252"/>
      <c r="R44" s="252"/>
      <c r="S44" s="252"/>
      <c r="T44" s="253"/>
      <c r="U44" s="203"/>
      <c r="V44" s="203"/>
      <c r="W44" s="254"/>
      <c r="X44" s="249"/>
      <c r="Y44" s="251"/>
    </row>
    <row r="45" spans="2:25" s="221" customFormat="1" ht="11.25">
      <c r="B45" s="249"/>
      <c r="C45" s="249"/>
      <c r="D45" s="206"/>
      <c r="E45" s="250"/>
      <c r="F45" s="249"/>
      <c r="G45" s="249"/>
      <c r="H45" s="251"/>
      <c r="I45" s="252"/>
      <c r="J45" s="252"/>
      <c r="K45" s="252"/>
      <c r="L45" s="203"/>
      <c r="M45" s="203"/>
      <c r="N45" s="249"/>
      <c r="O45" s="249"/>
      <c r="P45" s="251"/>
      <c r="Q45" s="252"/>
      <c r="R45" s="252"/>
      <c r="S45" s="252"/>
      <c r="T45" s="253"/>
      <c r="U45" s="203"/>
      <c r="V45" s="203"/>
      <c r="W45" s="254"/>
      <c r="X45" s="249"/>
      <c r="Y45" s="251"/>
    </row>
    <row r="46" spans="2:25" s="221" customFormat="1" ht="11.25">
      <c r="B46" s="249"/>
      <c r="C46" s="249"/>
      <c r="D46" s="206"/>
      <c r="E46" s="250"/>
      <c r="F46" s="249"/>
      <c r="G46" s="249"/>
      <c r="H46" s="251"/>
      <c r="I46" s="252"/>
      <c r="J46" s="252"/>
      <c r="K46" s="252"/>
      <c r="L46" s="203"/>
      <c r="M46" s="203"/>
      <c r="N46" s="249"/>
      <c r="O46" s="249"/>
      <c r="P46" s="251"/>
      <c r="Q46" s="252"/>
      <c r="R46" s="252"/>
      <c r="S46" s="252"/>
      <c r="T46" s="253"/>
      <c r="U46" s="203"/>
      <c r="V46" s="203"/>
      <c r="W46" s="254"/>
      <c r="X46" s="249"/>
      <c r="Y46" s="251"/>
    </row>
    <row r="47" spans="2:25" s="221" customFormat="1" ht="11.25">
      <c r="B47" s="249"/>
      <c r="C47" s="249"/>
      <c r="D47" s="206"/>
      <c r="E47" s="250"/>
      <c r="F47" s="249"/>
      <c r="G47" s="249"/>
      <c r="H47" s="251"/>
      <c r="I47" s="252"/>
      <c r="J47" s="252"/>
      <c r="K47" s="252"/>
      <c r="L47" s="203"/>
      <c r="M47" s="203"/>
      <c r="N47" s="249"/>
      <c r="O47" s="249"/>
      <c r="P47" s="251"/>
      <c r="Q47" s="252"/>
      <c r="R47" s="252"/>
      <c r="S47" s="252"/>
      <c r="T47" s="253"/>
      <c r="U47" s="203"/>
      <c r="V47" s="203"/>
      <c r="W47" s="254"/>
      <c r="X47" s="249"/>
      <c r="Y47" s="251"/>
    </row>
    <row r="48" spans="2:25" s="221" customFormat="1" ht="11.25">
      <c r="B48" s="249"/>
      <c r="C48" s="249"/>
      <c r="D48" s="206"/>
      <c r="E48" s="250"/>
      <c r="F48" s="249"/>
      <c r="G48" s="249"/>
      <c r="H48" s="251"/>
      <c r="I48" s="252"/>
      <c r="J48" s="252"/>
      <c r="K48" s="252"/>
      <c r="L48" s="203"/>
      <c r="M48" s="203"/>
      <c r="N48" s="249"/>
      <c r="O48" s="249"/>
      <c r="P48" s="251"/>
      <c r="Q48" s="252"/>
      <c r="R48" s="252"/>
      <c r="S48" s="252"/>
      <c r="T48" s="253"/>
      <c r="U48" s="203"/>
      <c r="V48" s="203"/>
      <c r="W48" s="254"/>
      <c r="X48" s="249"/>
      <c r="Y48" s="251"/>
    </row>
    <row r="49" spans="2:25" s="221" customFormat="1" ht="11.25">
      <c r="B49" s="249"/>
      <c r="C49" s="249"/>
      <c r="D49" s="206"/>
      <c r="E49" s="250"/>
      <c r="F49" s="249"/>
      <c r="G49" s="249"/>
      <c r="H49" s="251"/>
      <c r="I49" s="252"/>
      <c r="J49" s="252"/>
      <c r="K49" s="252"/>
      <c r="L49" s="203"/>
      <c r="M49" s="203"/>
      <c r="N49" s="249"/>
      <c r="O49" s="249"/>
      <c r="P49" s="251"/>
      <c r="Q49" s="252"/>
      <c r="R49" s="252"/>
      <c r="S49" s="252"/>
      <c r="T49" s="253"/>
      <c r="U49" s="203"/>
      <c r="V49" s="203"/>
      <c r="W49" s="254"/>
      <c r="X49" s="249"/>
      <c r="Y49" s="251"/>
    </row>
    <row r="50" spans="2:25" s="221" customFormat="1" ht="11.25">
      <c r="B50" s="249"/>
      <c r="C50" s="249"/>
      <c r="D50" s="206"/>
      <c r="E50" s="250"/>
      <c r="F50" s="249"/>
      <c r="G50" s="249"/>
      <c r="H50" s="251"/>
      <c r="I50" s="252"/>
      <c r="J50" s="252"/>
      <c r="K50" s="252"/>
      <c r="L50" s="203"/>
      <c r="M50" s="203"/>
      <c r="N50" s="249"/>
      <c r="O50" s="249"/>
      <c r="P50" s="251"/>
      <c r="Q50" s="252"/>
      <c r="R50" s="252"/>
      <c r="S50" s="252"/>
      <c r="T50" s="253"/>
      <c r="U50" s="203"/>
      <c r="V50" s="203"/>
      <c r="W50" s="254"/>
      <c r="X50" s="249"/>
      <c r="Y50" s="251"/>
    </row>
    <row r="51" spans="2:25" s="221" customFormat="1" ht="11.25">
      <c r="B51" s="249"/>
      <c r="C51" s="249"/>
      <c r="D51" s="206"/>
      <c r="E51" s="250"/>
      <c r="F51" s="249"/>
      <c r="G51" s="249"/>
      <c r="H51" s="251"/>
      <c r="I51" s="252"/>
      <c r="J51" s="252"/>
      <c r="K51" s="252"/>
      <c r="L51" s="203"/>
      <c r="M51" s="203"/>
      <c r="N51" s="249"/>
      <c r="O51" s="249"/>
      <c r="P51" s="251"/>
      <c r="Q51" s="252"/>
      <c r="R51" s="252"/>
      <c r="S51" s="252"/>
      <c r="T51" s="253"/>
      <c r="U51" s="203"/>
      <c r="V51" s="203"/>
      <c r="W51" s="254"/>
      <c r="X51" s="249"/>
      <c r="Y51" s="251"/>
    </row>
    <row r="52" spans="2:25" s="221" customFormat="1" ht="11.25">
      <c r="B52" s="249"/>
      <c r="C52" s="249"/>
      <c r="D52" s="206"/>
      <c r="E52" s="250"/>
      <c r="F52" s="249"/>
      <c r="G52" s="249"/>
      <c r="H52" s="251"/>
      <c r="I52" s="252"/>
      <c r="J52" s="252"/>
      <c r="K52" s="252"/>
      <c r="L52" s="203"/>
      <c r="M52" s="203"/>
      <c r="N52" s="249"/>
      <c r="O52" s="249"/>
      <c r="P52" s="251"/>
      <c r="Q52" s="252"/>
      <c r="R52" s="252"/>
      <c r="S52" s="252"/>
      <c r="T52" s="253"/>
      <c r="U52" s="203"/>
      <c r="V52" s="203"/>
      <c r="W52" s="254"/>
      <c r="X52" s="249"/>
      <c r="Y52" s="251"/>
    </row>
    <row r="53" spans="2:25" s="221" customFormat="1" ht="11.25">
      <c r="B53" s="249"/>
      <c r="C53" s="249"/>
      <c r="D53" s="206"/>
      <c r="E53" s="250"/>
      <c r="F53" s="249"/>
      <c r="G53" s="249"/>
      <c r="H53" s="251"/>
      <c r="I53" s="252"/>
      <c r="J53" s="252"/>
      <c r="K53" s="252"/>
      <c r="L53" s="203"/>
      <c r="M53" s="203"/>
      <c r="N53" s="249"/>
      <c r="O53" s="249"/>
      <c r="P53" s="251"/>
      <c r="Q53" s="252"/>
      <c r="R53" s="252"/>
      <c r="S53" s="252"/>
      <c r="T53" s="253"/>
      <c r="U53" s="203"/>
      <c r="V53" s="203"/>
      <c r="W53" s="254"/>
      <c r="X53" s="249"/>
      <c r="Y53" s="251"/>
    </row>
    <row r="54" spans="2:25" s="221" customFormat="1" ht="11.25">
      <c r="B54" s="249"/>
      <c r="C54" s="249"/>
      <c r="D54" s="206"/>
      <c r="E54" s="250"/>
      <c r="F54" s="249"/>
      <c r="G54" s="249"/>
      <c r="H54" s="251"/>
      <c r="I54" s="252"/>
      <c r="J54" s="252"/>
      <c r="K54" s="252"/>
      <c r="L54" s="203"/>
      <c r="M54" s="203"/>
      <c r="N54" s="249"/>
      <c r="O54" s="249"/>
      <c r="P54" s="251"/>
      <c r="Q54" s="252"/>
      <c r="R54" s="252"/>
      <c r="S54" s="252"/>
      <c r="T54" s="253"/>
      <c r="U54" s="203"/>
      <c r="V54" s="203"/>
      <c r="W54" s="254"/>
      <c r="X54" s="249"/>
      <c r="Y54" s="251"/>
    </row>
    <row r="55" spans="2:25" s="221" customFormat="1" ht="11.25">
      <c r="B55" s="249"/>
      <c r="C55" s="249"/>
      <c r="D55" s="206"/>
      <c r="E55" s="250"/>
      <c r="F55" s="249"/>
      <c r="G55" s="249"/>
      <c r="H55" s="251"/>
      <c r="I55" s="252"/>
      <c r="J55" s="252"/>
      <c r="K55" s="252"/>
      <c r="L55" s="203"/>
      <c r="M55" s="203"/>
      <c r="N55" s="249"/>
      <c r="O55" s="249"/>
      <c r="P55" s="251"/>
      <c r="Q55" s="252"/>
      <c r="R55" s="252"/>
      <c r="S55" s="252"/>
      <c r="T55" s="253"/>
      <c r="U55" s="203"/>
      <c r="V55" s="203"/>
      <c r="W55" s="254"/>
      <c r="X55" s="249"/>
      <c r="Y55" s="251"/>
    </row>
    <row r="56" spans="2:25" s="221" customFormat="1" ht="11.25">
      <c r="B56" s="249"/>
      <c r="C56" s="249"/>
      <c r="D56" s="206"/>
      <c r="E56" s="250"/>
      <c r="F56" s="249"/>
      <c r="G56" s="249"/>
      <c r="H56" s="251"/>
      <c r="I56" s="252"/>
      <c r="J56" s="252"/>
      <c r="K56" s="252"/>
      <c r="L56" s="203"/>
      <c r="M56" s="203"/>
      <c r="N56" s="249"/>
      <c r="O56" s="249"/>
      <c r="P56" s="251"/>
      <c r="Q56" s="252"/>
      <c r="R56" s="252"/>
      <c r="S56" s="252"/>
      <c r="T56" s="253"/>
      <c r="U56" s="203"/>
      <c r="V56" s="203"/>
      <c r="W56" s="254"/>
      <c r="X56" s="249"/>
      <c r="Y56" s="251"/>
    </row>
    <row r="57" spans="2:25" s="221" customFormat="1" ht="11.25">
      <c r="B57" s="249"/>
      <c r="C57" s="249"/>
      <c r="D57" s="206"/>
      <c r="E57" s="250"/>
      <c r="F57" s="249"/>
      <c r="G57" s="249"/>
      <c r="H57" s="251"/>
      <c r="I57" s="252"/>
      <c r="J57" s="252"/>
      <c r="K57" s="252"/>
      <c r="L57" s="203"/>
      <c r="M57" s="203"/>
      <c r="N57" s="249"/>
      <c r="O57" s="249"/>
      <c r="P57" s="251"/>
      <c r="Q57" s="252"/>
      <c r="R57" s="252"/>
      <c r="S57" s="252"/>
      <c r="T57" s="253"/>
      <c r="U57" s="203"/>
      <c r="V57" s="203"/>
      <c r="W57" s="254"/>
      <c r="X57" s="249"/>
      <c r="Y57" s="251"/>
    </row>
    <row r="58" spans="2:25" s="221" customFormat="1" ht="11.25">
      <c r="B58" s="249"/>
      <c r="C58" s="249"/>
      <c r="D58" s="206"/>
      <c r="E58" s="250"/>
      <c r="F58" s="249"/>
      <c r="G58" s="249"/>
      <c r="H58" s="251"/>
      <c r="I58" s="252"/>
      <c r="J58" s="252"/>
      <c r="K58" s="252"/>
      <c r="L58" s="203"/>
      <c r="M58" s="203"/>
      <c r="N58" s="249"/>
      <c r="O58" s="249"/>
      <c r="P58" s="251"/>
      <c r="Q58" s="252"/>
      <c r="R58" s="252"/>
      <c r="S58" s="252"/>
      <c r="T58" s="253"/>
      <c r="U58" s="203"/>
      <c r="V58" s="203"/>
      <c r="W58" s="254"/>
      <c r="X58" s="249"/>
      <c r="Y58" s="251"/>
    </row>
    <row r="59" spans="2:25" s="221" customFormat="1" ht="11.25">
      <c r="B59" s="249"/>
      <c r="C59" s="249"/>
      <c r="D59" s="206"/>
      <c r="E59" s="250"/>
      <c r="F59" s="249"/>
      <c r="G59" s="249"/>
      <c r="H59" s="251"/>
      <c r="I59" s="252"/>
      <c r="J59" s="252"/>
      <c r="K59" s="252"/>
      <c r="L59" s="203"/>
      <c r="M59" s="203"/>
      <c r="N59" s="249"/>
      <c r="O59" s="249"/>
      <c r="P59" s="251"/>
      <c r="Q59" s="252"/>
      <c r="R59" s="252"/>
      <c r="S59" s="252"/>
      <c r="T59" s="253"/>
      <c r="U59" s="203"/>
      <c r="V59" s="203"/>
      <c r="W59" s="254"/>
      <c r="X59" s="249"/>
      <c r="Y59" s="251"/>
    </row>
    <row r="60" spans="2:25" s="221" customFormat="1" ht="11.25">
      <c r="B60" s="249"/>
      <c r="C60" s="249"/>
      <c r="D60" s="206"/>
      <c r="E60" s="250"/>
      <c r="F60" s="249"/>
      <c r="G60" s="249"/>
      <c r="H60" s="251"/>
      <c r="I60" s="252"/>
      <c r="J60" s="252"/>
      <c r="K60" s="252"/>
      <c r="L60" s="203"/>
      <c r="M60" s="203"/>
      <c r="N60" s="249"/>
      <c r="O60" s="249"/>
      <c r="P60" s="251"/>
      <c r="Q60" s="252"/>
      <c r="R60" s="252"/>
      <c r="S60" s="252"/>
      <c r="T60" s="253"/>
      <c r="U60" s="203"/>
      <c r="V60" s="203"/>
      <c r="W60" s="254"/>
      <c r="X60" s="249"/>
      <c r="Y60" s="251"/>
    </row>
    <row r="61" spans="2:25" s="221" customFormat="1" ht="11.25">
      <c r="B61" s="249"/>
      <c r="C61" s="249"/>
      <c r="D61" s="206"/>
      <c r="E61" s="250"/>
      <c r="F61" s="249"/>
      <c r="G61" s="249"/>
      <c r="H61" s="251"/>
      <c r="I61" s="252"/>
      <c r="J61" s="252"/>
      <c r="K61" s="252"/>
      <c r="L61" s="203"/>
      <c r="M61" s="203"/>
      <c r="N61" s="249"/>
      <c r="O61" s="249"/>
      <c r="P61" s="251"/>
      <c r="Q61" s="252"/>
      <c r="R61" s="252"/>
      <c r="S61" s="252"/>
      <c r="T61" s="253"/>
      <c r="U61" s="203"/>
      <c r="V61" s="203"/>
      <c r="W61" s="254"/>
      <c r="X61" s="249"/>
      <c r="Y61" s="251"/>
    </row>
    <row r="62" spans="2:25" s="221" customFormat="1" ht="11.25">
      <c r="B62" s="249"/>
      <c r="C62" s="249"/>
      <c r="D62" s="206"/>
      <c r="E62" s="250"/>
      <c r="F62" s="249"/>
      <c r="G62" s="249"/>
      <c r="H62" s="251"/>
      <c r="I62" s="252"/>
      <c r="J62" s="252"/>
      <c r="K62" s="252"/>
      <c r="L62" s="203"/>
      <c r="M62" s="203"/>
      <c r="N62" s="249"/>
      <c r="O62" s="249"/>
      <c r="P62" s="251"/>
      <c r="Q62" s="252"/>
      <c r="R62" s="252"/>
      <c r="S62" s="252"/>
      <c r="T62" s="253"/>
      <c r="U62" s="203"/>
      <c r="V62" s="203"/>
      <c r="W62" s="254"/>
      <c r="X62" s="249"/>
      <c r="Y62" s="251"/>
    </row>
    <row r="63" spans="2:25" s="221" customFormat="1">
      <c r="B63" s="249"/>
      <c r="C63" s="249"/>
      <c r="D63" s="206"/>
      <c r="E63" s="250"/>
      <c r="F63" s="249"/>
      <c r="G63" s="249"/>
      <c r="H63" s="251"/>
      <c r="I63" s="252"/>
      <c r="J63" s="252"/>
      <c r="K63" s="252"/>
      <c r="L63" s="203"/>
      <c r="M63" s="203"/>
      <c r="N63" s="249"/>
      <c r="O63" s="249"/>
      <c r="P63" s="251"/>
      <c r="Q63" s="252"/>
      <c r="R63" s="252"/>
      <c r="S63" s="252"/>
      <c r="T63" s="253"/>
      <c r="U63" s="203"/>
      <c r="V63" s="203"/>
      <c r="W63" s="2"/>
      <c r="X63" s="249"/>
      <c r="Y63" s="1"/>
    </row>
    <row r="64" spans="2:25" s="221" customFormat="1">
      <c r="B64" s="249"/>
      <c r="C64" s="249"/>
      <c r="D64" s="206"/>
      <c r="E64" s="250"/>
      <c r="F64" s="249"/>
      <c r="G64" s="249"/>
      <c r="H64" s="251"/>
      <c r="I64" s="252"/>
      <c r="J64" s="252"/>
      <c r="K64" s="252"/>
      <c r="L64" s="203"/>
      <c r="M64" s="203"/>
      <c r="N64" s="249"/>
      <c r="O64" s="249"/>
      <c r="P64" s="251"/>
      <c r="Q64" s="252"/>
      <c r="R64" s="252"/>
      <c r="S64" s="252"/>
      <c r="T64" s="253"/>
      <c r="U64" s="203"/>
      <c r="V64" s="203"/>
      <c r="W64" s="2"/>
      <c r="X64" s="249"/>
      <c r="Y64" s="1"/>
    </row>
    <row r="65" spans="2:25" s="221" customFormat="1">
      <c r="B65" s="249"/>
      <c r="C65" s="249"/>
      <c r="D65" s="206"/>
      <c r="E65" s="250"/>
      <c r="F65" s="249"/>
      <c r="G65" s="249"/>
      <c r="H65" s="251"/>
      <c r="I65" s="252"/>
      <c r="J65" s="252"/>
      <c r="K65" s="252"/>
      <c r="L65" s="203"/>
      <c r="M65" s="203"/>
      <c r="N65" s="249"/>
      <c r="O65" s="249"/>
      <c r="P65" s="251"/>
      <c r="Q65" s="252"/>
      <c r="R65" s="252"/>
      <c r="S65" s="252"/>
      <c r="T65" s="253"/>
      <c r="U65" s="203"/>
      <c r="V65" s="203"/>
      <c r="W65" s="2"/>
      <c r="X65" s="249"/>
      <c r="Y65" s="1"/>
    </row>
    <row r="66" spans="2:25" s="221" customFormat="1">
      <c r="B66" s="249"/>
      <c r="C66" s="249"/>
      <c r="D66" s="206"/>
      <c r="E66" s="250"/>
      <c r="F66" s="249"/>
      <c r="G66" s="249"/>
      <c r="H66" s="251"/>
      <c r="I66" s="252"/>
      <c r="J66" s="252"/>
      <c r="K66" s="252"/>
      <c r="L66" s="203"/>
      <c r="M66" s="203"/>
      <c r="N66" s="249"/>
      <c r="O66" s="249"/>
      <c r="P66" s="251"/>
      <c r="Q66" s="252"/>
      <c r="R66" s="252"/>
      <c r="S66" s="252"/>
      <c r="T66" s="253"/>
      <c r="U66" s="203"/>
      <c r="V66" s="203"/>
      <c r="W66" s="2"/>
      <c r="X66" s="249"/>
      <c r="Y66" s="1"/>
    </row>
  </sheetData>
  <mergeCells count="7">
    <mergeCell ref="D2:E2"/>
    <mergeCell ref="F2:H2"/>
    <mergeCell ref="N2:P2"/>
    <mergeCell ref="W2:Y2"/>
    <mergeCell ref="F3:H3"/>
    <mergeCell ref="N3:P3"/>
    <mergeCell ref="W3:Y3"/>
  </mergeCells>
  <hyperlinks>
    <hyperlink ref="A1" location="'Table of Contents'!A1" display="Table of Contents"/>
  </hyperlinks>
  <pageMargins left="0.7" right="0.7" top="0.75" bottom="0.75" header="0.3" footer="0.3"/>
  <pageSetup orientation="portrait" r:id="rId1"/>
  <headerFooter>
    <oddFooter>&amp;L&amp;5&amp;Z&amp;F
Created: 9/29/2006 10:44:00 PM
Last Saved: 2/5/2008 9:15:17 PM
Last Printed: 2/5/2008 6:12:16 PM&amp;R&amp;5&amp;P - &amp;N
Title :&lt;Not Set&gt;
Subject: &lt;Not Set&gt;</oddFooter>
  </headerFooter>
  <rowBreaks count="1" manualBreakCount="1">
    <brk id="25" max="16383" man="1"/>
  </rowBreaks>
  <colBreaks count="2" manualBreakCount="2">
    <brk id="9" max="1048575" man="1"/>
    <brk id="19" max="1048575" man="1"/>
  </colBreaks>
  <legacyDrawing r:id="rId2"/>
</worksheet>
</file>

<file path=xl/worksheets/sheet7.xml><?xml version="1.0" encoding="utf-8"?>
<worksheet xmlns="http://schemas.openxmlformats.org/spreadsheetml/2006/main" xmlns:r="http://schemas.openxmlformats.org/officeDocument/2006/relationships">
  <sheetPr codeName="Sheet27">
    <pageSetUpPr fitToPage="1"/>
  </sheetPr>
  <dimension ref="A1:S65"/>
  <sheetViews>
    <sheetView workbookViewId="0">
      <selection activeCell="Q3" sqref="Q3:Q22"/>
    </sheetView>
  </sheetViews>
  <sheetFormatPr defaultRowHeight="12.75"/>
  <cols>
    <col min="1" max="1" width="3.42578125" style="206" bestFit="1" customWidth="1"/>
    <col min="2" max="2" width="4.5703125" style="250" bestFit="1" customWidth="1"/>
    <col min="3" max="3" width="9.140625" style="3"/>
    <col min="4" max="4" width="9.140625" style="249"/>
    <col min="5" max="5" width="21.5703125" style="1" customWidth="1"/>
    <col min="6" max="16384" width="9.140625" style="571"/>
  </cols>
  <sheetData>
    <row r="1" spans="1:19" ht="13.5" thickBot="1">
      <c r="A1" s="591" t="s">
        <v>30</v>
      </c>
    </row>
    <row r="2" spans="1:19" ht="21.75" customHeight="1" thickTop="1" thickBot="1">
      <c r="A2" s="206" t="s">
        <v>900</v>
      </c>
      <c r="B2" s="206" t="s">
        <v>901</v>
      </c>
      <c r="C2" s="639" t="s">
        <v>421</v>
      </c>
      <c r="D2" s="640"/>
      <c r="E2" s="641"/>
      <c r="F2" s="573" t="s">
        <v>57</v>
      </c>
      <c r="G2" s="573" t="s">
        <v>693</v>
      </c>
      <c r="H2" s="573" t="s">
        <v>24</v>
      </c>
      <c r="I2" s="573" t="s">
        <v>25</v>
      </c>
      <c r="J2" s="573" t="s">
        <v>26</v>
      </c>
      <c r="K2" s="573" t="s">
        <v>7</v>
      </c>
      <c r="L2" s="573" t="s">
        <v>541</v>
      </c>
      <c r="M2" s="573" t="s">
        <v>8</v>
      </c>
      <c r="N2" s="573" t="s">
        <v>9</v>
      </c>
      <c r="O2" s="573" t="s">
        <v>12</v>
      </c>
      <c r="P2" s="573" t="s">
        <v>10</v>
      </c>
      <c r="Q2" s="573" t="s">
        <v>1110</v>
      </c>
      <c r="R2" s="573" t="s">
        <v>1160</v>
      </c>
      <c r="S2" s="574" t="s">
        <v>11</v>
      </c>
    </row>
    <row r="3" spans="1:19" s="221" customFormat="1" ht="16.5">
      <c r="A3" s="210" t="s">
        <v>902</v>
      </c>
      <c r="B3" s="211" t="s">
        <v>903</v>
      </c>
      <c r="C3" s="212" t="s">
        <v>904</v>
      </c>
      <c r="D3" s="213" t="s">
        <v>905</v>
      </c>
      <c r="E3" s="214" t="s">
        <v>906</v>
      </c>
      <c r="F3" s="572">
        <v>3.6025641025641026</v>
      </c>
      <c r="G3" s="572">
        <v>4.3</v>
      </c>
      <c r="H3" s="572">
        <v>3.625</v>
      </c>
      <c r="I3" s="572">
        <v>3.5</v>
      </c>
      <c r="J3" s="572">
        <v>4.333333333333333</v>
      </c>
      <c r="K3" s="572">
        <v>3.5</v>
      </c>
      <c r="L3" s="572">
        <v>3.2</v>
      </c>
      <c r="M3" s="572">
        <v>3.5</v>
      </c>
      <c r="N3" s="572">
        <v>3.5555555555555554</v>
      </c>
      <c r="O3" s="572">
        <v>3</v>
      </c>
      <c r="P3" s="572">
        <v>3.7222222222222223</v>
      </c>
      <c r="Q3" s="572">
        <v>4</v>
      </c>
      <c r="R3" s="572">
        <v>4</v>
      </c>
      <c r="S3" s="572">
        <v>3.2222222222222223</v>
      </c>
    </row>
    <row r="4" spans="1:19" s="221" customFormat="1" ht="24.75">
      <c r="A4" s="222" t="s">
        <v>902</v>
      </c>
      <c r="B4" s="223" t="s">
        <v>903</v>
      </c>
      <c r="C4" s="224" t="s">
        <v>916</v>
      </c>
      <c r="D4" s="225" t="s">
        <v>917</v>
      </c>
      <c r="E4" s="226" t="s">
        <v>918</v>
      </c>
      <c r="F4" s="572">
        <v>3.75</v>
      </c>
      <c r="G4" s="572">
        <v>4.0999999999999996</v>
      </c>
      <c r="H4" s="572">
        <v>3.5</v>
      </c>
      <c r="I4" s="572">
        <v>3.8</v>
      </c>
      <c r="J4" s="572">
        <v>3.6666666666666665</v>
      </c>
      <c r="K4" s="572">
        <v>3.8571428571428572</v>
      </c>
      <c r="L4" s="572">
        <v>4</v>
      </c>
      <c r="M4" s="572">
        <v>3.65</v>
      </c>
      <c r="N4" s="572">
        <v>3.6222222222222222</v>
      </c>
      <c r="O4" s="572">
        <v>3</v>
      </c>
      <c r="P4" s="572">
        <v>3.8333333333333335</v>
      </c>
      <c r="Q4" s="572">
        <v>4</v>
      </c>
      <c r="R4" s="572">
        <v>4</v>
      </c>
      <c r="S4" s="572">
        <v>3.6666666666666665</v>
      </c>
    </row>
    <row r="5" spans="1:19" s="221" customFormat="1" ht="11.25">
      <c r="A5" s="222" t="s">
        <v>902</v>
      </c>
      <c r="B5" s="223" t="s">
        <v>903</v>
      </c>
      <c r="C5" s="224" t="s">
        <v>904</v>
      </c>
      <c r="D5" s="225" t="s">
        <v>923</v>
      </c>
      <c r="E5" s="226" t="s">
        <v>924</v>
      </c>
      <c r="F5" s="572">
        <v>3.774193548387097</v>
      </c>
      <c r="G5" s="572">
        <v>3.8888888888888888</v>
      </c>
      <c r="H5" s="572">
        <v>3.625</v>
      </c>
      <c r="I5" s="572">
        <v>4.0999999999999996</v>
      </c>
      <c r="J5" s="572">
        <v>4.666666666666667</v>
      </c>
      <c r="K5" s="572">
        <v>3.9285714285714284</v>
      </c>
      <c r="L5" s="572">
        <v>3.6</v>
      </c>
      <c r="M5" s="572">
        <v>3.65</v>
      </c>
      <c r="N5" s="572">
        <v>3.6888888888888891</v>
      </c>
      <c r="O5" s="572">
        <v>3</v>
      </c>
      <c r="P5" s="572">
        <v>3.7777777777777777</v>
      </c>
      <c r="Q5" s="572">
        <v>4</v>
      </c>
      <c r="R5" s="572">
        <v>4</v>
      </c>
      <c r="S5" s="572">
        <v>3.6666666666666665</v>
      </c>
    </row>
    <row r="6" spans="1:19" s="221" customFormat="1" ht="16.5">
      <c r="A6" s="222" t="s">
        <v>902</v>
      </c>
      <c r="B6" s="223" t="s">
        <v>903</v>
      </c>
      <c r="C6" s="224" t="s">
        <v>916</v>
      </c>
      <c r="D6" s="225" t="s">
        <v>929</v>
      </c>
      <c r="E6" s="226" t="s">
        <v>930</v>
      </c>
      <c r="F6" s="572">
        <v>3.8026315789473686</v>
      </c>
      <c r="G6" s="572">
        <v>3.8</v>
      </c>
      <c r="H6" s="572">
        <v>3.8571428571428572</v>
      </c>
      <c r="I6" s="572">
        <v>3.2222222222222223</v>
      </c>
      <c r="J6" s="572">
        <v>4.333333333333333</v>
      </c>
      <c r="K6" s="572">
        <v>3.1428571428571428</v>
      </c>
      <c r="L6" s="572">
        <v>4</v>
      </c>
      <c r="M6" s="572">
        <v>3.736842105263158</v>
      </c>
      <c r="N6" s="572">
        <v>3.8888888888888888</v>
      </c>
      <c r="O6" s="572" t="e">
        <v>#DIV/0!</v>
      </c>
      <c r="P6" s="572">
        <v>3.8888888888888888</v>
      </c>
      <c r="Q6" s="572">
        <v>4</v>
      </c>
      <c r="R6" s="572">
        <v>4.2857142857142856</v>
      </c>
      <c r="S6" s="572">
        <v>4.1111111111111107</v>
      </c>
    </row>
    <row r="7" spans="1:19" s="221" customFormat="1" ht="16.5">
      <c r="A7" s="222" t="s">
        <v>902</v>
      </c>
      <c r="B7" s="223" t="s">
        <v>903</v>
      </c>
      <c r="C7" s="224" t="s">
        <v>916</v>
      </c>
      <c r="D7" s="225" t="s">
        <v>934</v>
      </c>
      <c r="E7" s="226" t="s">
        <v>935</v>
      </c>
      <c r="F7" s="572">
        <v>3.8461538461538463</v>
      </c>
      <c r="G7" s="572">
        <v>4.0999999999999996</v>
      </c>
      <c r="H7" s="572">
        <v>3.75</v>
      </c>
      <c r="I7" s="572">
        <v>3.8</v>
      </c>
      <c r="J7" s="572">
        <v>4.333333333333333</v>
      </c>
      <c r="K7" s="572">
        <v>3.6428571428571428</v>
      </c>
      <c r="L7" s="572">
        <v>4</v>
      </c>
      <c r="M7" s="572">
        <v>3.75</v>
      </c>
      <c r="N7" s="572">
        <v>3.7555555555555555</v>
      </c>
      <c r="O7" s="572">
        <v>4</v>
      </c>
      <c r="P7" s="572">
        <v>4.0555555555555554</v>
      </c>
      <c r="Q7" s="572">
        <v>4</v>
      </c>
      <c r="R7" s="572">
        <v>4.5714285714285712</v>
      </c>
      <c r="S7" s="572">
        <v>3.3333333333333335</v>
      </c>
    </row>
    <row r="8" spans="1:19" s="221" customFormat="1" ht="16.5">
      <c r="A8" s="222" t="s">
        <v>902</v>
      </c>
      <c r="B8" s="227" t="s">
        <v>903</v>
      </c>
      <c r="C8" s="224" t="s">
        <v>904</v>
      </c>
      <c r="D8" s="225" t="s">
        <v>940</v>
      </c>
      <c r="E8" s="226" t="s">
        <v>146</v>
      </c>
      <c r="F8" s="572">
        <v>4.1602564102564106</v>
      </c>
      <c r="G8" s="572">
        <v>4.5</v>
      </c>
      <c r="H8" s="572">
        <v>3.625</v>
      </c>
      <c r="I8" s="572">
        <v>3.9</v>
      </c>
      <c r="J8" s="572">
        <v>4.666666666666667</v>
      </c>
      <c r="K8" s="572">
        <v>4.3571428571428568</v>
      </c>
      <c r="L8" s="572">
        <v>4.2</v>
      </c>
      <c r="M8" s="572">
        <v>4.05</v>
      </c>
      <c r="N8" s="572">
        <v>4.0666666666666664</v>
      </c>
      <c r="O8" s="572">
        <v>4</v>
      </c>
      <c r="P8" s="572">
        <v>4.4444444444444446</v>
      </c>
      <c r="Q8" s="572">
        <v>4</v>
      </c>
      <c r="R8" s="572">
        <v>4.1428571428571432</v>
      </c>
      <c r="S8" s="572">
        <v>4.2222222222222223</v>
      </c>
    </row>
    <row r="9" spans="1:19" s="221" customFormat="1" ht="16.5">
      <c r="A9" s="222" t="s">
        <v>902</v>
      </c>
      <c r="B9" s="223" t="s">
        <v>903</v>
      </c>
      <c r="C9" s="224" t="s">
        <v>914</v>
      </c>
      <c r="D9" s="225" t="s">
        <v>946</v>
      </c>
      <c r="E9" s="226" t="s">
        <v>947</v>
      </c>
      <c r="F9" s="572">
        <v>4.2287581699346406</v>
      </c>
      <c r="G9" s="572">
        <v>4.2</v>
      </c>
      <c r="H9" s="572">
        <v>3.5</v>
      </c>
      <c r="I9" s="572">
        <v>4.4000000000000004</v>
      </c>
      <c r="J9" s="572">
        <v>5</v>
      </c>
      <c r="K9" s="572">
        <v>4.2142857142857144</v>
      </c>
      <c r="L9" s="572">
        <v>4.5</v>
      </c>
      <c r="M9" s="572">
        <v>4.3529411764705879</v>
      </c>
      <c r="N9" s="572">
        <v>4.0666666666666664</v>
      </c>
      <c r="O9" s="572">
        <v>4</v>
      </c>
      <c r="P9" s="572">
        <v>4.333333333333333</v>
      </c>
      <c r="Q9" s="572">
        <v>5</v>
      </c>
      <c r="R9" s="572">
        <v>4.1428571428571432</v>
      </c>
      <c r="S9" s="572">
        <v>4.5555555555555554</v>
      </c>
    </row>
    <row r="10" spans="1:19" s="221" customFormat="1" ht="16.5">
      <c r="A10" s="222" t="s">
        <v>902</v>
      </c>
      <c r="B10" s="223" t="s">
        <v>951</v>
      </c>
      <c r="C10" s="224" t="s">
        <v>904</v>
      </c>
      <c r="D10" s="225" t="s">
        <v>952</v>
      </c>
      <c r="E10" s="226" t="s">
        <v>153</v>
      </c>
      <c r="F10" s="572">
        <v>4.2307692307692308</v>
      </c>
      <c r="G10" s="572">
        <v>4.3</v>
      </c>
      <c r="H10" s="572">
        <v>4</v>
      </c>
      <c r="I10" s="572">
        <v>4.4000000000000004</v>
      </c>
      <c r="J10" s="572">
        <v>5</v>
      </c>
      <c r="K10" s="572">
        <v>4</v>
      </c>
      <c r="L10" s="572">
        <v>4.2</v>
      </c>
      <c r="M10" s="572">
        <v>4.2</v>
      </c>
      <c r="N10" s="572">
        <v>4.1333333333333337</v>
      </c>
      <c r="O10" s="572">
        <v>4</v>
      </c>
      <c r="P10" s="572">
        <v>4.333333333333333</v>
      </c>
      <c r="Q10" s="572">
        <v>5</v>
      </c>
      <c r="R10" s="572">
        <v>4.4285714285714288</v>
      </c>
      <c r="S10" s="572">
        <v>4.4444444444444446</v>
      </c>
    </row>
    <row r="11" spans="1:19" s="221" customFormat="1" ht="11.25">
      <c r="A11" s="222" t="s">
        <v>902</v>
      </c>
      <c r="B11" s="223" t="s">
        <v>951</v>
      </c>
      <c r="C11" s="224" t="s">
        <v>904</v>
      </c>
      <c r="D11" s="225" t="s">
        <v>957</v>
      </c>
      <c r="E11" s="226" t="s">
        <v>156</v>
      </c>
      <c r="F11" s="572">
        <v>3.7628205128205128</v>
      </c>
      <c r="G11" s="572">
        <v>4</v>
      </c>
      <c r="H11" s="572">
        <v>3.875</v>
      </c>
      <c r="I11" s="572">
        <v>3.7</v>
      </c>
      <c r="J11" s="572">
        <v>4.333333333333333</v>
      </c>
      <c r="K11" s="572">
        <v>3.7857142857142856</v>
      </c>
      <c r="L11" s="572">
        <v>3.4</v>
      </c>
      <c r="M11" s="572">
        <v>3.75</v>
      </c>
      <c r="N11" s="572">
        <v>3.6666666666666665</v>
      </c>
      <c r="O11" s="572">
        <v>3</v>
      </c>
      <c r="P11" s="572">
        <v>4.0555555555555554</v>
      </c>
      <c r="Q11" s="572">
        <v>3</v>
      </c>
      <c r="R11" s="572">
        <v>3.7142857142857144</v>
      </c>
      <c r="S11" s="572">
        <v>3.7777777777777777</v>
      </c>
    </row>
    <row r="12" spans="1:19" s="221" customFormat="1" ht="24.75">
      <c r="A12" s="222" t="s">
        <v>902</v>
      </c>
      <c r="B12" s="223" t="s">
        <v>951</v>
      </c>
      <c r="C12" s="224" t="s">
        <v>904</v>
      </c>
      <c r="D12" s="225" t="s">
        <v>960</v>
      </c>
      <c r="E12" s="226" t="s">
        <v>159</v>
      </c>
      <c r="F12" s="572">
        <v>3.9102564102564101</v>
      </c>
      <c r="G12" s="572">
        <v>4.4000000000000004</v>
      </c>
      <c r="H12" s="572">
        <v>3.75</v>
      </c>
      <c r="I12" s="572">
        <v>3.7</v>
      </c>
      <c r="J12" s="572">
        <v>5</v>
      </c>
      <c r="K12" s="572">
        <v>4.2857142857142856</v>
      </c>
      <c r="L12" s="572">
        <v>3.6</v>
      </c>
      <c r="M12" s="572">
        <v>4.3</v>
      </c>
      <c r="N12" s="572">
        <v>3.6222222222222222</v>
      </c>
      <c r="O12" s="572">
        <v>3</v>
      </c>
      <c r="P12" s="572">
        <v>3.8888888888888888</v>
      </c>
      <c r="Q12" s="572">
        <v>3</v>
      </c>
      <c r="R12" s="572">
        <v>4.1428571428571432</v>
      </c>
      <c r="S12" s="572">
        <v>3.7777777777777777</v>
      </c>
    </row>
    <row r="13" spans="1:19" s="221" customFormat="1" ht="16.5">
      <c r="A13" s="222" t="s">
        <v>902</v>
      </c>
      <c r="B13" s="223" t="s">
        <v>951</v>
      </c>
      <c r="C13" s="224" t="s">
        <v>920</v>
      </c>
      <c r="D13" s="225" t="s">
        <v>966</v>
      </c>
      <c r="E13" s="226" t="s">
        <v>162</v>
      </c>
      <c r="F13" s="572">
        <v>4.0769230769230766</v>
      </c>
      <c r="G13" s="572">
        <v>4.4000000000000004</v>
      </c>
      <c r="H13" s="572">
        <v>4</v>
      </c>
      <c r="I13" s="572">
        <v>4</v>
      </c>
      <c r="J13" s="572">
        <v>5</v>
      </c>
      <c r="K13" s="572">
        <v>4.2857142857142856</v>
      </c>
      <c r="L13" s="572">
        <v>3.8</v>
      </c>
      <c r="M13" s="572">
        <v>4.25</v>
      </c>
      <c r="N13" s="572">
        <v>4</v>
      </c>
      <c r="O13" s="572">
        <v>3</v>
      </c>
      <c r="P13" s="572">
        <v>4.0555555555555554</v>
      </c>
      <c r="Q13" s="572">
        <v>4</v>
      </c>
      <c r="R13" s="572">
        <v>4.2857142857142856</v>
      </c>
      <c r="S13" s="572">
        <v>3.5555555555555554</v>
      </c>
    </row>
    <row r="14" spans="1:19" s="221" customFormat="1" ht="16.5">
      <c r="A14" s="222" t="s">
        <v>902</v>
      </c>
      <c r="B14" s="223" t="s">
        <v>951</v>
      </c>
      <c r="C14" s="224" t="s">
        <v>920</v>
      </c>
      <c r="D14" s="225" t="s">
        <v>969</v>
      </c>
      <c r="E14" s="226" t="s">
        <v>166</v>
      </c>
      <c r="F14" s="572">
        <v>4.1794871794871797</v>
      </c>
      <c r="G14" s="572">
        <v>4.4000000000000004</v>
      </c>
      <c r="H14" s="572">
        <v>4</v>
      </c>
      <c r="I14" s="572">
        <v>3.7</v>
      </c>
      <c r="J14" s="572">
        <v>5</v>
      </c>
      <c r="K14" s="572">
        <v>4.3571428571428568</v>
      </c>
      <c r="L14" s="572">
        <v>4.0999999999999996</v>
      </c>
      <c r="M14" s="572">
        <v>4.45</v>
      </c>
      <c r="N14" s="572">
        <v>4.0444444444444443</v>
      </c>
      <c r="O14" s="572">
        <v>3</v>
      </c>
      <c r="P14" s="572">
        <v>4.2777777777777777</v>
      </c>
      <c r="Q14" s="572">
        <v>5</v>
      </c>
      <c r="R14" s="572">
        <v>4.4285714285714288</v>
      </c>
      <c r="S14" s="572">
        <v>3.8888888888888888</v>
      </c>
    </row>
    <row r="15" spans="1:19" s="221" customFormat="1" ht="24.75">
      <c r="A15" s="222" t="s">
        <v>902</v>
      </c>
      <c r="B15" s="223" t="s">
        <v>972</v>
      </c>
      <c r="C15" s="224" t="s">
        <v>909</v>
      </c>
      <c r="D15" s="225" t="s">
        <v>973</v>
      </c>
      <c r="E15" s="226" t="s">
        <v>169</v>
      </c>
      <c r="F15" s="572">
        <v>3.651006711409396</v>
      </c>
      <c r="G15" s="572">
        <v>3.8</v>
      </c>
      <c r="H15" s="572">
        <v>3.8571428571428572</v>
      </c>
      <c r="I15" s="572">
        <v>3.125</v>
      </c>
      <c r="J15" s="572">
        <v>4.333333333333333</v>
      </c>
      <c r="K15" s="572">
        <v>3.1428571428571428</v>
      </c>
      <c r="L15" s="572">
        <v>3.8</v>
      </c>
      <c r="M15" s="572">
        <v>3.5789473684210527</v>
      </c>
      <c r="N15" s="572">
        <v>3.5813953488372094</v>
      </c>
      <c r="O15" s="572" t="e">
        <v>#DIV/0!</v>
      </c>
      <c r="P15" s="572">
        <v>3.7222222222222223</v>
      </c>
      <c r="Q15" s="572">
        <v>4</v>
      </c>
      <c r="R15" s="572">
        <v>4.4285714285714288</v>
      </c>
      <c r="S15" s="572">
        <v>3.8888888888888888</v>
      </c>
    </row>
    <row r="16" spans="1:19" s="221" customFormat="1" ht="16.5">
      <c r="A16" s="222" t="s">
        <v>902</v>
      </c>
      <c r="B16" s="227" t="s">
        <v>972</v>
      </c>
      <c r="C16" s="224" t="s">
        <v>909</v>
      </c>
      <c r="D16" s="225" t="s">
        <v>975</v>
      </c>
      <c r="E16" s="226" t="s">
        <v>976</v>
      </c>
      <c r="F16" s="572">
        <v>3.56</v>
      </c>
      <c r="G16" s="572">
        <v>3.6</v>
      </c>
      <c r="H16" s="572">
        <v>3.7142857142857144</v>
      </c>
      <c r="I16" s="572">
        <v>3.25</v>
      </c>
      <c r="J16" s="572">
        <v>4.333333333333333</v>
      </c>
      <c r="K16" s="572">
        <v>3.1428571428571428</v>
      </c>
      <c r="L16" s="572">
        <v>3.6</v>
      </c>
      <c r="M16" s="572">
        <v>3.3684210526315788</v>
      </c>
      <c r="N16" s="572">
        <v>3.6136363636363638</v>
      </c>
      <c r="O16" s="572" t="e">
        <v>#DIV/0!</v>
      </c>
      <c r="P16" s="572">
        <v>3.7222222222222223</v>
      </c>
      <c r="Q16" s="572">
        <v>3</v>
      </c>
      <c r="R16" s="572">
        <v>4.2857142857142856</v>
      </c>
      <c r="S16" s="572">
        <v>3.3333333333333335</v>
      </c>
    </row>
    <row r="17" spans="1:19" s="221" customFormat="1" ht="16.5">
      <c r="A17" s="222" t="s">
        <v>902</v>
      </c>
      <c r="B17" s="227" t="s">
        <v>972</v>
      </c>
      <c r="C17" s="224" t="s">
        <v>909</v>
      </c>
      <c r="D17" s="225" t="s">
        <v>978</v>
      </c>
      <c r="E17" s="226" t="s">
        <v>979</v>
      </c>
      <c r="F17" s="572">
        <v>3.8758169934640523</v>
      </c>
      <c r="G17" s="572">
        <v>4.2</v>
      </c>
      <c r="H17" s="572">
        <v>3.75</v>
      </c>
      <c r="I17" s="572">
        <v>3.7</v>
      </c>
      <c r="J17" s="572">
        <v>4.333333333333333</v>
      </c>
      <c r="K17" s="572">
        <v>4.2857142857142856</v>
      </c>
      <c r="L17" s="572">
        <v>3.9</v>
      </c>
      <c r="M17" s="572">
        <v>3.4736842105263159</v>
      </c>
      <c r="N17" s="572">
        <v>3.8636363636363638</v>
      </c>
      <c r="O17" s="572">
        <v>4</v>
      </c>
      <c r="P17" s="572">
        <v>3.6666666666666665</v>
      </c>
      <c r="Q17" s="572">
        <v>4</v>
      </c>
      <c r="R17" s="572">
        <v>4.2857142857142856</v>
      </c>
      <c r="S17" s="572">
        <v>4</v>
      </c>
    </row>
    <row r="18" spans="1:19" s="221" customFormat="1" ht="16.5">
      <c r="A18" s="222" t="s">
        <v>902</v>
      </c>
      <c r="B18" s="227" t="s">
        <v>972</v>
      </c>
      <c r="C18" s="224" t="s">
        <v>909</v>
      </c>
      <c r="D18" s="225" t="s">
        <v>981</v>
      </c>
      <c r="E18" s="226" t="s">
        <v>440</v>
      </c>
      <c r="F18" s="572">
        <v>3.5833333333333335</v>
      </c>
      <c r="G18" s="572">
        <v>3.8</v>
      </c>
      <c r="H18" s="572">
        <v>3.125</v>
      </c>
      <c r="I18" s="572">
        <v>3.25</v>
      </c>
      <c r="J18" s="572">
        <v>3.6666666666666665</v>
      </c>
      <c r="K18" s="572">
        <v>3.0714285714285716</v>
      </c>
      <c r="L18" s="572">
        <v>3.7</v>
      </c>
      <c r="M18" s="572">
        <v>3.3529411764705883</v>
      </c>
      <c r="N18" s="572">
        <v>3.8292682926829267</v>
      </c>
      <c r="O18" s="572">
        <v>2</v>
      </c>
      <c r="P18" s="572">
        <v>3.6470588235294117</v>
      </c>
      <c r="Q18" s="572">
        <v>3</v>
      </c>
      <c r="R18" s="572">
        <v>4</v>
      </c>
      <c r="S18" s="572">
        <v>3.875</v>
      </c>
    </row>
    <row r="19" spans="1:19" s="221" customFormat="1" ht="16.5">
      <c r="A19" s="222" t="s">
        <v>902</v>
      </c>
      <c r="B19" s="223" t="s">
        <v>951</v>
      </c>
      <c r="C19" s="234" t="s">
        <v>984</v>
      </c>
      <c r="D19" s="225" t="s">
        <v>985</v>
      </c>
      <c r="E19" s="226" t="s">
        <v>986</v>
      </c>
      <c r="F19" s="572">
        <v>3.3066666666666666</v>
      </c>
      <c r="G19" s="572">
        <v>3.3</v>
      </c>
      <c r="H19" s="572">
        <v>3.25</v>
      </c>
      <c r="I19" s="572">
        <v>3.125</v>
      </c>
      <c r="J19" s="572">
        <v>4.666666666666667</v>
      </c>
      <c r="K19" s="572">
        <v>2.6428571428571428</v>
      </c>
      <c r="L19" s="572">
        <v>3.6</v>
      </c>
      <c r="M19" s="572">
        <v>3.3</v>
      </c>
      <c r="N19" s="572">
        <v>3.3488372093023258</v>
      </c>
      <c r="O19" s="572" t="e">
        <v>#DIV/0!</v>
      </c>
      <c r="P19" s="572">
        <v>3.3888888888888888</v>
      </c>
      <c r="Q19" s="572">
        <v>3</v>
      </c>
      <c r="R19" s="572">
        <v>3.5</v>
      </c>
      <c r="S19" s="572">
        <v>3.3333333333333335</v>
      </c>
    </row>
    <row r="20" spans="1:19" s="221" customFormat="1" ht="16.5">
      <c r="A20" s="222" t="s">
        <v>902</v>
      </c>
      <c r="B20" s="223" t="s">
        <v>972</v>
      </c>
      <c r="C20" s="224" t="s">
        <v>916</v>
      </c>
      <c r="D20" s="225" t="s">
        <v>987</v>
      </c>
      <c r="E20" s="226" t="s">
        <v>988</v>
      </c>
      <c r="F20" s="572">
        <v>3.9166666666666665</v>
      </c>
      <c r="G20" s="572">
        <v>4.5</v>
      </c>
      <c r="H20" s="572">
        <v>4</v>
      </c>
      <c r="I20" s="572">
        <v>3.7</v>
      </c>
      <c r="J20" s="572">
        <v>4</v>
      </c>
      <c r="K20" s="572">
        <v>4.0714285714285712</v>
      </c>
      <c r="L20" s="572">
        <v>4</v>
      </c>
      <c r="M20" s="572">
        <v>3.85</v>
      </c>
      <c r="N20" s="572">
        <v>3.7555555555555555</v>
      </c>
      <c r="O20" s="572">
        <v>5</v>
      </c>
      <c r="P20" s="572">
        <v>4</v>
      </c>
      <c r="Q20" s="572">
        <v>3</v>
      </c>
      <c r="R20" s="572">
        <v>4</v>
      </c>
      <c r="S20" s="572">
        <v>3.7777777777777777</v>
      </c>
    </row>
    <row r="21" spans="1:19" s="221" customFormat="1" ht="16.5">
      <c r="A21" s="222" t="s">
        <v>902</v>
      </c>
      <c r="B21" s="227" t="s">
        <v>972</v>
      </c>
      <c r="C21" s="224" t="s">
        <v>902</v>
      </c>
      <c r="D21" s="225" t="s">
        <v>989</v>
      </c>
      <c r="E21" s="226" t="s">
        <v>990</v>
      </c>
      <c r="F21" s="572">
        <v>3.62</v>
      </c>
      <c r="G21" s="572">
        <v>4</v>
      </c>
      <c r="H21" s="572">
        <v>3.2857142857142856</v>
      </c>
      <c r="I21" s="572">
        <v>3.6</v>
      </c>
      <c r="J21" s="572">
        <v>4.333333333333333</v>
      </c>
      <c r="K21" s="572">
        <v>3.7857142857142856</v>
      </c>
      <c r="L21" s="572">
        <v>3.5555555555555554</v>
      </c>
      <c r="M21" s="572">
        <v>3.4444444444444446</v>
      </c>
      <c r="N21" s="572">
        <v>3.5111111111111111</v>
      </c>
      <c r="O21" s="572" t="e">
        <v>#DIV/0!</v>
      </c>
      <c r="P21" s="572">
        <v>3.8333333333333335</v>
      </c>
      <c r="Q21" s="572">
        <v>3</v>
      </c>
      <c r="R21" s="572">
        <v>3.5714285714285716</v>
      </c>
      <c r="S21" s="572">
        <v>3.625</v>
      </c>
    </row>
    <row r="22" spans="1:19" s="221" customFormat="1" ht="33">
      <c r="A22" s="222" t="s">
        <v>937</v>
      </c>
      <c r="B22" s="223" t="s">
        <v>938</v>
      </c>
      <c r="C22" s="224" t="s">
        <v>902</v>
      </c>
      <c r="D22" s="225" t="s">
        <v>991</v>
      </c>
      <c r="E22" s="226" t="s">
        <v>191</v>
      </c>
      <c r="F22" s="572">
        <v>3.4863013698630136</v>
      </c>
      <c r="G22" s="572">
        <v>4</v>
      </c>
      <c r="H22" s="572">
        <v>3.5</v>
      </c>
      <c r="I22" s="572">
        <v>3.5</v>
      </c>
      <c r="J22" s="572">
        <v>4.333333333333333</v>
      </c>
      <c r="K22" s="572">
        <v>3.7857142857142856</v>
      </c>
      <c r="L22" s="572">
        <v>3.8888888888888888</v>
      </c>
      <c r="M22" s="572">
        <v>2.8823529411764706</v>
      </c>
      <c r="N22" s="572">
        <v>3.3720930232558142</v>
      </c>
      <c r="O22" s="572" t="e">
        <v>#DIV/0!</v>
      </c>
      <c r="P22" s="572">
        <v>3.4705882352941178</v>
      </c>
      <c r="Q22" s="572">
        <v>3</v>
      </c>
      <c r="R22" s="572">
        <v>3.4285714285714284</v>
      </c>
      <c r="S22" s="572">
        <v>3.5555555555555554</v>
      </c>
    </row>
    <row r="23" spans="1:19" s="221" customFormat="1" ht="16.5">
      <c r="A23" s="238"/>
      <c r="B23" s="223"/>
      <c r="C23" s="224"/>
      <c r="D23" s="225" t="s">
        <v>992</v>
      </c>
      <c r="E23" s="226" t="s">
        <v>194</v>
      </c>
    </row>
    <row r="24" spans="1:19" s="221" customFormat="1" ht="12" thickBot="1">
      <c r="A24" s="239"/>
      <c r="B24" s="240"/>
      <c r="C24" s="241"/>
      <c r="D24" s="242"/>
      <c r="E24" s="243"/>
    </row>
    <row r="25" spans="1:19" s="221" customFormat="1" ht="11.25">
      <c r="A25" s="206"/>
      <c r="B25" s="250"/>
      <c r="C25" s="249"/>
      <c r="D25" s="249"/>
      <c r="E25" s="251"/>
    </row>
    <row r="26" spans="1:19" s="221" customFormat="1" ht="11.25">
      <c r="A26" s="206"/>
      <c r="B26" s="250"/>
      <c r="C26" s="249"/>
      <c r="D26" s="249"/>
      <c r="E26" s="251"/>
    </row>
    <row r="27" spans="1:19" s="221" customFormat="1" ht="11.25">
      <c r="A27" s="206"/>
      <c r="B27" s="250"/>
      <c r="C27" s="249"/>
      <c r="D27" s="249"/>
      <c r="E27" s="251"/>
    </row>
    <row r="28" spans="1:19" s="221" customFormat="1" ht="11.25">
      <c r="A28" s="206"/>
      <c r="B28" s="250"/>
      <c r="C28" s="249"/>
      <c r="D28" s="249"/>
      <c r="E28" s="251"/>
    </row>
    <row r="29" spans="1:19" s="221" customFormat="1" ht="11.25">
      <c r="A29" s="206"/>
      <c r="B29" s="250"/>
      <c r="C29" s="249"/>
      <c r="D29" s="249"/>
      <c r="E29" s="251"/>
    </row>
    <row r="30" spans="1:19" s="221" customFormat="1" ht="11.25">
      <c r="A30" s="206"/>
      <c r="B30" s="250"/>
      <c r="C30" s="249"/>
      <c r="D30" s="249"/>
      <c r="E30" s="251"/>
    </row>
    <row r="31" spans="1:19" s="221" customFormat="1" ht="11.25">
      <c r="A31" s="206"/>
      <c r="B31" s="250"/>
      <c r="C31" s="249"/>
      <c r="D31" s="249"/>
      <c r="E31" s="251"/>
    </row>
    <row r="32" spans="1:19" s="221" customFormat="1" ht="11.25">
      <c r="A32" s="206"/>
      <c r="B32" s="250"/>
      <c r="C32" s="249"/>
      <c r="D32" s="249"/>
      <c r="E32" s="251"/>
    </row>
    <row r="33" spans="1:5" s="221" customFormat="1" ht="11.25">
      <c r="A33" s="206"/>
      <c r="B33" s="250"/>
      <c r="C33" s="249"/>
      <c r="D33" s="249"/>
      <c r="E33" s="251"/>
    </row>
    <row r="34" spans="1:5" s="221" customFormat="1" ht="11.25">
      <c r="A34" s="206"/>
      <c r="B34" s="250"/>
      <c r="C34" s="249"/>
      <c r="D34" s="249"/>
      <c r="E34" s="251"/>
    </row>
    <row r="35" spans="1:5" s="221" customFormat="1" ht="11.25">
      <c r="A35" s="206"/>
      <c r="B35" s="250"/>
      <c r="C35" s="249"/>
      <c r="D35" s="249"/>
      <c r="E35" s="251"/>
    </row>
    <row r="36" spans="1:5" s="221" customFormat="1" ht="11.25">
      <c r="A36" s="206"/>
      <c r="B36" s="250"/>
      <c r="C36" s="249"/>
      <c r="D36" s="249"/>
      <c r="E36" s="251"/>
    </row>
    <row r="37" spans="1:5" s="221" customFormat="1" ht="11.25">
      <c r="A37" s="206"/>
      <c r="B37" s="250"/>
      <c r="C37" s="249"/>
      <c r="D37" s="249"/>
      <c r="E37" s="251"/>
    </row>
    <row r="38" spans="1:5" s="221" customFormat="1" ht="11.25">
      <c r="A38" s="206"/>
      <c r="B38" s="250"/>
      <c r="C38" s="249"/>
      <c r="D38" s="249"/>
      <c r="E38" s="251"/>
    </row>
    <row r="39" spans="1:5" s="221" customFormat="1" ht="11.25">
      <c r="A39" s="206"/>
      <c r="B39" s="250"/>
      <c r="C39" s="249"/>
      <c r="D39" s="249"/>
      <c r="E39" s="251"/>
    </row>
    <row r="40" spans="1:5" s="221" customFormat="1" ht="11.25">
      <c r="A40" s="206"/>
      <c r="B40" s="250"/>
      <c r="C40" s="249"/>
      <c r="D40" s="249"/>
      <c r="E40" s="251"/>
    </row>
    <row r="41" spans="1:5" s="221" customFormat="1" ht="11.25">
      <c r="A41" s="206"/>
      <c r="B41" s="250"/>
      <c r="C41" s="249"/>
      <c r="D41" s="249"/>
      <c r="E41" s="251"/>
    </row>
    <row r="42" spans="1:5" s="221" customFormat="1" ht="11.25">
      <c r="A42" s="206"/>
      <c r="B42" s="250"/>
      <c r="C42" s="249"/>
      <c r="D42" s="249"/>
      <c r="E42" s="251"/>
    </row>
    <row r="43" spans="1:5" s="221" customFormat="1" ht="11.25">
      <c r="A43" s="206"/>
      <c r="B43" s="250"/>
      <c r="C43" s="249"/>
      <c r="D43" s="249"/>
      <c r="E43" s="251"/>
    </row>
    <row r="44" spans="1:5" s="221" customFormat="1" ht="11.25">
      <c r="A44" s="206"/>
      <c r="B44" s="250"/>
      <c r="C44" s="249"/>
      <c r="D44" s="249"/>
      <c r="E44" s="251"/>
    </row>
    <row r="45" spans="1:5" s="221" customFormat="1" ht="11.25">
      <c r="A45" s="206"/>
      <c r="B45" s="250"/>
      <c r="C45" s="249"/>
      <c r="D45" s="249"/>
      <c r="E45" s="251"/>
    </row>
    <row r="46" spans="1:5" s="221" customFormat="1" ht="11.25">
      <c r="A46" s="206"/>
      <c r="B46" s="250"/>
      <c r="C46" s="249"/>
      <c r="D46" s="249"/>
      <c r="E46" s="251"/>
    </row>
    <row r="47" spans="1:5" s="221" customFormat="1" ht="11.25">
      <c r="A47" s="206"/>
      <c r="B47" s="250"/>
      <c r="C47" s="249"/>
      <c r="D47" s="249"/>
      <c r="E47" s="251"/>
    </row>
    <row r="48" spans="1:5" s="221" customFormat="1" ht="11.25">
      <c r="A48" s="206"/>
      <c r="B48" s="250"/>
      <c r="C48" s="249"/>
      <c r="D48" s="249"/>
      <c r="E48" s="251"/>
    </row>
    <row r="49" spans="1:5" s="221" customFormat="1" ht="11.25">
      <c r="A49" s="206"/>
      <c r="B49" s="250"/>
      <c r="C49" s="249"/>
      <c r="D49" s="249"/>
      <c r="E49" s="251"/>
    </row>
    <row r="50" spans="1:5" s="221" customFormat="1" ht="11.25">
      <c r="A50" s="206"/>
      <c r="B50" s="250"/>
      <c r="C50" s="249"/>
      <c r="D50" s="249"/>
      <c r="E50" s="251"/>
    </row>
    <row r="51" spans="1:5" s="221" customFormat="1" ht="11.25">
      <c r="A51" s="206"/>
      <c r="B51" s="250"/>
      <c r="C51" s="249"/>
      <c r="D51" s="249"/>
      <c r="E51" s="251"/>
    </row>
    <row r="52" spans="1:5" s="221" customFormat="1" ht="11.25">
      <c r="A52" s="206"/>
      <c r="B52" s="250"/>
      <c r="C52" s="249"/>
      <c r="D52" s="249"/>
      <c r="E52" s="251"/>
    </row>
    <row r="53" spans="1:5" s="221" customFormat="1" ht="11.25">
      <c r="A53" s="206"/>
      <c r="B53" s="250"/>
      <c r="C53" s="249"/>
      <c r="D53" s="249"/>
      <c r="E53" s="251"/>
    </row>
    <row r="54" spans="1:5" s="221" customFormat="1" ht="11.25">
      <c r="A54" s="206"/>
      <c r="B54" s="250"/>
      <c r="C54" s="249"/>
      <c r="D54" s="249"/>
      <c r="E54" s="251"/>
    </row>
    <row r="55" spans="1:5" s="221" customFormat="1" ht="11.25">
      <c r="A55" s="206"/>
      <c r="B55" s="250"/>
      <c r="C55" s="249"/>
      <c r="D55" s="249"/>
      <c r="E55" s="251"/>
    </row>
    <row r="56" spans="1:5" s="221" customFormat="1" ht="11.25">
      <c r="A56" s="206"/>
      <c r="B56" s="250"/>
      <c r="C56" s="249"/>
      <c r="D56" s="249"/>
      <c r="E56" s="251"/>
    </row>
    <row r="57" spans="1:5" s="221" customFormat="1" ht="11.25">
      <c r="A57" s="206"/>
      <c r="B57" s="250"/>
      <c r="C57" s="249"/>
      <c r="D57" s="249"/>
      <c r="E57" s="251"/>
    </row>
    <row r="58" spans="1:5" s="221" customFormat="1" ht="11.25">
      <c r="A58" s="206"/>
      <c r="B58" s="250"/>
      <c r="C58" s="249"/>
      <c r="D58" s="249"/>
      <c r="E58" s="251"/>
    </row>
    <row r="59" spans="1:5" s="221" customFormat="1" ht="11.25">
      <c r="A59" s="206"/>
      <c r="B59" s="250"/>
      <c r="C59" s="249"/>
      <c r="D59" s="249"/>
      <c r="E59" s="251"/>
    </row>
    <row r="60" spans="1:5" s="221" customFormat="1" ht="11.25">
      <c r="A60" s="206"/>
      <c r="B60" s="250"/>
      <c r="C60" s="249"/>
      <c r="D60" s="249"/>
      <c r="E60" s="251"/>
    </row>
    <row r="61" spans="1:5" s="221" customFormat="1" ht="11.25">
      <c r="A61" s="206"/>
      <c r="B61" s="250"/>
      <c r="C61" s="249"/>
      <c r="D61" s="249"/>
      <c r="E61" s="251"/>
    </row>
    <row r="62" spans="1:5" s="221" customFormat="1" ht="11.25">
      <c r="A62" s="206"/>
      <c r="B62" s="250"/>
      <c r="C62" s="249"/>
      <c r="D62" s="249"/>
      <c r="E62" s="251"/>
    </row>
    <row r="63" spans="1:5" s="221" customFormat="1" ht="11.25">
      <c r="A63" s="206"/>
      <c r="B63" s="250"/>
      <c r="C63" s="249"/>
      <c r="D63" s="249"/>
      <c r="E63" s="251"/>
    </row>
    <row r="64" spans="1:5" s="221" customFormat="1" ht="11.25">
      <c r="A64" s="206"/>
      <c r="B64" s="250"/>
      <c r="C64" s="249"/>
      <c r="D64" s="249"/>
      <c r="E64" s="251"/>
    </row>
    <row r="65" spans="1:5" s="221" customFormat="1" ht="11.25">
      <c r="A65" s="206"/>
      <c r="B65" s="250"/>
      <c r="C65" s="249"/>
      <c r="D65" s="249"/>
      <c r="E65" s="251"/>
    </row>
  </sheetData>
  <mergeCells count="1">
    <mergeCell ref="C2:E2"/>
  </mergeCells>
  <hyperlinks>
    <hyperlink ref="A1" location="'Table of Contents'!A1" display="Table of Contents"/>
  </hyperlinks>
  <printOptions gridLines="1"/>
  <pageMargins left="0.25" right="0.25" top="0.75" bottom="0.75" header="0.3" footer="0.3"/>
  <pageSetup scale="77" orientation="landscape" r:id="rId1"/>
  <headerFooter>
    <oddFooter>&amp;L&amp;5&amp;Z&amp;F
Created: 9/29/2006 10:44:00 PM
Last Saved: 2/5/2008 9:15:17 PM
Last Printed: 2/5/2008 6:12:16 PM&amp;R&amp;5&amp;P - &amp;N
Title :&lt;Not Set&gt;
Subject: &lt;Not Set&gt;</oddFooter>
  </headerFooter>
  <rowBreaks count="1" manualBreakCount="1">
    <brk id="24" max="16383" man="1"/>
  </rowBreaks>
</worksheet>
</file>

<file path=xl/worksheets/sheet8.xml><?xml version="1.0" encoding="utf-8"?>
<worksheet xmlns="http://schemas.openxmlformats.org/spreadsheetml/2006/main" xmlns:r="http://schemas.openxmlformats.org/officeDocument/2006/relationships">
  <sheetPr codeName="Sheet28">
    <pageSetUpPr fitToPage="1"/>
  </sheetPr>
  <dimension ref="A1:S65"/>
  <sheetViews>
    <sheetView workbookViewId="0">
      <selection activeCell="Q3" sqref="Q3:Q16"/>
    </sheetView>
  </sheetViews>
  <sheetFormatPr defaultRowHeight="12.75"/>
  <cols>
    <col min="1" max="1" width="3.42578125" style="203" bestFit="1" customWidth="1"/>
    <col min="2" max="2" width="4.5703125" style="203" bestFit="1" customWidth="1"/>
    <col min="3" max="3" width="9.140625" style="3"/>
    <col min="4" max="4" width="9.140625" style="249"/>
    <col min="5" max="5" width="21.5703125" style="1" customWidth="1"/>
    <col min="6" max="16384" width="9.140625" style="571"/>
  </cols>
  <sheetData>
    <row r="1" spans="1:19" ht="13.5" thickBot="1">
      <c r="A1" s="591" t="s">
        <v>30</v>
      </c>
      <c r="B1"/>
    </row>
    <row r="2" spans="1:19" ht="21.75" customHeight="1" thickTop="1" thickBot="1">
      <c r="A2" s="206" t="s">
        <v>900</v>
      </c>
      <c r="B2" s="206" t="s">
        <v>901</v>
      </c>
      <c r="C2" s="642" t="s">
        <v>811</v>
      </c>
      <c r="D2" s="643"/>
      <c r="E2" s="644"/>
      <c r="F2" s="573" t="s">
        <v>57</v>
      </c>
      <c r="G2" s="573" t="s">
        <v>693</v>
      </c>
      <c r="H2" s="573" t="s">
        <v>24</v>
      </c>
      <c r="I2" s="573" t="s">
        <v>25</v>
      </c>
      <c r="J2" s="573" t="s">
        <v>26</v>
      </c>
      <c r="K2" s="573" t="s">
        <v>7</v>
      </c>
      <c r="L2" s="573" t="s">
        <v>541</v>
      </c>
      <c r="M2" s="573" t="s">
        <v>8</v>
      </c>
      <c r="N2" s="573" t="s">
        <v>9</v>
      </c>
      <c r="O2" s="573" t="s">
        <v>12</v>
      </c>
      <c r="P2" s="573" t="s">
        <v>10</v>
      </c>
      <c r="Q2" s="573" t="s">
        <v>1110</v>
      </c>
      <c r="R2" s="573" t="s">
        <v>1160</v>
      </c>
      <c r="S2" s="574" t="s">
        <v>11</v>
      </c>
    </row>
    <row r="3" spans="1:19" s="221" customFormat="1" ht="24.75">
      <c r="A3" s="210" t="s">
        <v>907</v>
      </c>
      <c r="B3" s="216" t="s">
        <v>908</v>
      </c>
      <c r="C3" s="212" t="s">
        <v>909</v>
      </c>
      <c r="D3" s="213" t="s">
        <v>910</v>
      </c>
      <c r="E3" s="214" t="s">
        <v>911</v>
      </c>
      <c r="F3" s="572">
        <v>4.0434782608695654</v>
      </c>
      <c r="G3" s="572">
        <v>4</v>
      </c>
      <c r="H3" s="572">
        <v>5</v>
      </c>
      <c r="I3" s="572" t="e">
        <v>#DIV/0!</v>
      </c>
      <c r="J3" s="572">
        <v>4</v>
      </c>
      <c r="K3" s="572" t="e">
        <v>#DIV/0!</v>
      </c>
      <c r="L3" s="572">
        <v>4.2</v>
      </c>
      <c r="M3" s="572">
        <v>4.666666666666667</v>
      </c>
      <c r="N3" s="572">
        <v>4</v>
      </c>
      <c r="O3" s="572" t="e">
        <v>#DIV/0!</v>
      </c>
      <c r="P3" s="572">
        <v>3.2</v>
      </c>
      <c r="Q3" s="572">
        <v>4.5</v>
      </c>
      <c r="R3" s="572">
        <v>4</v>
      </c>
      <c r="S3" s="572" t="e">
        <v>#DIV/0!</v>
      </c>
    </row>
    <row r="4" spans="1:19" s="221" customFormat="1" ht="41.25">
      <c r="A4" s="222" t="s">
        <v>907</v>
      </c>
      <c r="B4" s="227" t="s">
        <v>908</v>
      </c>
      <c r="C4" s="224" t="s">
        <v>902</v>
      </c>
      <c r="D4" s="225" t="s">
        <v>919</v>
      </c>
      <c r="E4" s="226" t="s">
        <v>700</v>
      </c>
      <c r="F4" s="572">
        <v>4.0465116279069768</v>
      </c>
      <c r="G4" s="572">
        <v>4</v>
      </c>
      <c r="H4" s="572">
        <v>5</v>
      </c>
      <c r="I4" s="572" t="e">
        <v>#DIV/0!</v>
      </c>
      <c r="J4" s="572">
        <v>3.9</v>
      </c>
      <c r="K4" s="572" t="e">
        <v>#DIV/0!</v>
      </c>
      <c r="L4" s="572">
        <v>4.666666666666667</v>
      </c>
      <c r="M4" s="572">
        <v>4.666666666666667</v>
      </c>
      <c r="N4" s="572">
        <v>3.8</v>
      </c>
      <c r="O4" s="572" t="e">
        <v>#DIV/0!</v>
      </c>
      <c r="P4" s="572">
        <v>3.2</v>
      </c>
      <c r="Q4" s="572">
        <v>4.5</v>
      </c>
      <c r="R4" s="572">
        <v>4.2857142857142856</v>
      </c>
      <c r="S4" s="572" t="e">
        <v>#DIV/0!</v>
      </c>
    </row>
    <row r="5" spans="1:19" s="221" customFormat="1" ht="16.5">
      <c r="A5" s="222" t="s">
        <v>907</v>
      </c>
      <c r="B5" s="223" t="s">
        <v>908</v>
      </c>
      <c r="C5" s="224" t="s">
        <v>925</v>
      </c>
      <c r="D5" s="225" t="s">
        <v>926</v>
      </c>
      <c r="E5" s="226" t="s">
        <v>927</v>
      </c>
      <c r="F5" s="572">
        <v>4.0869565217391308</v>
      </c>
      <c r="G5" s="572">
        <v>4</v>
      </c>
      <c r="H5" s="572">
        <v>4.5</v>
      </c>
      <c r="I5" s="572" t="e">
        <v>#DIV/0!</v>
      </c>
      <c r="J5" s="572">
        <v>3.9</v>
      </c>
      <c r="K5" s="572" t="e">
        <v>#DIV/0!</v>
      </c>
      <c r="L5" s="572">
        <v>4.4000000000000004</v>
      </c>
      <c r="M5" s="572">
        <v>4.666666666666667</v>
      </c>
      <c r="N5" s="572">
        <v>4</v>
      </c>
      <c r="O5" s="572" t="e">
        <v>#DIV/0!</v>
      </c>
      <c r="P5" s="572">
        <v>3.6</v>
      </c>
      <c r="Q5" s="572">
        <v>4.5</v>
      </c>
      <c r="R5" s="572">
        <v>4.1428571428571432</v>
      </c>
      <c r="S5" s="572" t="e">
        <v>#DIV/0!</v>
      </c>
    </row>
    <row r="6" spans="1:19" s="221" customFormat="1" ht="24.75">
      <c r="A6" s="222" t="s">
        <v>907</v>
      </c>
      <c r="B6" s="223" t="s">
        <v>908</v>
      </c>
      <c r="C6" s="224" t="s">
        <v>909</v>
      </c>
      <c r="D6" s="225" t="s">
        <v>931</v>
      </c>
      <c r="E6" s="226" t="s">
        <v>703</v>
      </c>
      <c r="F6" s="572">
        <v>3.8181818181818183</v>
      </c>
      <c r="G6" s="572">
        <v>4</v>
      </c>
      <c r="H6" s="572">
        <v>4</v>
      </c>
      <c r="I6" s="572" t="e">
        <v>#DIV/0!</v>
      </c>
      <c r="J6" s="572">
        <v>3.7142857142857144</v>
      </c>
      <c r="K6" s="572" t="e">
        <v>#DIV/0!</v>
      </c>
      <c r="L6" s="572">
        <v>4.2</v>
      </c>
      <c r="M6" s="572">
        <v>3.6666666666666665</v>
      </c>
      <c r="N6" s="572">
        <v>3.7272727272727271</v>
      </c>
      <c r="O6" s="572" t="e">
        <v>#DIV/0!</v>
      </c>
      <c r="P6" s="572">
        <v>3.6</v>
      </c>
      <c r="Q6" s="572">
        <v>4</v>
      </c>
      <c r="R6" s="572">
        <v>3.875</v>
      </c>
      <c r="S6" s="572" t="e">
        <v>#DIV/0!</v>
      </c>
    </row>
    <row r="7" spans="1:19" s="221" customFormat="1" ht="16.5">
      <c r="A7" s="222" t="s">
        <v>907</v>
      </c>
      <c r="B7" s="223" t="s">
        <v>908</v>
      </c>
      <c r="C7" s="224" t="s">
        <v>904</v>
      </c>
      <c r="D7" s="225" t="s">
        <v>936</v>
      </c>
      <c r="E7" s="226" t="s">
        <v>705</v>
      </c>
      <c r="F7" s="572">
        <v>3.8444444444444446</v>
      </c>
      <c r="G7" s="572">
        <v>4</v>
      </c>
      <c r="H7" s="572">
        <v>4</v>
      </c>
      <c r="I7" s="572" t="e">
        <v>#DIV/0!</v>
      </c>
      <c r="J7" s="572">
        <v>3.5</v>
      </c>
      <c r="K7" s="572" t="e">
        <v>#DIV/0!</v>
      </c>
      <c r="L7" s="572">
        <v>4</v>
      </c>
      <c r="M7" s="572">
        <v>4</v>
      </c>
      <c r="N7" s="572">
        <v>3.9090909090909092</v>
      </c>
      <c r="O7" s="572" t="e">
        <v>#DIV/0!</v>
      </c>
      <c r="P7" s="572">
        <v>3.6</v>
      </c>
      <c r="Q7" s="572">
        <v>4</v>
      </c>
      <c r="R7" s="572">
        <v>4</v>
      </c>
      <c r="S7" s="572" t="e">
        <v>#DIV/0!</v>
      </c>
    </row>
    <row r="8" spans="1:19" s="221" customFormat="1" ht="24.75">
      <c r="A8" s="222" t="s">
        <v>907</v>
      </c>
      <c r="B8" s="227" t="s">
        <v>941</v>
      </c>
      <c r="C8" s="224" t="s">
        <v>942</v>
      </c>
      <c r="D8" s="225" t="s">
        <v>943</v>
      </c>
      <c r="E8" s="226" t="s">
        <v>707</v>
      </c>
      <c r="F8" s="572">
        <v>3.8936170212765959</v>
      </c>
      <c r="G8" s="572">
        <v>5</v>
      </c>
      <c r="H8" s="572">
        <v>3.5</v>
      </c>
      <c r="I8" s="572" t="e">
        <v>#DIV/0!</v>
      </c>
      <c r="J8" s="572">
        <v>3.8</v>
      </c>
      <c r="K8" s="572" t="e">
        <v>#DIV/0!</v>
      </c>
      <c r="L8" s="572">
        <v>4</v>
      </c>
      <c r="M8" s="572">
        <v>4.333333333333333</v>
      </c>
      <c r="N8" s="572">
        <v>3.9090909090909092</v>
      </c>
      <c r="O8" s="572" t="e">
        <v>#DIV/0!</v>
      </c>
      <c r="P8" s="572">
        <v>3.6</v>
      </c>
      <c r="Q8" s="572">
        <v>4</v>
      </c>
      <c r="R8" s="572">
        <v>3.875</v>
      </c>
      <c r="S8" s="572" t="e">
        <v>#DIV/0!</v>
      </c>
    </row>
    <row r="9" spans="1:19" s="221" customFormat="1" ht="24.75">
      <c r="A9" s="222" t="s">
        <v>907</v>
      </c>
      <c r="B9" s="223" t="s">
        <v>941</v>
      </c>
      <c r="C9" s="224" t="s">
        <v>942</v>
      </c>
      <c r="D9" s="225" t="s">
        <v>948</v>
      </c>
      <c r="E9" s="226" t="s">
        <v>708</v>
      </c>
      <c r="F9" s="572">
        <v>4.1463414634146343</v>
      </c>
      <c r="G9" s="572">
        <v>4</v>
      </c>
      <c r="H9" s="572">
        <v>4</v>
      </c>
      <c r="I9" s="572" t="e">
        <v>#DIV/0!</v>
      </c>
      <c r="J9" s="572">
        <v>4</v>
      </c>
      <c r="K9" s="572" t="e">
        <v>#DIV/0!</v>
      </c>
      <c r="L9" s="572">
        <v>4.4000000000000004</v>
      </c>
      <c r="M9" s="572">
        <v>5</v>
      </c>
      <c r="N9" s="572">
        <v>4.2222222222222223</v>
      </c>
      <c r="O9" s="572" t="e">
        <v>#DIV/0!</v>
      </c>
      <c r="P9" s="572">
        <v>4</v>
      </c>
      <c r="Q9" s="572">
        <v>3</v>
      </c>
      <c r="R9" s="572">
        <v>4.25</v>
      </c>
      <c r="S9" s="572" t="e">
        <v>#DIV/0!</v>
      </c>
    </row>
    <row r="10" spans="1:19" s="221" customFormat="1" ht="24.75">
      <c r="A10" s="222" t="s">
        <v>907</v>
      </c>
      <c r="B10" s="223" t="s">
        <v>941</v>
      </c>
      <c r="C10" s="224" t="s">
        <v>909</v>
      </c>
      <c r="D10" s="225" t="s">
        <v>953</v>
      </c>
      <c r="E10" s="226" t="s">
        <v>954</v>
      </c>
      <c r="F10" s="572">
        <v>4.0638297872340425</v>
      </c>
      <c r="G10" s="572">
        <v>4</v>
      </c>
      <c r="H10" s="572">
        <v>4.5</v>
      </c>
      <c r="I10" s="572" t="e">
        <v>#DIV/0!</v>
      </c>
      <c r="J10" s="572">
        <v>3.9</v>
      </c>
      <c r="K10" s="572" t="e">
        <v>#DIV/0!</v>
      </c>
      <c r="L10" s="572">
        <v>3.8</v>
      </c>
      <c r="M10" s="572">
        <v>4.666666666666667</v>
      </c>
      <c r="N10" s="572">
        <v>3.9090909090909092</v>
      </c>
      <c r="O10" s="572" t="e">
        <v>#DIV/0!</v>
      </c>
      <c r="P10" s="572">
        <v>4</v>
      </c>
      <c r="Q10" s="572">
        <v>4.5</v>
      </c>
      <c r="R10" s="572">
        <v>4.25</v>
      </c>
      <c r="S10" s="572" t="e">
        <v>#DIV/0!</v>
      </c>
    </row>
    <row r="11" spans="1:19" s="221" customFormat="1" ht="33">
      <c r="A11" s="222" t="s">
        <v>907</v>
      </c>
      <c r="B11" s="223" t="s">
        <v>941</v>
      </c>
      <c r="C11" s="224" t="s">
        <v>902</v>
      </c>
      <c r="D11" s="225" t="s">
        <v>958</v>
      </c>
      <c r="E11" s="226" t="s">
        <v>711</v>
      </c>
      <c r="F11" s="572">
        <v>4.3478260869565215</v>
      </c>
      <c r="G11" s="572">
        <v>5</v>
      </c>
      <c r="H11" s="572">
        <v>5</v>
      </c>
      <c r="I11" s="572" t="e">
        <v>#DIV/0!</v>
      </c>
      <c r="J11" s="572">
        <v>4.2</v>
      </c>
      <c r="K11" s="572" t="e">
        <v>#DIV/0!</v>
      </c>
      <c r="L11" s="572">
        <v>4.8</v>
      </c>
      <c r="M11" s="572">
        <v>4.666666666666667</v>
      </c>
      <c r="N11" s="572">
        <v>3.9</v>
      </c>
      <c r="O11" s="572" t="e">
        <v>#DIV/0!</v>
      </c>
      <c r="P11" s="572">
        <v>4</v>
      </c>
      <c r="Q11" s="572">
        <v>4.5</v>
      </c>
      <c r="R11" s="572">
        <v>4.625</v>
      </c>
      <c r="S11" s="572" t="e">
        <v>#DIV/0!</v>
      </c>
    </row>
    <row r="12" spans="1:19" s="221" customFormat="1" ht="33">
      <c r="A12" s="222" t="s">
        <v>907</v>
      </c>
      <c r="B12" s="223" t="s">
        <v>908</v>
      </c>
      <c r="C12" s="234" t="s">
        <v>961</v>
      </c>
      <c r="D12" s="225" t="s">
        <v>962</v>
      </c>
      <c r="E12" s="226" t="s">
        <v>963</v>
      </c>
      <c r="F12" s="572">
        <v>4.0869565217391308</v>
      </c>
      <c r="G12" s="572">
        <v>4</v>
      </c>
      <c r="H12" s="572">
        <v>5</v>
      </c>
      <c r="I12" s="572" t="e">
        <v>#DIV/0!</v>
      </c>
      <c r="J12" s="572">
        <v>4.0999999999999996</v>
      </c>
      <c r="K12" s="572" t="e">
        <v>#DIV/0!</v>
      </c>
      <c r="L12" s="572">
        <v>4.8</v>
      </c>
      <c r="M12" s="572">
        <v>4.666666666666667</v>
      </c>
      <c r="N12" s="572">
        <v>3.6363636363636362</v>
      </c>
      <c r="O12" s="572" t="e">
        <v>#DIV/0!</v>
      </c>
      <c r="P12" s="572">
        <v>3.6</v>
      </c>
      <c r="Q12" s="572">
        <v>4.5</v>
      </c>
      <c r="R12" s="572">
        <v>4</v>
      </c>
      <c r="S12" s="572" t="e">
        <v>#DIV/0!</v>
      </c>
    </row>
    <row r="13" spans="1:19" s="221" customFormat="1" ht="24.75">
      <c r="A13" s="222" t="s">
        <v>937</v>
      </c>
      <c r="B13" s="227" t="s">
        <v>938</v>
      </c>
      <c r="C13" s="224" t="s">
        <v>920</v>
      </c>
      <c r="D13" s="225" t="s">
        <v>967</v>
      </c>
      <c r="E13" s="226" t="s">
        <v>968</v>
      </c>
      <c r="F13" s="572">
        <v>4.1702127659574471</v>
      </c>
      <c r="G13" s="572">
        <v>5</v>
      </c>
      <c r="H13" s="572">
        <v>5</v>
      </c>
      <c r="I13" s="572" t="e">
        <v>#DIV/0!</v>
      </c>
      <c r="J13" s="572">
        <v>4</v>
      </c>
      <c r="K13" s="572" t="e">
        <v>#DIV/0!</v>
      </c>
      <c r="L13" s="572">
        <v>4.2</v>
      </c>
      <c r="M13" s="572">
        <v>4.666666666666667</v>
      </c>
      <c r="N13" s="572">
        <v>4</v>
      </c>
      <c r="O13" s="572" t="e">
        <v>#DIV/0!</v>
      </c>
      <c r="P13" s="572">
        <v>3.8</v>
      </c>
      <c r="Q13" s="572">
        <v>4.5</v>
      </c>
      <c r="R13" s="572">
        <v>4.25</v>
      </c>
      <c r="S13" s="572" t="e">
        <v>#DIV/0!</v>
      </c>
    </row>
    <row r="14" spans="1:19" s="221" customFormat="1" ht="24.75">
      <c r="A14" s="222" t="s">
        <v>937</v>
      </c>
      <c r="B14" s="223" t="s">
        <v>938</v>
      </c>
      <c r="C14" s="224" t="s">
        <v>904</v>
      </c>
      <c r="D14" s="225" t="s">
        <v>970</v>
      </c>
      <c r="E14" s="226" t="s">
        <v>971</v>
      </c>
      <c r="F14" s="572">
        <v>3.9574468085106385</v>
      </c>
      <c r="G14" s="572">
        <v>4</v>
      </c>
      <c r="H14" s="572">
        <v>4.5</v>
      </c>
      <c r="I14" s="572" t="e">
        <v>#DIV/0!</v>
      </c>
      <c r="J14" s="572">
        <v>3.7</v>
      </c>
      <c r="K14" s="572" t="e">
        <v>#DIV/0!</v>
      </c>
      <c r="L14" s="572">
        <v>4</v>
      </c>
      <c r="M14" s="572">
        <v>4.666666666666667</v>
      </c>
      <c r="N14" s="572">
        <v>3.6363636363636362</v>
      </c>
      <c r="O14" s="572" t="e">
        <v>#DIV/0!</v>
      </c>
      <c r="P14" s="572">
        <v>3.6</v>
      </c>
      <c r="Q14" s="572">
        <v>4.5</v>
      </c>
      <c r="R14" s="572">
        <v>4.375</v>
      </c>
      <c r="S14" s="572" t="e">
        <v>#DIV/0!</v>
      </c>
    </row>
    <row r="15" spans="1:19" s="221" customFormat="1" ht="16.5">
      <c r="A15" s="222" t="s">
        <v>907</v>
      </c>
      <c r="B15" s="227" t="s">
        <v>941</v>
      </c>
      <c r="C15" s="224" t="s">
        <v>925</v>
      </c>
      <c r="D15" s="225" t="s">
        <v>974</v>
      </c>
      <c r="E15" s="226" t="s">
        <v>812</v>
      </c>
      <c r="F15" s="572">
        <v>4.0652173913043477</v>
      </c>
      <c r="G15" s="572">
        <v>5</v>
      </c>
      <c r="H15" s="572">
        <v>4.5</v>
      </c>
      <c r="I15" s="572" t="e">
        <v>#DIV/0!</v>
      </c>
      <c r="J15" s="572">
        <v>3.9</v>
      </c>
      <c r="K15" s="572" t="e">
        <v>#DIV/0!</v>
      </c>
      <c r="L15" s="572">
        <v>4</v>
      </c>
      <c r="M15" s="572">
        <v>4.333333333333333</v>
      </c>
      <c r="N15" s="572">
        <v>4</v>
      </c>
      <c r="O15" s="572" t="e">
        <v>#DIV/0!</v>
      </c>
      <c r="P15" s="572">
        <v>3.6</v>
      </c>
      <c r="Q15" s="572">
        <v>4.5</v>
      </c>
      <c r="R15" s="572">
        <v>4.25</v>
      </c>
      <c r="S15" s="572" t="e">
        <v>#DIV/0!</v>
      </c>
    </row>
    <row r="16" spans="1:19" s="221" customFormat="1" ht="33">
      <c r="A16" s="222" t="s">
        <v>937</v>
      </c>
      <c r="B16" s="227" t="s">
        <v>938</v>
      </c>
      <c r="C16" s="224" t="s">
        <v>902</v>
      </c>
      <c r="D16" s="225" t="s">
        <v>977</v>
      </c>
      <c r="E16" s="226" t="s">
        <v>716</v>
      </c>
      <c r="F16" s="572">
        <v>4.0444444444444443</v>
      </c>
      <c r="G16" s="572">
        <v>4</v>
      </c>
      <c r="H16" s="572">
        <v>5</v>
      </c>
      <c r="I16" s="572" t="e">
        <v>#DIV/0!</v>
      </c>
      <c r="J16" s="572">
        <v>3.7</v>
      </c>
      <c r="K16" s="572" t="e">
        <v>#DIV/0!</v>
      </c>
      <c r="L16" s="572">
        <v>4.2</v>
      </c>
      <c r="M16" s="572">
        <v>4.333333333333333</v>
      </c>
      <c r="N16" s="572">
        <v>4</v>
      </c>
      <c r="O16" s="572" t="e">
        <v>#DIV/0!</v>
      </c>
      <c r="P16" s="572">
        <v>3.6</v>
      </c>
      <c r="Q16" s="572">
        <v>4.5</v>
      </c>
      <c r="R16" s="572">
        <v>4.375</v>
      </c>
      <c r="S16" s="572" t="e">
        <v>#DIV/0!</v>
      </c>
    </row>
    <row r="17" spans="1:5" s="221" customFormat="1" ht="16.5">
      <c r="A17" s="222"/>
      <c r="B17" s="236"/>
      <c r="C17" s="224"/>
      <c r="D17" s="225" t="s">
        <v>980</v>
      </c>
      <c r="E17" s="226" t="s">
        <v>822</v>
      </c>
    </row>
    <row r="18" spans="1:5" s="221" customFormat="1" ht="16.5">
      <c r="A18" s="222"/>
      <c r="B18" s="227"/>
      <c r="C18" s="224"/>
      <c r="D18" s="225" t="s">
        <v>982</v>
      </c>
      <c r="E18" s="226" t="s">
        <v>983</v>
      </c>
    </row>
    <row r="19" spans="1:5" s="221" customFormat="1" ht="11.25">
      <c r="A19" s="222"/>
      <c r="B19" s="223"/>
      <c r="C19" s="224"/>
      <c r="D19" s="237"/>
      <c r="E19" s="226"/>
    </row>
    <row r="20" spans="1:5" s="221" customFormat="1" ht="11.25">
      <c r="A20" s="222"/>
      <c r="B20" s="223"/>
      <c r="C20" s="224"/>
      <c r="D20" s="237"/>
      <c r="E20" s="226"/>
    </row>
    <row r="21" spans="1:5" s="221" customFormat="1" ht="11.25">
      <c r="A21" s="222"/>
      <c r="B21" s="227"/>
      <c r="C21" s="224"/>
      <c r="D21" s="237"/>
      <c r="E21" s="226"/>
    </row>
    <row r="22" spans="1:5" s="221" customFormat="1" ht="11.25">
      <c r="A22" s="222"/>
      <c r="B22" s="223"/>
      <c r="C22" s="224"/>
      <c r="D22" s="237"/>
      <c r="E22" s="226"/>
    </row>
    <row r="23" spans="1:5" s="221" customFormat="1" ht="11.25">
      <c r="A23" s="222"/>
      <c r="B23" s="223"/>
      <c r="C23" s="224"/>
      <c r="D23" s="237"/>
      <c r="E23" s="226"/>
    </row>
    <row r="24" spans="1:5" s="221" customFormat="1" ht="12" thickBot="1">
      <c r="A24" s="244"/>
      <c r="B24" s="240"/>
      <c r="C24" s="245"/>
      <c r="D24" s="242"/>
      <c r="E24" s="243"/>
    </row>
    <row r="25" spans="1:5" s="221" customFormat="1" ht="11.25">
      <c r="A25" s="203"/>
      <c r="B25" s="203"/>
      <c r="C25" s="249"/>
      <c r="D25" s="249"/>
      <c r="E25" s="251"/>
    </row>
    <row r="26" spans="1:5" s="221" customFormat="1" ht="11.25">
      <c r="A26" s="203"/>
      <c r="B26" s="203"/>
      <c r="C26" s="249"/>
      <c r="D26" s="249"/>
      <c r="E26" s="251"/>
    </row>
    <row r="27" spans="1:5" s="221" customFormat="1" ht="11.25">
      <c r="A27" s="203"/>
      <c r="B27" s="203"/>
      <c r="C27" s="249"/>
      <c r="D27" s="249"/>
      <c r="E27" s="251"/>
    </row>
    <row r="28" spans="1:5" s="221" customFormat="1" ht="11.25">
      <c r="A28" s="203"/>
      <c r="B28" s="203"/>
      <c r="C28" s="249"/>
      <c r="D28" s="249"/>
      <c r="E28" s="251"/>
    </row>
    <row r="29" spans="1:5" s="221" customFormat="1" ht="11.25">
      <c r="A29" s="203"/>
      <c r="B29" s="203"/>
      <c r="C29" s="249"/>
      <c r="D29" s="249"/>
      <c r="E29" s="251"/>
    </row>
    <row r="30" spans="1:5" s="221" customFormat="1" ht="11.25">
      <c r="A30" s="203"/>
      <c r="B30" s="203"/>
      <c r="C30" s="249"/>
      <c r="D30" s="249"/>
      <c r="E30" s="251"/>
    </row>
    <row r="31" spans="1:5" s="221" customFormat="1" ht="11.25">
      <c r="A31" s="203"/>
      <c r="B31" s="203"/>
      <c r="C31" s="249"/>
      <c r="D31" s="249"/>
      <c r="E31" s="251"/>
    </row>
    <row r="32" spans="1:5" s="221" customFormat="1" ht="11.25">
      <c r="A32" s="203"/>
      <c r="B32" s="203"/>
      <c r="C32" s="249"/>
      <c r="D32" s="249"/>
      <c r="E32" s="251"/>
    </row>
    <row r="33" spans="1:5" s="221" customFormat="1" ht="11.25">
      <c r="A33" s="203"/>
      <c r="B33" s="203"/>
      <c r="C33" s="249"/>
      <c r="D33" s="249"/>
      <c r="E33" s="251"/>
    </row>
    <row r="34" spans="1:5" s="221" customFormat="1" ht="11.25">
      <c r="A34" s="203"/>
      <c r="B34" s="203"/>
      <c r="C34" s="249"/>
      <c r="D34" s="249"/>
      <c r="E34" s="251"/>
    </row>
    <row r="35" spans="1:5" s="221" customFormat="1" ht="11.25">
      <c r="A35" s="203"/>
      <c r="B35" s="203"/>
      <c r="C35" s="249"/>
      <c r="D35" s="249"/>
      <c r="E35" s="251"/>
    </row>
    <row r="36" spans="1:5" s="221" customFormat="1" ht="11.25">
      <c r="A36" s="203"/>
      <c r="B36" s="203"/>
      <c r="C36" s="249"/>
      <c r="D36" s="249"/>
      <c r="E36" s="251"/>
    </row>
    <row r="37" spans="1:5" s="221" customFormat="1" ht="11.25">
      <c r="A37" s="203"/>
      <c r="B37" s="203"/>
      <c r="C37" s="249"/>
      <c r="D37" s="249"/>
      <c r="E37" s="251"/>
    </row>
    <row r="38" spans="1:5" s="221" customFormat="1" ht="11.25">
      <c r="A38" s="203"/>
      <c r="B38" s="203"/>
      <c r="C38" s="249"/>
      <c r="D38" s="249"/>
      <c r="E38" s="251"/>
    </row>
    <row r="39" spans="1:5" s="221" customFormat="1" ht="11.25">
      <c r="A39" s="203"/>
      <c r="B39" s="203"/>
      <c r="C39" s="249"/>
      <c r="D39" s="249"/>
      <c r="E39" s="251"/>
    </row>
    <row r="40" spans="1:5" s="221" customFormat="1" ht="11.25">
      <c r="A40" s="203"/>
      <c r="B40" s="203"/>
      <c r="C40" s="249"/>
      <c r="D40" s="249"/>
      <c r="E40" s="251"/>
    </row>
    <row r="41" spans="1:5" s="221" customFormat="1" ht="11.25">
      <c r="A41" s="203"/>
      <c r="B41" s="203"/>
      <c r="C41" s="249"/>
      <c r="D41" s="249"/>
      <c r="E41" s="251"/>
    </row>
    <row r="42" spans="1:5" s="221" customFormat="1" ht="11.25">
      <c r="A42" s="203"/>
      <c r="B42" s="203"/>
      <c r="C42" s="249"/>
      <c r="D42" s="249"/>
      <c r="E42" s="251"/>
    </row>
    <row r="43" spans="1:5" s="221" customFormat="1" ht="11.25">
      <c r="A43" s="203"/>
      <c r="B43" s="203"/>
      <c r="C43" s="249"/>
      <c r="D43" s="249"/>
      <c r="E43" s="251"/>
    </row>
    <row r="44" spans="1:5" s="221" customFormat="1" ht="11.25">
      <c r="A44" s="203"/>
      <c r="B44" s="203"/>
      <c r="C44" s="249"/>
      <c r="D44" s="249"/>
      <c r="E44" s="251"/>
    </row>
    <row r="45" spans="1:5" s="221" customFormat="1" ht="11.25">
      <c r="A45" s="203"/>
      <c r="B45" s="203"/>
      <c r="C45" s="249"/>
      <c r="D45" s="249"/>
      <c r="E45" s="251"/>
    </row>
    <row r="46" spans="1:5" s="221" customFormat="1" ht="11.25">
      <c r="A46" s="203"/>
      <c r="B46" s="203"/>
      <c r="C46" s="249"/>
      <c r="D46" s="249"/>
      <c r="E46" s="251"/>
    </row>
    <row r="47" spans="1:5" s="221" customFormat="1" ht="11.25">
      <c r="A47" s="203"/>
      <c r="B47" s="203"/>
      <c r="C47" s="249"/>
      <c r="D47" s="249"/>
      <c r="E47" s="251"/>
    </row>
    <row r="48" spans="1:5" s="221" customFormat="1" ht="11.25">
      <c r="A48" s="203"/>
      <c r="B48" s="203"/>
      <c r="C48" s="249"/>
      <c r="D48" s="249"/>
      <c r="E48" s="251"/>
    </row>
    <row r="49" spans="1:5" s="221" customFormat="1" ht="11.25">
      <c r="A49" s="203"/>
      <c r="B49" s="203"/>
      <c r="C49" s="249"/>
      <c r="D49" s="249"/>
      <c r="E49" s="251"/>
    </row>
    <row r="50" spans="1:5" s="221" customFormat="1" ht="11.25">
      <c r="A50" s="203"/>
      <c r="B50" s="203"/>
      <c r="C50" s="249"/>
      <c r="D50" s="249"/>
      <c r="E50" s="251"/>
    </row>
    <row r="51" spans="1:5" s="221" customFormat="1" ht="11.25">
      <c r="A51" s="203"/>
      <c r="B51" s="203"/>
      <c r="C51" s="249"/>
      <c r="D51" s="249"/>
      <c r="E51" s="251"/>
    </row>
    <row r="52" spans="1:5" s="221" customFormat="1" ht="11.25">
      <c r="A52" s="203"/>
      <c r="B52" s="203"/>
      <c r="C52" s="249"/>
      <c r="D52" s="249"/>
      <c r="E52" s="251"/>
    </row>
    <row r="53" spans="1:5" s="221" customFormat="1" ht="11.25">
      <c r="A53" s="203"/>
      <c r="B53" s="203"/>
      <c r="C53" s="249"/>
      <c r="D53" s="249"/>
      <c r="E53" s="251"/>
    </row>
    <row r="54" spans="1:5" s="221" customFormat="1" ht="11.25">
      <c r="A54" s="203"/>
      <c r="B54" s="203"/>
      <c r="C54" s="249"/>
      <c r="D54" s="249"/>
      <c r="E54" s="251"/>
    </row>
    <row r="55" spans="1:5" s="221" customFormat="1" ht="11.25">
      <c r="A55" s="203"/>
      <c r="B55" s="203"/>
      <c r="C55" s="249"/>
      <c r="D55" s="249"/>
      <c r="E55" s="251"/>
    </row>
    <row r="56" spans="1:5" s="221" customFormat="1" ht="11.25">
      <c r="A56" s="203"/>
      <c r="B56" s="203"/>
      <c r="C56" s="249"/>
      <c r="D56" s="249"/>
      <c r="E56" s="251"/>
    </row>
    <row r="57" spans="1:5" s="221" customFormat="1" ht="11.25">
      <c r="A57" s="203"/>
      <c r="B57" s="203"/>
      <c r="C57" s="249"/>
      <c r="D57" s="249"/>
      <c r="E57" s="251"/>
    </row>
    <row r="58" spans="1:5" s="221" customFormat="1" ht="11.25">
      <c r="A58" s="203"/>
      <c r="B58" s="203"/>
      <c r="C58" s="249"/>
      <c r="D58" s="249"/>
      <c r="E58" s="251"/>
    </row>
    <row r="59" spans="1:5" s="221" customFormat="1" ht="11.25">
      <c r="A59" s="203"/>
      <c r="B59" s="203"/>
      <c r="C59" s="249"/>
      <c r="D59" s="249"/>
      <c r="E59" s="251"/>
    </row>
    <row r="60" spans="1:5" s="221" customFormat="1" ht="11.25">
      <c r="A60" s="203"/>
      <c r="B60" s="203"/>
      <c r="C60" s="249"/>
      <c r="D60" s="249"/>
      <c r="E60" s="251"/>
    </row>
    <row r="61" spans="1:5" s="221" customFormat="1" ht="11.25">
      <c r="A61" s="203"/>
      <c r="B61" s="203"/>
      <c r="C61" s="249"/>
      <c r="D61" s="249"/>
      <c r="E61" s="251"/>
    </row>
    <row r="62" spans="1:5" s="221" customFormat="1" ht="11.25">
      <c r="A62" s="203"/>
      <c r="B62" s="203"/>
      <c r="C62" s="249"/>
      <c r="D62" s="249"/>
      <c r="E62" s="251"/>
    </row>
    <row r="63" spans="1:5" s="221" customFormat="1" ht="11.25">
      <c r="A63" s="203"/>
      <c r="B63" s="203"/>
      <c r="C63" s="249"/>
      <c r="D63" s="249"/>
      <c r="E63" s="251"/>
    </row>
    <row r="64" spans="1:5" s="221" customFormat="1" ht="11.25">
      <c r="A64" s="203"/>
      <c r="B64" s="203"/>
      <c r="C64" s="249"/>
      <c r="D64" s="249"/>
      <c r="E64" s="251"/>
    </row>
    <row r="65" spans="1:5" s="221" customFormat="1" ht="11.25">
      <c r="A65" s="203"/>
      <c r="B65" s="203"/>
      <c r="C65" s="249"/>
      <c r="D65" s="249"/>
      <c r="E65" s="251"/>
    </row>
  </sheetData>
  <mergeCells count="1">
    <mergeCell ref="C2:E2"/>
  </mergeCells>
  <hyperlinks>
    <hyperlink ref="A1" location="'Table of Contents'!A1" display="Table of Contents"/>
  </hyperlinks>
  <printOptions gridLines="1"/>
  <pageMargins left="0.25" right="0.25" top="0.75" bottom="0.75" header="0.3" footer="0.3"/>
  <pageSetup scale="77" orientation="landscape" r:id="rId1"/>
  <headerFooter>
    <oddFooter>&amp;L&amp;5&amp;Z&amp;F
Created: 9/29/2006 10:44:00 PM
Last Saved: 2/5/2008 9:15:17 PM
Last Printed: 2/5/2008 6:12:16 PM&amp;R&amp;5&amp;P - &amp;N
Title :&lt;Not Set&gt;
Subject: &lt;Not Set&gt;</oddFooter>
  </headerFooter>
  <rowBreaks count="1" manualBreakCount="1">
    <brk id="24" max="16383" man="1"/>
  </rowBreaks>
</worksheet>
</file>

<file path=xl/worksheets/sheet9.xml><?xml version="1.0" encoding="utf-8"?>
<worksheet xmlns="http://schemas.openxmlformats.org/spreadsheetml/2006/main" xmlns:r="http://schemas.openxmlformats.org/officeDocument/2006/relationships">
  <sheetPr codeName="Sheet29">
    <pageSetUpPr fitToPage="1"/>
  </sheetPr>
  <dimension ref="A1:S65"/>
  <sheetViews>
    <sheetView workbookViewId="0">
      <selection activeCell="Q3" sqref="Q3:Q10"/>
    </sheetView>
  </sheetViews>
  <sheetFormatPr defaultRowHeight="12.75"/>
  <cols>
    <col min="1" max="1" width="3.42578125" style="203" bestFit="1" customWidth="1"/>
    <col min="2" max="2" width="4.85546875" style="203" bestFit="1" customWidth="1"/>
    <col min="3" max="3" width="9.140625" style="2"/>
    <col min="4" max="4" width="9.140625" style="249"/>
    <col min="5" max="5" width="21.5703125" style="1" customWidth="1"/>
    <col min="6" max="16384" width="9.140625" style="571"/>
  </cols>
  <sheetData>
    <row r="1" spans="1:19" ht="13.5" thickBot="1">
      <c r="A1" s="591" t="s">
        <v>30</v>
      </c>
    </row>
    <row r="2" spans="1:19" ht="21.75" customHeight="1" thickTop="1" thickBot="1">
      <c r="A2" s="206" t="s">
        <v>900</v>
      </c>
      <c r="B2" s="206" t="s">
        <v>901</v>
      </c>
      <c r="C2" s="639" t="s">
        <v>882</v>
      </c>
      <c r="D2" s="640"/>
      <c r="E2" s="641"/>
      <c r="F2" s="573" t="s">
        <v>57</v>
      </c>
      <c r="G2" s="573" t="s">
        <v>693</v>
      </c>
      <c r="H2" s="573" t="s">
        <v>24</v>
      </c>
      <c r="I2" s="573" t="s">
        <v>25</v>
      </c>
      <c r="J2" s="573" t="s">
        <v>26</v>
      </c>
      <c r="K2" s="573" t="s">
        <v>7</v>
      </c>
      <c r="L2" s="573" t="s">
        <v>541</v>
      </c>
      <c r="M2" s="573" t="s">
        <v>8</v>
      </c>
      <c r="N2" s="573" t="s">
        <v>9</v>
      </c>
      <c r="O2" s="573" t="s">
        <v>12</v>
      </c>
      <c r="P2" s="573" t="s">
        <v>10</v>
      </c>
      <c r="Q2" s="573" t="s">
        <v>1110</v>
      </c>
      <c r="R2" s="573" t="s">
        <v>1160</v>
      </c>
      <c r="S2" s="574" t="s">
        <v>11</v>
      </c>
    </row>
    <row r="3" spans="1:19" s="221" customFormat="1" ht="25.5">
      <c r="A3" s="210" t="s">
        <v>912</v>
      </c>
      <c r="B3" s="211" t="s">
        <v>913</v>
      </c>
      <c r="C3" s="218" t="s">
        <v>914</v>
      </c>
      <c r="D3" s="219" t="s">
        <v>915</v>
      </c>
      <c r="E3" s="220" t="s">
        <v>813</v>
      </c>
      <c r="F3" s="572">
        <v>4.117647058823529</v>
      </c>
      <c r="G3" s="572" t="e">
        <v>#DIV/0!</v>
      </c>
      <c r="H3" s="572">
        <v>4</v>
      </c>
      <c r="I3" s="572" t="e">
        <v>#DIV/0!</v>
      </c>
      <c r="J3" s="572">
        <v>4</v>
      </c>
      <c r="K3" s="572" t="e">
        <v>#DIV/0!</v>
      </c>
      <c r="L3" s="572">
        <v>4</v>
      </c>
      <c r="M3" s="572">
        <v>4</v>
      </c>
      <c r="N3" s="572">
        <v>4</v>
      </c>
      <c r="O3" s="572" t="e">
        <v>#DIV/0!</v>
      </c>
      <c r="P3" s="572">
        <v>4</v>
      </c>
      <c r="Q3" s="572" t="e">
        <v>#DIV/0!</v>
      </c>
      <c r="R3" s="572">
        <v>5</v>
      </c>
      <c r="S3" s="572">
        <v>4</v>
      </c>
    </row>
    <row r="4" spans="1:19" s="221" customFormat="1" ht="25.5">
      <c r="A4" s="222" t="s">
        <v>912</v>
      </c>
      <c r="B4" s="223" t="s">
        <v>913</v>
      </c>
      <c r="C4" s="228" t="s">
        <v>920</v>
      </c>
      <c r="D4" s="229" t="s">
        <v>921</v>
      </c>
      <c r="E4" s="230" t="s">
        <v>922</v>
      </c>
      <c r="F4" s="572">
        <v>4.1764705882352944</v>
      </c>
      <c r="G4" s="572" t="e">
        <v>#DIV/0!</v>
      </c>
      <c r="H4" s="572">
        <v>4</v>
      </c>
      <c r="I4" s="572" t="e">
        <v>#DIV/0!</v>
      </c>
      <c r="J4" s="572">
        <v>4</v>
      </c>
      <c r="K4" s="572" t="e">
        <v>#DIV/0!</v>
      </c>
      <c r="L4" s="572">
        <v>5</v>
      </c>
      <c r="M4" s="572">
        <v>4</v>
      </c>
      <c r="N4" s="572">
        <v>4.25</v>
      </c>
      <c r="O4" s="572" t="e">
        <v>#DIV/0!</v>
      </c>
      <c r="P4" s="572">
        <v>3.5</v>
      </c>
      <c r="Q4" s="572" t="e">
        <v>#DIV/0!</v>
      </c>
      <c r="R4" s="572">
        <v>5</v>
      </c>
      <c r="S4" s="572">
        <v>4</v>
      </c>
    </row>
    <row r="5" spans="1:19" s="221" customFormat="1" ht="17.25">
      <c r="A5" s="222" t="s">
        <v>912</v>
      </c>
      <c r="B5" s="223" t="s">
        <v>913</v>
      </c>
      <c r="C5" s="228" t="s">
        <v>914</v>
      </c>
      <c r="D5" s="229" t="s">
        <v>928</v>
      </c>
      <c r="E5" s="231" t="s">
        <v>816</v>
      </c>
      <c r="F5" s="572">
        <v>3.7058823529411766</v>
      </c>
      <c r="G5" s="572" t="e">
        <v>#DIV/0!</v>
      </c>
      <c r="H5" s="572">
        <v>3</v>
      </c>
      <c r="I5" s="572" t="e">
        <v>#DIV/0!</v>
      </c>
      <c r="J5" s="572">
        <v>3</v>
      </c>
      <c r="K5" s="572" t="e">
        <v>#DIV/0!</v>
      </c>
      <c r="L5" s="572">
        <v>4</v>
      </c>
      <c r="M5" s="572">
        <v>4</v>
      </c>
      <c r="N5" s="572">
        <v>3.5</v>
      </c>
      <c r="O5" s="572" t="e">
        <v>#DIV/0!</v>
      </c>
      <c r="P5" s="572">
        <v>4</v>
      </c>
      <c r="Q5" s="572" t="e">
        <v>#DIV/0!</v>
      </c>
      <c r="R5" s="572">
        <v>5</v>
      </c>
      <c r="S5" s="572">
        <v>3</v>
      </c>
    </row>
    <row r="6" spans="1:19" s="221" customFormat="1" ht="42">
      <c r="A6" s="222" t="s">
        <v>912</v>
      </c>
      <c r="B6" s="223" t="s">
        <v>913</v>
      </c>
      <c r="C6" s="228" t="s">
        <v>909</v>
      </c>
      <c r="D6" s="229" t="s">
        <v>932</v>
      </c>
      <c r="E6" s="231" t="s">
        <v>933</v>
      </c>
      <c r="F6" s="572">
        <v>3.625</v>
      </c>
      <c r="G6" s="572" t="e">
        <v>#DIV/0!</v>
      </c>
      <c r="H6" s="572">
        <v>3</v>
      </c>
      <c r="I6" s="572" t="e">
        <v>#DIV/0!</v>
      </c>
      <c r="J6" s="572">
        <v>4</v>
      </c>
      <c r="K6" s="572" t="e">
        <v>#DIV/0!</v>
      </c>
      <c r="L6" s="572">
        <v>4</v>
      </c>
      <c r="M6" s="572">
        <v>2</v>
      </c>
      <c r="N6" s="572">
        <v>3.75</v>
      </c>
      <c r="O6" s="572" t="e">
        <v>#DIV/0!</v>
      </c>
      <c r="P6" s="572">
        <v>3</v>
      </c>
      <c r="Q6" s="572" t="e">
        <v>#DIV/0!</v>
      </c>
      <c r="R6" s="572">
        <v>5</v>
      </c>
      <c r="S6" s="572" t="e">
        <v>#DIV/0!</v>
      </c>
    </row>
    <row r="7" spans="1:19" s="221" customFormat="1" ht="17.25">
      <c r="A7" s="222" t="s">
        <v>937</v>
      </c>
      <c r="B7" s="223" t="s">
        <v>938</v>
      </c>
      <c r="C7" s="228" t="s">
        <v>920</v>
      </c>
      <c r="D7" s="229" t="s">
        <v>939</v>
      </c>
      <c r="E7" s="231" t="s">
        <v>818</v>
      </c>
      <c r="F7" s="572">
        <v>4.2</v>
      </c>
      <c r="G7" s="572" t="e">
        <v>#DIV/0!</v>
      </c>
      <c r="H7" s="572" t="e">
        <v>#DIV/0!</v>
      </c>
      <c r="I7" s="572" t="e">
        <v>#DIV/0!</v>
      </c>
      <c r="J7" s="572">
        <v>4</v>
      </c>
      <c r="K7" s="572" t="e">
        <v>#DIV/0!</v>
      </c>
      <c r="L7" s="572">
        <v>5</v>
      </c>
      <c r="M7" s="572">
        <v>4</v>
      </c>
      <c r="N7" s="572">
        <v>4.25</v>
      </c>
      <c r="O7" s="572" t="e">
        <v>#DIV/0!</v>
      </c>
      <c r="P7" s="572">
        <v>4.5</v>
      </c>
      <c r="Q7" s="572" t="e">
        <v>#DIV/0!</v>
      </c>
      <c r="R7" s="572">
        <v>4</v>
      </c>
      <c r="S7" s="572" t="e">
        <v>#DIV/0!</v>
      </c>
    </row>
    <row r="8" spans="1:19" s="221" customFormat="1" ht="17.25">
      <c r="A8" s="222" t="s">
        <v>907</v>
      </c>
      <c r="B8" s="227" t="s">
        <v>941</v>
      </c>
      <c r="C8" s="228" t="s">
        <v>944</v>
      </c>
      <c r="D8" s="229" t="s">
        <v>945</v>
      </c>
      <c r="E8" s="231" t="s">
        <v>824</v>
      </c>
      <c r="F8" s="572">
        <v>3.9411764705882355</v>
      </c>
      <c r="G8" s="572" t="e">
        <v>#DIV/0!</v>
      </c>
      <c r="H8" s="572">
        <v>4</v>
      </c>
      <c r="I8" s="572" t="e">
        <v>#DIV/0!</v>
      </c>
      <c r="J8" s="572">
        <v>4</v>
      </c>
      <c r="K8" s="572" t="e">
        <v>#DIV/0!</v>
      </c>
      <c r="L8" s="572">
        <v>4</v>
      </c>
      <c r="M8" s="572">
        <v>4</v>
      </c>
      <c r="N8" s="572">
        <v>4</v>
      </c>
      <c r="O8" s="572" t="e">
        <v>#DIV/0!</v>
      </c>
      <c r="P8" s="572">
        <v>4</v>
      </c>
      <c r="Q8" s="572" t="e">
        <v>#DIV/0!</v>
      </c>
      <c r="R8" s="572">
        <v>4</v>
      </c>
      <c r="S8" s="572">
        <v>4</v>
      </c>
    </row>
    <row r="9" spans="1:19" s="221" customFormat="1" ht="25.5">
      <c r="A9" s="222" t="s">
        <v>902</v>
      </c>
      <c r="B9" s="223" t="s">
        <v>951</v>
      </c>
      <c r="C9" s="228" t="s">
        <v>904</v>
      </c>
      <c r="D9" s="229" t="s">
        <v>949</v>
      </c>
      <c r="E9" s="231" t="s">
        <v>950</v>
      </c>
      <c r="F9" s="572">
        <v>4.2666666666666666</v>
      </c>
      <c r="G9" s="572" t="e">
        <v>#DIV/0!</v>
      </c>
      <c r="H9" s="572" t="e">
        <v>#DIV/0!</v>
      </c>
      <c r="I9" s="572" t="e">
        <v>#DIV/0!</v>
      </c>
      <c r="J9" s="572">
        <v>4</v>
      </c>
      <c r="K9" s="572" t="e">
        <v>#DIV/0!</v>
      </c>
      <c r="L9" s="572">
        <v>4</v>
      </c>
      <c r="M9" s="572">
        <v>5</v>
      </c>
      <c r="N9" s="572">
        <v>4.25</v>
      </c>
      <c r="O9" s="572" t="e">
        <v>#DIV/0!</v>
      </c>
      <c r="P9" s="572">
        <v>4.5</v>
      </c>
      <c r="Q9" s="572" t="e">
        <v>#DIV/0!</v>
      </c>
      <c r="R9" s="572">
        <v>5</v>
      </c>
      <c r="S9" s="572" t="e">
        <v>#DIV/0!</v>
      </c>
    </row>
    <row r="10" spans="1:19" s="221" customFormat="1" ht="17.25">
      <c r="A10" s="232" t="s">
        <v>912</v>
      </c>
      <c r="B10" s="233" t="s">
        <v>955</v>
      </c>
      <c r="C10" s="228" t="s">
        <v>902</v>
      </c>
      <c r="D10" s="229" t="s">
        <v>956</v>
      </c>
      <c r="E10" s="231" t="s">
        <v>821</v>
      </c>
      <c r="F10" s="572">
        <v>4.0625</v>
      </c>
      <c r="G10" s="572" t="e">
        <v>#DIV/0!</v>
      </c>
      <c r="H10" s="572">
        <v>4</v>
      </c>
      <c r="I10" s="572" t="e">
        <v>#DIV/0!</v>
      </c>
      <c r="J10" s="572">
        <v>4</v>
      </c>
      <c r="K10" s="572" t="e">
        <v>#DIV/0!</v>
      </c>
      <c r="L10" s="572">
        <v>4</v>
      </c>
      <c r="M10" s="572">
        <v>4</v>
      </c>
      <c r="N10" s="572">
        <v>4</v>
      </c>
      <c r="O10" s="572" t="e">
        <v>#DIV/0!</v>
      </c>
      <c r="P10" s="572">
        <v>4</v>
      </c>
      <c r="Q10" s="572" t="e">
        <v>#DIV/0!</v>
      </c>
      <c r="R10" s="572">
        <v>5</v>
      </c>
      <c r="S10" s="572" t="e">
        <v>#DIV/0!</v>
      </c>
    </row>
    <row r="11" spans="1:19" s="221" customFormat="1" ht="17.25">
      <c r="A11" s="222"/>
      <c r="B11" s="223"/>
      <c r="C11" s="228"/>
      <c r="D11" s="229" t="s">
        <v>959</v>
      </c>
      <c r="E11" s="231" t="s">
        <v>822</v>
      </c>
    </row>
    <row r="12" spans="1:19" s="221" customFormat="1" ht="17.25">
      <c r="A12" s="222"/>
      <c r="B12" s="223"/>
      <c r="C12" s="228"/>
      <c r="D12" s="229" t="s">
        <v>964</v>
      </c>
      <c r="E12" s="231" t="s">
        <v>965</v>
      </c>
    </row>
    <row r="13" spans="1:19" s="221" customFormat="1" ht="11.25">
      <c r="A13" s="222"/>
      <c r="B13" s="223"/>
      <c r="C13" s="228"/>
      <c r="D13" s="235"/>
      <c r="E13" s="231"/>
    </row>
    <row r="14" spans="1:19" s="221" customFormat="1" ht="11.25">
      <c r="A14" s="222"/>
      <c r="B14" s="223"/>
      <c r="C14" s="228"/>
      <c r="D14" s="235"/>
      <c r="E14" s="231"/>
    </row>
    <row r="15" spans="1:19" s="221" customFormat="1" ht="11.25">
      <c r="A15" s="222"/>
      <c r="B15" s="223"/>
      <c r="C15" s="228"/>
      <c r="D15" s="235"/>
      <c r="E15" s="231"/>
    </row>
    <row r="16" spans="1:19" s="221" customFormat="1" ht="11.25">
      <c r="A16" s="222"/>
      <c r="B16" s="227"/>
      <c r="C16" s="228"/>
      <c r="D16" s="235"/>
      <c r="E16" s="231"/>
    </row>
    <row r="17" spans="1:5" s="221" customFormat="1" ht="11.25">
      <c r="A17" s="222"/>
      <c r="B17" s="227"/>
      <c r="C17" s="228"/>
      <c r="D17" s="235"/>
      <c r="E17" s="231"/>
    </row>
    <row r="18" spans="1:5" s="221" customFormat="1" ht="11.25">
      <c r="A18" s="222"/>
      <c r="B18" s="227"/>
      <c r="C18" s="228"/>
      <c r="D18" s="235"/>
      <c r="E18" s="231"/>
    </row>
    <row r="19" spans="1:5" s="221" customFormat="1" ht="11.25">
      <c r="A19" s="222"/>
      <c r="B19" s="223"/>
      <c r="C19" s="228"/>
      <c r="D19" s="235"/>
      <c r="E19" s="231"/>
    </row>
    <row r="20" spans="1:5" s="221" customFormat="1" ht="11.25">
      <c r="A20" s="222"/>
      <c r="B20" s="223"/>
      <c r="C20" s="228"/>
      <c r="D20" s="235"/>
      <c r="E20" s="231"/>
    </row>
    <row r="21" spans="1:5" s="221" customFormat="1" ht="11.25">
      <c r="A21" s="222"/>
      <c r="B21" s="227"/>
      <c r="C21" s="228"/>
      <c r="D21" s="235"/>
      <c r="E21" s="231"/>
    </row>
    <row r="22" spans="1:5" s="221" customFormat="1" ht="11.25">
      <c r="A22" s="222"/>
      <c r="B22" s="223"/>
      <c r="C22" s="228"/>
      <c r="D22" s="235"/>
      <c r="E22" s="231"/>
    </row>
    <row r="23" spans="1:5" s="221" customFormat="1" ht="11.25">
      <c r="A23" s="222"/>
      <c r="B23" s="223"/>
      <c r="C23" s="228"/>
      <c r="D23" s="235"/>
      <c r="E23" s="231"/>
    </row>
    <row r="24" spans="1:5" s="221" customFormat="1" ht="12" thickBot="1">
      <c r="A24" s="244"/>
      <c r="B24" s="240"/>
      <c r="C24" s="246"/>
      <c r="D24" s="247"/>
      <c r="E24" s="248"/>
    </row>
    <row r="25" spans="1:5" s="221" customFormat="1" ht="11.25">
      <c r="A25" s="203"/>
      <c r="B25" s="203"/>
      <c r="C25" s="254"/>
      <c r="D25" s="249"/>
      <c r="E25" s="251"/>
    </row>
    <row r="26" spans="1:5" s="221" customFormat="1" ht="11.25">
      <c r="A26" s="203"/>
      <c r="B26" s="203"/>
      <c r="C26" s="254"/>
      <c r="D26" s="249"/>
      <c r="E26" s="251"/>
    </row>
    <row r="27" spans="1:5" s="221" customFormat="1" ht="11.25">
      <c r="A27" s="203"/>
      <c r="B27" s="203"/>
      <c r="C27" s="254"/>
      <c r="D27" s="249"/>
      <c r="E27" s="251"/>
    </row>
    <row r="28" spans="1:5" s="221" customFormat="1" ht="11.25">
      <c r="A28" s="203"/>
      <c r="B28" s="203"/>
      <c r="C28" s="254"/>
      <c r="D28" s="249"/>
      <c r="E28" s="251"/>
    </row>
    <row r="29" spans="1:5" s="221" customFormat="1" ht="11.25">
      <c r="A29" s="203"/>
      <c r="B29" s="203"/>
      <c r="C29" s="254"/>
      <c r="D29" s="249"/>
      <c r="E29" s="251"/>
    </row>
    <row r="30" spans="1:5" s="221" customFormat="1" ht="11.25">
      <c r="A30" s="203"/>
      <c r="B30" s="203"/>
      <c r="C30" s="254"/>
      <c r="D30" s="249"/>
      <c r="E30" s="251"/>
    </row>
    <row r="31" spans="1:5" s="221" customFormat="1" ht="11.25">
      <c r="A31" s="203"/>
      <c r="B31" s="203"/>
      <c r="C31" s="254"/>
      <c r="D31" s="249"/>
      <c r="E31" s="251"/>
    </row>
    <row r="32" spans="1:5" s="221" customFormat="1" ht="11.25">
      <c r="A32" s="203"/>
      <c r="B32" s="203"/>
      <c r="C32" s="254"/>
      <c r="D32" s="249"/>
      <c r="E32" s="251"/>
    </row>
    <row r="33" spans="1:5" s="221" customFormat="1" ht="11.25">
      <c r="A33" s="203"/>
      <c r="B33" s="203"/>
      <c r="C33" s="254"/>
      <c r="D33" s="249"/>
      <c r="E33" s="251"/>
    </row>
    <row r="34" spans="1:5" s="221" customFormat="1" ht="11.25">
      <c r="A34" s="203"/>
      <c r="B34" s="203"/>
      <c r="C34" s="254"/>
      <c r="D34" s="249"/>
      <c r="E34" s="251"/>
    </row>
    <row r="35" spans="1:5" s="221" customFormat="1" ht="11.25">
      <c r="A35" s="203"/>
      <c r="B35" s="203"/>
      <c r="C35" s="254"/>
      <c r="D35" s="249"/>
      <c r="E35" s="251"/>
    </row>
    <row r="36" spans="1:5" s="221" customFormat="1" ht="11.25">
      <c r="A36" s="203"/>
      <c r="B36" s="203"/>
      <c r="C36" s="254"/>
      <c r="D36" s="249"/>
      <c r="E36" s="251"/>
    </row>
    <row r="37" spans="1:5" s="221" customFormat="1" ht="11.25">
      <c r="A37" s="203"/>
      <c r="B37" s="203"/>
      <c r="C37" s="254"/>
      <c r="D37" s="249"/>
      <c r="E37" s="251"/>
    </row>
    <row r="38" spans="1:5" s="221" customFormat="1" ht="11.25">
      <c r="A38" s="203"/>
      <c r="B38" s="203"/>
      <c r="C38" s="254"/>
      <c r="D38" s="249"/>
      <c r="E38" s="251"/>
    </row>
    <row r="39" spans="1:5" s="221" customFormat="1" ht="11.25">
      <c r="A39" s="203"/>
      <c r="B39" s="203"/>
      <c r="C39" s="254"/>
      <c r="D39" s="249"/>
      <c r="E39" s="251"/>
    </row>
    <row r="40" spans="1:5" s="221" customFormat="1" ht="11.25">
      <c r="A40" s="203"/>
      <c r="B40" s="203"/>
      <c r="C40" s="254"/>
      <c r="D40" s="249"/>
      <c r="E40" s="251"/>
    </row>
    <row r="41" spans="1:5" s="221" customFormat="1" ht="11.25">
      <c r="A41" s="203"/>
      <c r="B41" s="203"/>
      <c r="C41" s="254"/>
      <c r="D41" s="249"/>
      <c r="E41" s="251"/>
    </row>
    <row r="42" spans="1:5" s="221" customFormat="1" ht="11.25">
      <c r="A42" s="203"/>
      <c r="B42" s="203"/>
      <c r="C42" s="254"/>
      <c r="D42" s="249"/>
      <c r="E42" s="251"/>
    </row>
    <row r="43" spans="1:5" s="221" customFormat="1" ht="11.25">
      <c r="A43" s="203"/>
      <c r="B43" s="203"/>
      <c r="C43" s="254"/>
      <c r="D43" s="249"/>
      <c r="E43" s="251"/>
    </row>
    <row r="44" spans="1:5" s="221" customFormat="1" ht="11.25">
      <c r="A44" s="203"/>
      <c r="B44" s="203"/>
      <c r="C44" s="254"/>
      <c r="D44" s="249"/>
      <c r="E44" s="251"/>
    </row>
    <row r="45" spans="1:5" s="221" customFormat="1" ht="11.25">
      <c r="A45" s="203"/>
      <c r="B45" s="203"/>
      <c r="C45" s="254"/>
      <c r="D45" s="249"/>
      <c r="E45" s="251"/>
    </row>
    <row r="46" spans="1:5" s="221" customFormat="1" ht="11.25">
      <c r="A46" s="203"/>
      <c r="B46" s="203"/>
      <c r="C46" s="254"/>
      <c r="D46" s="249"/>
      <c r="E46" s="251"/>
    </row>
    <row r="47" spans="1:5" s="221" customFormat="1" ht="11.25">
      <c r="A47" s="203"/>
      <c r="B47" s="203"/>
      <c r="C47" s="254"/>
      <c r="D47" s="249"/>
      <c r="E47" s="251"/>
    </row>
    <row r="48" spans="1:5" s="221" customFormat="1" ht="11.25">
      <c r="A48" s="203"/>
      <c r="B48" s="203"/>
      <c r="C48" s="254"/>
      <c r="D48" s="249"/>
      <c r="E48" s="251"/>
    </row>
    <row r="49" spans="1:5" s="221" customFormat="1" ht="11.25">
      <c r="A49" s="203"/>
      <c r="B49" s="203"/>
      <c r="C49" s="254"/>
      <c r="D49" s="249"/>
      <c r="E49" s="251"/>
    </row>
    <row r="50" spans="1:5" s="221" customFormat="1" ht="11.25">
      <c r="A50" s="203"/>
      <c r="B50" s="203"/>
      <c r="C50" s="254"/>
      <c r="D50" s="249"/>
      <c r="E50" s="251"/>
    </row>
    <row r="51" spans="1:5" s="221" customFormat="1" ht="11.25">
      <c r="A51" s="203"/>
      <c r="B51" s="203"/>
      <c r="C51" s="254"/>
      <c r="D51" s="249"/>
      <c r="E51" s="251"/>
    </row>
    <row r="52" spans="1:5" s="221" customFormat="1" ht="11.25">
      <c r="A52" s="203"/>
      <c r="B52" s="203"/>
      <c r="C52" s="254"/>
      <c r="D52" s="249"/>
      <c r="E52" s="251"/>
    </row>
    <row r="53" spans="1:5" s="221" customFormat="1" ht="11.25">
      <c r="A53" s="203"/>
      <c r="B53" s="203"/>
      <c r="C53" s="254"/>
      <c r="D53" s="249"/>
      <c r="E53" s="251"/>
    </row>
    <row r="54" spans="1:5" s="221" customFormat="1" ht="11.25">
      <c r="A54" s="203"/>
      <c r="B54" s="203"/>
      <c r="C54" s="254"/>
      <c r="D54" s="249"/>
      <c r="E54" s="251"/>
    </row>
    <row r="55" spans="1:5" s="221" customFormat="1" ht="11.25">
      <c r="A55" s="203"/>
      <c r="B55" s="203"/>
      <c r="C55" s="254"/>
      <c r="D55" s="249"/>
      <c r="E55" s="251"/>
    </row>
    <row r="56" spans="1:5" s="221" customFormat="1" ht="11.25">
      <c r="A56" s="203"/>
      <c r="B56" s="203"/>
      <c r="C56" s="254"/>
      <c r="D56" s="249"/>
      <c r="E56" s="251"/>
    </row>
    <row r="57" spans="1:5" s="221" customFormat="1" ht="11.25">
      <c r="A57" s="203"/>
      <c r="B57" s="203"/>
      <c r="C57" s="254"/>
      <c r="D57" s="249"/>
      <c r="E57" s="251"/>
    </row>
    <row r="58" spans="1:5" s="221" customFormat="1" ht="11.25">
      <c r="A58" s="203"/>
      <c r="B58" s="203"/>
      <c r="C58" s="254"/>
      <c r="D58" s="249"/>
      <c r="E58" s="251"/>
    </row>
    <row r="59" spans="1:5" s="221" customFormat="1" ht="11.25">
      <c r="A59" s="203"/>
      <c r="B59" s="203"/>
      <c r="C59" s="254"/>
      <c r="D59" s="249"/>
      <c r="E59" s="251"/>
    </row>
    <row r="60" spans="1:5" s="221" customFormat="1" ht="11.25">
      <c r="A60" s="203"/>
      <c r="B60" s="203"/>
      <c r="C60" s="254"/>
      <c r="D60" s="249"/>
      <c r="E60" s="251"/>
    </row>
    <row r="61" spans="1:5" s="221" customFormat="1" ht="11.25">
      <c r="A61" s="203"/>
      <c r="B61" s="203"/>
      <c r="C61" s="254"/>
      <c r="D61" s="249"/>
      <c r="E61" s="251"/>
    </row>
    <row r="62" spans="1:5" s="221" customFormat="1">
      <c r="A62" s="203"/>
      <c r="B62" s="203"/>
      <c r="C62" s="2"/>
      <c r="D62" s="249"/>
      <c r="E62" s="1"/>
    </row>
    <row r="63" spans="1:5" s="221" customFormat="1">
      <c r="A63" s="203"/>
      <c r="B63" s="203"/>
      <c r="C63" s="2"/>
      <c r="D63" s="249"/>
      <c r="E63" s="1"/>
    </row>
    <row r="64" spans="1:5" s="221" customFormat="1">
      <c r="A64" s="203"/>
      <c r="B64" s="203"/>
      <c r="C64" s="2"/>
      <c r="D64" s="249"/>
      <c r="E64" s="1"/>
    </row>
    <row r="65" spans="1:5" s="221" customFormat="1">
      <c r="A65" s="203"/>
      <c r="B65" s="203"/>
      <c r="C65" s="2"/>
      <c r="D65" s="249"/>
      <c r="E65" s="1"/>
    </row>
  </sheetData>
  <mergeCells count="1">
    <mergeCell ref="C2:E2"/>
  </mergeCells>
  <hyperlinks>
    <hyperlink ref="A1" location="'Table of Contents'!A1" display="Table of Contents"/>
  </hyperlinks>
  <printOptions gridLines="1"/>
  <pageMargins left="0.25" right="0.25" top="0.75" bottom="0.75" header="0.3" footer="0.3"/>
  <pageSetup scale="77" orientation="landscape" r:id="rId1"/>
  <headerFooter>
    <oddFooter>&amp;L&amp;5&amp;Z&amp;F
Created: 9/29/2006 10:44:00 PM
Last Saved: 2/5/2008 9:15:17 PM
Last Printed: 2/5/2008 6:12:16 PM&amp;R&amp;5&amp;P - &amp;N
Title :&lt;Not Set&gt;
Subject: &lt;Not Set&gt;</oddFooter>
  </headerFooter>
  <rowBreaks count="1" manualBreakCount="1">
    <brk id="24" max="16383" man="1"/>
  </rowBreaks>
</worksheet>
</file>

<file path=xl/worksheets/sheet10.xml><?xml version="1.0" encoding="utf-8"?>
<worksheet xmlns="http://schemas.openxmlformats.org/spreadsheetml/2006/main" xmlns:r="http://schemas.openxmlformats.org/officeDocument/2006/relationships">
  <sheetPr codeName="Sheet6"/>
  <dimension ref="A1:G49"/>
  <sheetViews>
    <sheetView workbookViewId="0"/>
  </sheetViews>
  <sheetFormatPr defaultRowHeight="12.75"/>
  <cols>
    <col min="1" max="1" width="25.7109375" customWidth="1"/>
    <col min="2" max="4" width="22.5703125" customWidth="1"/>
    <col min="5" max="6" width="10.7109375" style="3" customWidth="1"/>
  </cols>
  <sheetData>
    <row r="1" spans="1:7">
      <c r="A1" s="5" t="s">
        <v>30</v>
      </c>
    </row>
    <row r="3" spans="1:7">
      <c r="A3" s="1"/>
    </row>
    <row r="4" spans="1:7" s="1" customFormat="1" ht="51">
      <c r="A4" s="6" t="s">
        <v>28</v>
      </c>
      <c r="B4" s="6" t="s">
        <v>29</v>
      </c>
      <c r="C4" s="6" t="s">
        <v>21</v>
      </c>
      <c r="D4" s="6" t="s">
        <v>20</v>
      </c>
      <c r="E4" s="2" t="s">
        <v>13</v>
      </c>
      <c r="F4" s="2" t="s">
        <v>14</v>
      </c>
    </row>
    <row r="5" spans="1:7" s="1" customFormat="1">
      <c r="B5" s="7" t="s">
        <v>57</v>
      </c>
      <c r="C5" s="8"/>
      <c r="D5" s="9"/>
      <c r="E5" s="10"/>
      <c r="F5" s="10"/>
    </row>
    <row r="6" spans="1:7">
      <c r="A6">
        <v>1</v>
      </c>
      <c r="B6" s="7" t="s">
        <v>693</v>
      </c>
      <c r="C6" s="8" t="s">
        <v>43</v>
      </c>
      <c r="D6" s="9" t="s">
        <v>38</v>
      </c>
      <c r="E6" s="11"/>
      <c r="F6" s="11"/>
      <c r="G6" s="4"/>
    </row>
    <row r="7" spans="1:7">
      <c r="A7">
        <v>2</v>
      </c>
      <c r="B7" s="7" t="s">
        <v>24</v>
      </c>
      <c r="C7" s="8" t="s">
        <v>41</v>
      </c>
      <c r="D7" s="9" t="s">
        <v>37</v>
      </c>
      <c r="E7" s="11"/>
      <c r="F7" s="11"/>
      <c r="G7" s="4" t="e">
        <f t="shared" ref="G7:G16" si="0">F7/E7</f>
        <v>#DIV/0!</v>
      </c>
    </row>
    <row r="8" spans="1:7">
      <c r="A8">
        <v>3</v>
      </c>
      <c r="B8" s="7" t="s">
        <v>25</v>
      </c>
      <c r="C8" s="8" t="s">
        <v>50</v>
      </c>
      <c r="D8" s="9" t="s">
        <v>83</v>
      </c>
      <c r="E8" s="11"/>
      <c r="F8" s="11"/>
      <c r="G8" s="4"/>
    </row>
    <row r="9" spans="1:7">
      <c r="A9">
        <v>4</v>
      </c>
      <c r="B9" s="7" t="s">
        <v>26</v>
      </c>
      <c r="C9" s="8" t="s">
        <v>46</v>
      </c>
      <c r="D9" s="9" t="s">
        <v>79</v>
      </c>
      <c r="E9" s="11"/>
      <c r="F9" s="11"/>
      <c r="G9" s="4" t="e">
        <f t="shared" si="0"/>
        <v>#DIV/0!</v>
      </c>
    </row>
    <row r="10" spans="1:7">
      <c r="A10">
        <v>5</v>
      </c>
      <c r="B10" s="7" t="s">
        <v>7</v>
      </c>
      <c r="C10" s="8" t="s">
        <v>51</v>
      </c>
      <c r="D10" s="9" t="s">
        <v>40</v>
      </c>
      <c r="E10" s="11"/>
      <c r="F10" s="11"/>
      <c r="G10" s="4"/>
    </row>
    <row r="11" spans="1:7">
      <c r="A11">
        <v>6</v>
      </c>
      <c r="B11" s="7" t="s">
        <v>541</v>
      </c>
      <c r="C11" s="8" t="s">
        <v>44</v>
      </c>
      <c r="D11" s="9" t="s">
        <v>82</v>
      </c>
      <c r="E11" s="11"/>
      <c r="F11" s="11"/>
      <c r="G11" s="4" t="e">
        <f t="shared" si="0"/>
        <v>#DIV/0!</v>
      </c>
    </row>
    <row r="12" spans="1:7">
      <c r="A12">
        <v>7</v>
      </c>
      <c r="B12" s="7" t="s">
        <v>68</v>
      </c>
      <c r="C12" s="8" t="s">
        <v>49</v>
      </c>
      <c r="D12" s="9" t="s">
        <v>81</v>
      </c>
      <c r="E12" s="11"/>
      <c r="F12" s="11"/>
      <c r="G12" s="4" t="e">
        <f t="shared" si="0"/>
        <v>#DIV/0!</v>
      </c>
    </row>
    <row r="13" spans="1:7">
      <c r="A13">
        <v>8</v>
      </c>
      <c r="B13" s="7" t="s">
        <v>8</v>
      </c>
      <c r="C13" s="8" t="s">
        <v>45</v>
      </c>
      <c r="D13" s="9" t="s">
        <v>36</v>
      </c>
      <c r="E13" s="11"/>
      <c r="F13" s="11"/>
      <c r="G13" s="4" t="e">
        <f t="shared" si="0"/>
        <v>#DIV/0!</v>
      </c>
    </row>
    <row r="14" spans="1:7">
      <c r="A14">
        <v>9</v>
      </c>
      <c r="B14" s="7" t="s">
        <v>9</v>
      </c>
      <c r="C14" s="8" t="s">
        <v>31</v>
      </c>
      <c r="D14" s="9" t="s">
        <v>35</v>
      </c>
      <c r="E14" s="11"/>
      <c r="F14" s="11"/>
      <c r="G14" s="4" t="e">
        <f t="shared" si="0"/>
        <v>#DIV/0!</v>
      </c>
    </row>
    <row r="15" spans="1:7">
      <c r="A15">
        <v>10</v>
      </c>
      <c r="B15" s="7" t="s">
        <v>10</v>
      </c>
      <c r="C15" s="8" t="s">
        <v>18</v>
      </c>
      <c r="D15" s="9" t="s">
        <v>34</v>
      </c>
      <c r="E15" s="11"/>
      <c r="F15" s="11"/>
      <c r="G15" s="4" t="e">
        <f t="shared" si="0"/>
        <v>#DIV/0!</v>
      </c>
    </row>
    <row r="16" spans="1:7">
      <c r="A16">
        <v>11</v>
      </c>
      <c r="B16" s="7" t="s">
        <v>11</v>
      </c>
      <c r="C16" s="8" t="s">
        <v>48</v>
      </c>
      <c r="D16" s="9" t="s">
        <v>39</v>
      </c>
      <c r="E16" s="11"/>
      <c r="F16" s="11"/>
      <c r="G16" s="4" t="e">
        <f t="shared" si="0"/>
        <v>#DIV/0!</v>
      </c>
    </row>
    <row r="17" spans="1:7">
      <c r="A17">
        <v>12</v>
      </c>
      <c r="B17" s="7" t="s">
        <v>12</v>
      </c>
      <c r="C17" s="8"/>
      <c r="D17" s="9"/>
      <c r="E17" s="11"/>
      <c r="F17" s="11"/>
      <c r="G17" s="4"/>
    </row>
    <row r="18" spans="1:7">
      <c r="A18">
        <v>13</v>
      </c>
      <c r="B18" s="339" t="s">
        <v>1110</v>
      </c>
      <c r="C18" s="340" t="s">
        <v>1111</v>
      </c>
    </row>
    <row r="21" spans="1:7">
      <c r="A21" t="s">
        <v>67</v>
      </c>
      <c r="B21" s="317" t="s">
        <v>1112</v>
      </c>
      <c r="C21" s="7"/>
      <c r="D21" s="8"/>
    </row>
    <row r="22" spans="1:7">
      <c r="A22" t="s">
        <v>32</v>
      </c>
      <c r="B22" t="s">
        <v>64</v>
      </c>
      <c r="C22" s="7"/>
      <c r="D22" s="8"/>
    </row>
    <row r="23" spans="1:7">
      <c r="A23" t="s">
        <v>42</v>
      </c>
      <c r="B23" t="s">
        <v>65</v>
      </c>
      <c r="C23" s="7"/>
      <c r="D23" s="8"/>
    </row>
    <row r="24" spans="1:7">
      <c r="A24" t="s">
        <v>61</v>
      </c>
      <c r="B24" t="s">
        <v>66</v>
      </c>
      <c r="C24" s="7"/>
      <c r="D24" s="8"/>
    </row>
    <row r="25" spans="1:7">
      <c r="A25" t="s">
        <v>62</v>
      </c>
      <c r="B25" t="s">
        <v>33</v>
      </c>
      <c r="C25" s="7"/>
      <c r="D25" s="8"/>
    </row>
    <row r="26" spans="1:7">
      <c r="A26" t="s">
        <v>63</v>
      </c>
      <c r="B26" t="s">
        <v>22</v>
      </c>
      <c r="C26" s="7"/>
      <c r="D26" s="8"/>
    </row>
    <row r="27" spans="1:7">
      <c r="A27" t="s">
        <v>47</v>
      </c>
      <c r="C27" s="7"/>
      <c r="D27" s="8"/>
    </row>
    <row r="28" spans="1:7">
      <c r="A28" t="s">
        <v>69</v>
      </c>
      <c r="B28" t="s">
        <v>70</v>
      </c>
      <c r="C28" s="7"/>
      <c r="D28" s="8"/>
    </row>
    <row r="29" spans="1:7">
      <c r="C29" s="7"/>
      <c r="D29" s="8"/>
    </row>
    <row r="30" spans="1:7">
      <c r="C30" s="7"/>
      <c r="D30" s="8"/>
    </row>
    <row r="31" spans="1:7">
      <c r="C31" s="7"/>
      <c r="D31" s="8"/>
    </row>
    <row r="32" spans="1:7">
      <c r="C32" s="7"/>
      <c r="D32" s="8"/>
    </row>
    <row r="33" spans="1:4">
      <c r="C33" s="7"/>
      <c r="D33" s="8"/>
    </row>
    <row r="38" spans="1:4">
      <c r="A38" t="s">
        <v>16</v>
      </c>
    </row>
    <row r="39" spans="1:4">
      <c r="A39" t="s">
        <v>1</v>
      </c>
      <c r="B39">
        <v>1</v>
      </c>
    </row>
    <row r="40" spans="1:4">
      <c r="A40" t="s">
        <v>2</v>
      </c>
      <c r="B40">
        <v>2</v>
      </c>
    </row>
    <row r="41" spans="1:4">
      <c r="A41" t="s">
        <v>3</v>
      </c>
      <c r="B41">
        <v>3</v>
      </c>
    </row>
    <row r="42" spans="1:4">
      <c r="A42" t="s">
        <v>4</v>
      </c>
      <c r="B42">
        <v>4</v>
      </c>
    </row>
    <row r="43" spans="1:4">
      <c r="A43" t="s">
        <v>5</v>
      </c>
      <c r="B43">
        <v>5</v>
      </c>
    </row>
    <row r="44" spans="1:4">
      <c r="A44" t="s">
        <v>6</v>
      </c>
      <c r="B44">
        <v>6</v>
      </c>
    </row>
    <row r="45" spans="1:4">
      <c r="A45" t="s">
        <v>19</v>
      </c>
      <c r="B45">
        <v>0</v>
      </c>
    </row>
    <row r="47" spans="1:4">
      <c r="A47" t="s">
        <v>17</v>
      </c>
    </row>
    <row r="48" spans="1:4">
      <c r="A48" t="s">
        <v>15</v>
      </c>
      <c r="B48">
        <v>1</v>
      </c>
    </row>
    <row r="49" spans="1:2">
      <c r="A49" t="s">
        <v>27</v>
      </c>
      <c r="B49">
        <v>2</v>
      </c>
    </row>
  </sheetData>
  <phoneticPr fontId="2" type="noConversion"/>
  <dataValidations count="1">
    <dataValidation type="list" showInputMessage="1" showErrorMessage="1" sqref="B35:D35">
      <formula1>Team_Name</formula1>
    </dataValidation>
  </dataValidations>
  <hyperlinks>
    <hyperlink ref="A1" location="'Table of Contents'!A1" display="Table of Contents"/>
  </hyperlinks>
  <printOptions headings="1" gridLines="1"/>
  <pageMargins left="0.25" right="0.25" top="0.75" bottom="0.75" header="0.3" footer="0.3"/>
  <pageSetup orientation="landscape" r:id="rId1"/>
  <headerFooter alignWithMargins="0">
    <oddFooter>&amp;L&amp;5&amp;Z&amp;F
Created: 9/29/2006 10:44:00 PM
Last Saved: 2/5/2008 9:15:17 PM
Last Printed: 2/5/2008 6:12:16 PM&amp;R&amp;5&amp;P - &amp;N
Title :&lt;Not Set&gt;
Subject: &lt;Not Set&gt;</oddFooter>
  </headerFooter>
  <drawing r:id="rId2"/>
  <legacyDrawing r:id="rId3"/>
</worksheet>
</file>

<file path=xl/worksheets/sheet11.xml><?xml version="1.0" encoding="utf-8"?>
<worksheet xmlns="http://schemas.openxmlformats.org/spreadsheetml/2006/main" xmlns:r="http://schemas.openxmlformats.org/officeDocument/2006/relationships">
  <sheetPr codeName="Sheet20"/>
  <dimension ref="A1:J30"/>
  <sheetViews>
    <sheetView workbookViewId="0"/>
  </sheetViews>
  <sheetFormatPr defaultRowHeight="12.75"/>
  <cols>
    <col min="1" max="1" width="19" customWidth="1"/>
    <col min="2" max="2" width="100.7109375" style="1" customWidth="1"/>
    <col min="3" max="10" width="15.7109375" customWidth="1"/>
  </cols>
  <sheetData>
    <row r="1" spans="1:10">
      <c r="A1" s="5" t="s">
        <v>30</v>
      </c>
    </row>
    <row r="4" spans="1:10">
      <c r="A4" s="200" t="s">
        <v>114</v>
      </c>
      <c r="B4" s="1" t="str">
        <f>ADDRESS(11,1,,TRUE) &amp; ":" &amp; ADDRESS(30,2,TRUE)</f>
        <v>$A$11:$B$30</v>
      </c>
    </row>
    <row r="5" spans="1:10">
      <c r="A5" s="200" t="s">
        <v>115</v>
      </c>
      <c r="B5" s="1" t="str">
        <f>ADDRESS(11,3,,TRUE) &amp; ":" &amp; ADDRESS(30,4,TRUE)</f>
        <v>$C$11:$D$30</v>
      </c>
    </row>
    <row r="6" spans="1:10">
      <c r="A6" s="200" t="s">
        <v>116</v>
      </c>
      <c r="B6" s="1" t="str">
        <f>ADDRESS(11,5,,TRUE) &amp; ":" &amp; ADDRESS(30,6,TRUE)</f>
        <v>$E$11:$F$30</v>
      </c>
    </row>
    <row r="7" spans="1:10">
      <c r="A7" s="200" t="s">
        <v>117</v>
      </c>
      <c r="B7" s="1" t="str">
        <f>ADDRESS(11,7,,TRUE) &amp; ":" &amp; ADDRESS(30,8,TRUE)</f>
        <v>$G$11:$H$30</v>
      </c>
    </row>
    <row r="8" spans="1:10">
      <c r="A8" s="200" t="s">
        <v>118</v>
      </c>
      <c r="B8" s="1" t="str">
        <f>ADDRESS(11,9,,TRUE) &amp; ":" &amp; ADDRESS(30,10,TRUE)</f>
        <v>$I$11:$J$30</v>
      </c>
    </row>
    <row r="10" spans="1:10" ht="31.5">
      <c r="A10" s="35" t="s">
        <v>119</v>
      </c>
      <c r="B10" s="35" t="s">
        <v>120</v>
      </c>
      <c r="C10" s="35" t="s">
        <v>119</v>
      </c>
      <c r="D10" s="35" t="s">
        <v>121</v>
      </c>
      <c r="E10" s="35" t="s">
        <v>119</v>
      </c>
      <c r="F10" s="35" t="s">
        <v>116</v>
      </c>
      <c r="G10" s="35" t="s">
        <v>119</v>
      </c>
      <c r="H10" s="35" t="s">
        <v>122</v>
      </c>
      <c r="I10" s="35" t="s">
        <v>119</v>
      </c>
      <c r="J10" s="35" t="s">
        <v>123</v>
      </c>
    </row>
    <row r="11" spans="1:10">
      <c r="A11" s="200" t="s">
        <v>127</v>
      </c>
      <c r="B11" s="1" t="s">
        <v>813</v>
      </c>
      <c r="C11" t="str">
        <f t="shared" ref="C11:C30" si="0">A11</f>
        <v>Q1</v>
      </c>
      <c r="D11">
        <v>5</v>
      </c>
      <c r="E11" t="str">
        <f t="shared" ref="E11:E30" si="1">A11</f>
        <v>Q1</v>
      </c>
      <c r="F11">
        <v>1</v>
      </c>
      <c r="G11" t="str">
        <f t="shared" ref="G11:G30" si="2">A11</f>
        <v>Q1</v>
      </c>
      <c r="H11">
        <v>1</v>
      </c>
      <c r="I11" t="str">
        <f t="shared" ref="I11:I30" si="3">A11</f>
        <v>Q1</v>
      </c>
    </row>
    <row r="12" spans="1:10">
      <c r="A12" s="200" t="s">
        <v>158</v>
      </c>
      <c r="B12" s="1" t="s">
        <v>823</v>
      </c>
      <c r="C12" t="str">
        <f t="shared" si="0"/>
        <v>Q10</v>
      </c>
      <c r="D12">
        <v>110</v>
      </c>
      <c r="E12" t="str">
        <f t="shared" si="1"/>
        <v>Q10</v>
      </c>
      <c r="G12" t="str">
        <f t="shared" si="2"/>
        <v>Q10</v>
      </c>
      <c r="H12">
        <v>1</v>
      </c>
      <c r="I12" t="str">
        <f t="shared" si="3"/>
        <v>Q10</v>
      </c>
    </row>
    <row r="13" spans="1:10">
      <c r="A13" s="200" t="s">
        <v>129</v>
      </c>
      <c r="B13" s="1" t="s">
        <v>715</v>
      </c>
      <c r="C13" t="str">
        <f t="shared" si="0"/>
        <v>Q1b</v>
      </c>
      <c r="D13">
        <v>110</v>
      </c>
      <c r="E13" t="str">
        <f t="shared" si="1"/>
        <v>Q1b</v>
      </c>
      <c r="G13" t="str">
        <f t="shared" si="2"/>
        <v>Q1b</v>
      </c>
      <c r="I13" t="str">
        <f t="shared" si="3"/>
        <v>Q1b</v>
      </c>
      <c r="J13">
        <v>1</v>
      </c>
    </row>
    <row r="14" spans="1:10">
      <c r="A14" s="200" t="s">
        <v>131</v>
      </c>
      <c r="B14" s="1" t="s">
        <v>814</v>
      </c>
      <c r="C14" t="str">
        <f t="shared" si="0"/>
        <v>Q2</v>
      </c>
      <c r="D14">
        <v>5</v>
      </c>
      <c r="E14" t="str">
        <f t="shared" si="1"/>
        <v>Q2</v>
      </c>
      <c r="F14">
        <v>1</v>
      </c>
      <c r="G14" t="str">
        <f t="shared" si="2"/>
        <v>Q2</v>
      </c>
      <c r="H14">
        <v>1</v>
      </c>
      <c r="I14" t="str">
        <f t="shared" si="3"/>
        <v>Q2</v>
      </c>
    </row>
    <row r="15" spans="1:10">
      <c r="A15" s="200" t="s">
        <v>132</v>
      </c>
      <c r="B15" s="1" t="s">
        <v>815</v>
      </c>
      <c r="C15" t="str">
        <f t="shared" si="0"/>
        <v>Q2b</v>
      </c>
      <c r="D15">
        <v>110</v>
      </c>
      <c r="E15" t="str">
        <f t="shared" si="1"/>
        <v>Q2b</v>
      </c>
      <c r="G15" t="str">
        <f t="shared" si="2"/>
        <v>Q2b</v>
      </c>
      <c r="I15" t="str">
        <f t="shared" si="3"/>
        <v>Q2b</v>
      </c>
      <c r="J15">
        <v>1</v>
      </c>
    </row>
    <row r="16" spans="1:10">
      <c r="A16" s="200" t="s">
        <v>134</v>
      </c>
      <c r="B16" s="1" t="s">
        <v>816</v>
      </c>
      <c r="C16" t="str">
        <f t="shared" si="0"/>
        <v>Q3</v>
      </c>
      <c r="D16">
        <v>5</v>
      </c>
      <c r="E16" t="str">
        <f t="shared" si="1"/>
        <v>Q3</v>
      </c>
      <c r="F16">
        <v>1</v>
      </c>
      <c r="G16" t="str">
        <f t="shared" si="2"/>
        <v>Q3</v>
      </c>
      <c r="H16">
        <v>1</v>
      </c>
      <c r="I16" t="str">
        <f t="shared" si="3"/>
        <v>Q3</v>
      </c>
    </row>
    <row r="17" spans="1:10">
      <c r="A17" s="200" t="s">
        <v>136</v>
      </c>
      <c r="B17" s="1" t="s">
        <v>148</v>
      </c>
      <c r="C17" t="str">
        <f t="shared" si="0"/>
        <v>Q3b</v>
      </c>
      <c r="D17">
        <v>110</v>
      </c>
      <c r="E17" t="str">
        <f t="shared" si="1"/>
        <v>Q3b</v>
      </c>
      <c r="G17" t="str">
        <f t="shared" si="2"/>
        <v>Q3b</v>
      </c>
      <c r="I17" t="str">
        <f t="shared" si="3"/>
        <v>Q3b</v>
      </c>
      <c r="J17">
        <v>1</v>
      </c>
    </row>
    <row r="18" spans="1:10" ht="25.5">
      <c r="A18" s="200" t="s">
        <v>138</v>
      </c>
      <c r="B18" s="1" t="s">
        <v>817</v>
      </c>
      <c r="C18" t="str">
        <f t="shared" si="0"/>
        <v>Q4</v>
      </c>
      <c r="D18">
        <v>5</v>
      </c>
      <c r="E18" t="str">
        <f t="shared" si="1"/>
        <v>Q4</v>
      </c>
      <c r="F18">
        <v>1</v>
      </c>
      <c r="G18" t="str">
        <f t="shared" si="2"/>
        <v>Q4</v>
      </c>
      <c r="H18">
        <v>1</v>
      </c>
      <c r="I18" t="str">
        <f t="shared" si="3"/>
        <v>Q4</v>
      </c>
    </row>
    <row r="19" spans="1:10">
      <c r="A19" s="200" t="s">
        <v>139</v>
      </c>
      <c r="B19" s="1" t="s">
        <v>815</v>
      </c>
      <c r="C19" t="str">
        <f t="shared" si="0"/>
        <v>Q4b</v>
      </c>
      <c r="D19">
        <v>110</v>
      </c>
      <c r="E19" t="str">
        <f t="shared" si="1"/>
        <v>Q4b</v>
      </c>
      <c r="G19" t="str">
        <f t="shared" si="2"/>
        <v>Q4b</v>
      </c>
      <c r="I19" t="str">
        <f t="shared" si="3"/>
        <v>Q4b</v>
      </c>
      <c r="J19">
        <v>1</v>
      </c>
    </row>
    <row r="20" spans="1:10">
      <c r="A20" s="200" t="s">
        <v>141</v>
      </c>
      <c r="B20" s="1" t="s">
        <v>818</v>
      </c>
      <c r="C20" t="str">
        <f t="shared" si="0"/>
        <v>Q5</v>
      </c>
      <c r="D20">
        <v>5</v>
      </c>
      <c r="E20" t="str">
        <f t="shared" si="1"/>
        <v>Q5</v>
      </c>
      <c r="F20">
        <v>1</v>
      </c>
      <c r="G20" t="str">
        <f t="shared" si="2"/>
        <v>Q5</v>
      </c>
      <c r="H20">
        <v>1</v>
      </c>
      <c r="I20" t="str">
        <f t="shared" si="3"/>
        <v>Q5</v>
      </c>
    </row>
    <row r="21" spans="1:10">
      <c r="A21" s="200" t="s">
        <v>143</v>
      </c>
      <c r="B21" s="1" t="s">
        <v>819</v>
      </c>
      <c r="C21" t="str">
        <f t="shared" si="0"/>
        <v>Q5b</v>
      </c>
      <c r="D21">
        <v>110</v>
      </c>
      <c r="E21" t="str">
        <f t="shared" si="1"/>
        <v>Q5b</v>
      </c>
      <c r="G21" t="str">
        <f t="shared" si="2"/>
        <v>Q5b</v>
      </c>
      <c r="I21" t="str">
        <f t="shared" si="3"/>
        <v>Q5b</v>
      </c>
      <c r="J21">
        <v>1</v>
      </c>
    </row>
    <row r="22" spans="1:10">
      <c r="A22" s="200" t="s">
        <v>145</v>
      </c>
      <c r="B22" s="1" t="s">
        <v>824</v>
      </c>
      <c r="C22" t="str">
        <f t="shared" si="0"/>
        <v>Q6</v>
      </c>
      <c r="D22">
        <v>5</v>
      </c>
      <c r="E22" t="str">
        <f t="shared" si="1"/>
        <v>Q6</v>
      </c>
      <c r="F22">
        <v>1</v>
      </c>
      <c r="G22" t="str">
        <f t="shared" si="2"/>
        <v>Q6</v>
      </c>
      <c r="H22">
        <v>1</v>
      </c>
      <c r="I22" t="str">
        <f t="shared" si="3"/>
        <v>Q6</v>
      </c>
    </row>
    <row r="23" spans="1:10">
      <c r="A23" s="200" t="s">
        <v>147</v>
      </c>
      <c r="B23" s="1" t="s">
        <v>819</v>
      </c>
      <c r="C23" t="str">
        <f t="shared" si="0"/>
        <v>Q6b</v>
      </c>
      <c r="D23">
        <v>110</v>
      </c>
      <c r="E23" t="str">
        <f t="shared" si="1"/>
        <v>Q6b</v>
      </c>
      <c r="G23" t="str">
        <f t="shared" si="2"/>
        <v>Q6b</v>
      </c>
      <c r="I23" t="str">
        <f t="shared" si="3"/>
        <v>Q6b</v>
      </c>
      <c r="J23">
        <v>1</v>
      </c>
    </row>
    <row r="24" spans="1:10">
      <c r="A24" s="200" t="s">
        <v>149</v>
      </c>
      <c r="B24" s="1" t="s">
        <v>820</v>
      </c>
      <c r="C24" t="str">
        <f t="shared" si="0"/>
        <v>Q7</v>
      </c>
      <c r="D24">
        <v>5</v>
      </c>
      <c r="E24" t="str">
        <f t="shared" si="1"/>
        <v>Q7</v>
      </c>
      <c r="F24">
        <v>1</v>
      </c>
      <c r="G24" t="str">
        <f t="shared" si="2"/>
        <v>Q7</v>
      </c>
      <c r="H24">
        <v>1</v>
      </c>
      <c r="I24" t="str">
        <f t="shared" si="3"/>
        <v>Q7</v>
      </c>
    </row>
    <row r="25" spans="1:10">
      <c r="A25" s="200" t="s">
        <v>151</v>
      </c>
      <c r="B25" s="1" t="s">
        <v>704</v>
      </c>
      <c r="C25" t="str">
        <f t="shared" si="0"/>
        <v>Q7b</v>
      </c>
      <c r="D25">
        <v>110</v>
      </c>
      <c r="E25" t="str">
        <f t="shared" si="1"/>
        <v>Q7b</v>
      </c>
      <c r="G25" t="str">
        <f t="shared" si="2"/>
        <v>Q7b</v>
      </c>
      <c r="I25" t="str">
        <f t="shared" si="3"/>
        <v>Q7b</v>
      </c>
      <c r="J25">
        <v>1</v>
      </c>
    </row>
    <row r="26" spans="1:10">
      <c r="A26" s="200" t="s">
        <v>152</v>
      </c>
      <c r="B26" s="1" t="s">
        <v>821</v>
      </c>
      <c r="C26" t="str">
        <f t="shared" si="0"/>
        <v>Q8</v>
      </c>
      <c r="D26">
        <v>5</v>
      </c>
      <c r="E26" t="str">
        <f t="shared" si="1"/>
        <v>Q8</v>
      </c>
      <c r="F26">
        <v>1</v>
      </c>
      <c r="G26" t="str">
        <f t="shared" si="2"/>
        <v>Q8</v>
      </c>
      <c r="H26">
        <v>1</v>
      </c>
      <c r="I26" t="str">
        <f t="shared" si="3"/>
        <v>Q8</v>
      </c>
    </row>
    <row r="27" spans="1:10">
      <c r="A27" s="200" t="s">
        <v>154</v>
      </c>
      <c r="B27" s="1" t="s">
        <v>706</v>
      </c>
      <c r="C27" t="str">
        <f t="shared" si="0"/>
        <v>Q8b</v>
      </c>
      <c r="D27">
        <v>110</v>
      </c>
      <c r="E27" t="str">
        <f t="shared" si="1"/>
        <v>Q8b</v>
      </c>
      <c r="G27" t="str">
        <f t="shared" si="2"/>
        <v>Q8b</v>
      </c>
      <c r="I27" t="str">
        <f t="shared" si="3"/>
        <v>Q8b</v>
      </c>
      <c r="J27">
        <v>1</v>
      </c>
    </row>
    <row r="28" spans="1:10">
      <c r="A28" s="200" t="s">
        <v>155</v>
      </c>
      <c r="B28" s="1" t="s">
        <v>822</v>
      </c>
      <c r="C28" t="str">
        <f t="shared" si="0"/>
        <v>Q9</v>
      </c>
      <c r="D28">
        <v>110</v>
      </c>
      <c r="E28" t="str">
        <f t="shared" si="1"/>
        <v>Q9</v>
      </c>
      <c r="G28" t="str">
        <f t="shared" si="2"/>
        <v>Q9</v>
      </c>
      <c r="H28">
        <v>1</v>
      </c>
      <c r="I28" t="str">
        <f t="shared" si="3"/>
        <v>Q9</v>
      </c>
    </row>
    <row r="29" spans="1:10">
      <c r="A29" s="200" t="s">
        <v>124</v>
      </c>
      <c r="B29" s="1" t="s">
        <v>694</v>
      </c>
      <c r="C29" t="str">
        <f t="shared" si="0"/>
        <v>QSurveyPeriod</v>
      </c>
      <c r="D29">
        <v>5</v>
      </c>
      <c r="E29" t="str">
        <f t="shared" si="1"/>
        <v>QSurveyPeriod</v>
      </c>
      <c r="G29" t="str">
        <f t="shared" si="2"/>
        <v>QSurveyPeriod</v>
      </c>
      <c r="I29" t="str">
        <f t="shared" si="3"/>
        <v>QSurveyPeriod</v>
      </c>
    </row>
    <row r="30" spans="1:10">
      <c r="A30" s="200" t="s">
        <v>695</v>
      </c>
      <c r="B30" s="1" t="s">
        <v>696</v>
      </c>
      <c r="C30" t="str">
        <f t="shared" si="0"/>
        <v>QYourName</v>
      </c>
      <c r="D30">
        <v>5</v>
      </c>
      <c r="E30" t="str">
        <f t="shared" si="1"/>
        <v>QYourName</v>
      </c>
      <c r="G30" t="str">
        <f t="shared" si="2"/>
        <v>QYourName</v>
      </c>
      <c r="I30" t="str">
        <f t="shared" si="3"/>
        <v>QYourName</v>
      </c>
    </row>
  </sheetData>
  <sortState ref="A11:B30">
    <sortCondition ref="A11"/>
  </sortState>
  <hyperlinks>
    <hyperlink ref="A1" location="'Table of Contents'!A1" display="Table of Contents"/>
  </hyperlinks>
  <pageMargins left="0.7" right="0.7" top="0.75" bottom="0.75" header="0.3" footer="0.3"/>
  <pageSetup orientation="landscape" r:id="rId1"/>
  <headerFooter>
    <oddFooter>&amp;L&amp;5&amp;Z&amp;F
Created: 9/29/2006 10:44:00 PM
Last Saved: 2/5/2008 9:15:17 PM
Last Printed: 2/5/2008 6:12:16 PM&amp;R&amp;5&amp;P - &amp;N
Title :&lt;Not Set&gt;
Subject: &lt;Not Set&gt;</oddFooter>
  </headerFooter>
</worksheet>
</file>

<file path=xl/worksheets/sheet12.xml><?xml version="1.0" encoding="utf-8"?>
<worksheet xmlns="http://schemas.openxmlformats.org/spreadsheetml/2006/main" xmlns:r="http://schemas.openxmlformats.org/officeDocument/2006/relationships">
  <sheetPr codeName="Sheet18"/>
  <dimension ref="A1:W47"/>
  <sheetViews>
    <sheetView workbookViewId="0"/>
  </sheetViews>
  <sheetFormatPr defaultRowHeight="12.75"/>
  <cols>
    <col min="1" max="1" width="5.7109375" style="479" customWidth="1"/>
    <col min="2" max="2" width="23" style="479" customWidth="1"/>
    <col min="3" max="5" width="25.7109375" style="479"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7.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3" width="110.7109375" style="1" customWidth="1"/>
    <col min="24" max="16384" width="9.140625" style="479"/>
  </cols>
  <sheetData>
    <row r="1" spans="1:23">
      <c r="A1" s="5" t="s">
        <v>30</v>
      </c>
      <c r="E1" s="479" t="s">
        <v>121</v>
      </c>
      <c r="F1" s="1">
        <f t="shared" ref="F1:W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110</v>
      </c>
      <c r="W1" s="1">
        <f t="shared" ca="1" si="0"/>
        <v>110</v>
      </c>
    </row>
    <row r="2" spans="1:23">
      <c r="E2" s="479" t="s">
        <v>116</v>
      </c>
      <c r="F2" s="1">
        <f t="shared" ref="F2:W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0</v>
      </c>
      <c r="W2" s="1">
        <f t="shared" ca="1" si="1"/>
        <v>0</v>
      </c>
    </row>
    <row r="3" spans="1:23">
      <c r="E3" s="479" t="s">
        <v>122</v>
      </c>
      <c r="F3" s="1">
        <f t="shared" ref="F3:W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1</v>
      </c>
    </row>
    <row r="4" spans="1:23">
      <c r="B4" s="479" t="s">
        <v>420</v>
      </c>
      <c r="C4" s="479" t="s">
        <v>882</v>
      </c>
      <c r="E4" s="479" t="s">
        <v>427</v>
      </c>
      <c r="F4" s="1">
        <f t="shared" ref="F4:W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0</v>
      </c>
    </row>
    <row r="5" spans="1:23">
      <c r="B5" s="479" t="s">
        <v>23</v>
      </c>
      <c r="C5" s="479" t="str">
        <f>Survey_Period</f>
        <v>H2 2006</v>
      </c>
    </row>
    <row r="6" spans="1:23">
      <c r="B6" s="479" t="s">
        <v>422</v>
      </c>
      <c r="C6" s="479" t="str">
        <f>$C$4 &amp; " Questions"</f>
        <v>Partner Survey Questions</v>
      </c>
    </row>
    <row r="7" spans="1:23">
      <c r="B7" s="479" t="s">
        <v>32</v>
      </c>
      <c r="C7" s="479" t="str">
        <f>Questions_Location</f>
        <v>$B$4</v>
      </c>
    </row>
    <row r="8" spans="1:23">
      <c r="B8" s="479" t="s">
        <v>42</v>
      </c>
      <c r="C8" s="479" t="str">
        <f>Row_Width_Location</f>
        <v>$B$5</v>
      </c>
    </row>
    <row r="9" spans="1:23">
      <c r="B9" s="479" t="s">
        <v>61</v>
      </c>
      <c r="C9" s="479" t="str">
        <f>Statistics_Location</f>
        <v>$B$6</v>
      </c>
    </row>
    <row r="10" spans="1:23">
      <c r="B10" s="479" t="s">
        <v>62</v>
      </c>
      <c r="C10" s="479" t="str">
        <f>Primary_Questions_Location</f>
        <v>$B$7</v>
      </c>
    </row>
    <row r="11" spans="1:23">
      <c r="B11" s="479" t="s">
        <v>423</v>
      </c>
      <c r="C11" s="479" t="str">
        <f>FollowUp_Questions_Location</f>
        <v>$B$8</v>
      </c>
    </row>
    <row r="12" spans="1:23">
      <c r="B12" s="479" t="s">
        <v>29</v>
      </c>
      <c r="C12" s="479" t="str">
        <f>Team_Name</f>
        <v>Viewpoint</v>
      </c>
    </row>
    <row r="13" spans="1:23">
      <c r="B13" s="479" t="s">
        <v>109</v>
      </c>
      <c r="C13" s="479">
        <v>31</v>
      </c>
    </row>
    <row r="14" spans="1:23">
      <c r="B14" s="479" t="s">
        <v>111</v>
      </c>
      <c r="C14" s="479">
        <v>47</v>
      </c>
    </row>
    <row r="15" spans="1:23">
      <c r="B15" s="479" t="s">
        <v>110</v>
      </c>
      <c r="C15" s="479">
        <v>6</v>
      </c>
    </row>
    <row r="16" spans="1:23">
      <c r="B16" s="479" t="s">
        <v>112</v>
      </c>
      <c r="C16" s="479">
        <v>23</v>
      </c>
      <c r="D16" s="479">
        <v>5</v>
      </c>
      <c r="E16" s="479" t="s">
        <v>1</v>
      </c>
      <c r="F16" s="1">
        <f t="array" aca="1" ref="F16" ca="1">SUM(  IF($C$12 = "All IT",    IF(F$31:F$47 =$D16,       1,      0),    IF($D$31:$D$47 = $C$12,      IF(F$31:F$47 =$D16,         1,        0),    )  ))</f>
        <v>1</v>
      </c>
      <c r="H16" s="1">
        <f t="array" aca="1" ref="H16" ca="1">SUM(  IF($C$12 = "All IT",    IF(H$31:H$47 =$D16,       1,      0),    IF($D$31:$D$47 = $C$12,      IF(H$31:H$47 =$D16,         1,        0),    )  ))</f>
        <v>1</v>
      </c>
      <c r="J16" s="1">
        <f t="array" aca="1" ref="J16" ca="1">SUM(  IF($C$12 = "All IT",    IF(J$31:J$47 =$D16,       1,      0),    IF($D$31:$D$47 = $C$12,      IF(J$31:J$47 =$D16,         1,        0),    )  ))</f>
        <v>1</v>
      </c>
      <c r="L16" s="1">
        <f t="array" aca="1" ref="L16" ca="1">SUM(  IF($C$12 = "All IT",    IF(L$31:L$47 =$D16,       1,      0),    IF($D$31:$D$47 = $C$12,      IF(L$31:L$47 =$D16,         1,        0),    )  ))</f>
        <v>1</v>
      </c>
      <c r="N16" s="1">
        <f t="array" aca="1" ref="N16" ca="1">SUM(  IF($C$12 = "All IT",    IF(N$31:N$47 =$D16,       1,      0),    IF($D$31:$D$47 = $C$12,      IF(N$31:N$47 =$D16,         1,        0),    )  ))</f>
        <v>0</v>
      </c>
      <c r="P16" s="1">
        <f t="array" aca="1" ref="P16" ca="1">SUM(  IF($C$12 = "All IT",    IF(P$31:P$47 =$D16,       1,      0),    IF($D$31:$D$47 = $C$12,      IF(P$31:P$47 =$D16,         1,        0),    )  ))</f>
        <v>0</v>
      </c>
      <c r="R16" s="1">
        <f t="array" aca="1" ref="R16" ca="1">SUM(  IF($C$12 = "All IT",    IF(R$31:R$47 =$D16,       1,      0),    IF($D$31:$D$47 = $C$12,      IF(R$31:R$47 =$D16,         1,        0),    )  ))</f>
        <v>1</v>
      </c>
      <c r="T16" s="1">
        <f t="array" aca="1" ref="T16" ca="1">SUM(  IF($C$12 = "All IT",    IF(T$31:T$47 =$D16,       1,      0),    IF($D$31:$D$47 = $C$12,      IF(T$31:T$47 =$D16,         1,        0),    )  ))</f>
        <v>1</v>
      </c>
    </row>
    <row r="17" spans="1:23">
      <c r="A17" s="479">
        <f ca="1">SUM($F$2:$W$2)</f>
        <v>8</v>
      </c>
      <c r="B17" s="479" t="s">
        <v>424</v>
      </c>
      <c r="C17" s="479">
        <f ca="1">A17</f>
        <v>8</v>
      </c>
      <c r="D17" s="479">
        <v>4</v>
      </c>
      <c r="E17" s="479" t="s">
        <v>2</v>
      </c>
      <c r="F17" s="1">
        <f t="array" aca="1" ref="F17" ca="1">SUM(  IF($C$12 = "All IT",    IF(F$31:F$47 =$D17,       1,      0),    IF($D$31:$D$47 = $C$12,      IF(F$31:F$47 =$D17,         1,        0),    )  ))</f>
        <v>0</v>
      </c>
      <c r="H17" s="1">
        <f t="array" aca="1" ref="H17" ca="1">SUM(  IF($C$12 = "All IT",    IF(H$31:H$47 =$D17,       1,      0),    IF($D$31:$D$47 = $C$12,      IF(H$31:H$47 =$D17,         1,        0),    )  ))</f>
        <v>0</v>
      </c>
      <c r="J17" s="1">
        <f t="array" aca="1" ref="J17" ca="1">SUM(  IF($C$12 = "All IT",    IF(J$31:J$47 =$D17,       1,      0),    IF($D$31:$D$47 = $C$12,      IF(J$31:J$47 =$D17,         1,        0),    )  ))</f>
        <v>0</v>
      </c>
      <c r="L17" s="1">
        <f t="array" aca="1" ref="L17" ca="1">SUM(  IF($C$12 = "All IT",    IF(L$31:L$47 =$D17,       1,      0),    IF($D$31:$D$47 = $C$12,      IF(L$31:L$47 =$D17,         1,        0),    )  ))</f>
        <v>0</v>
      </c>
      <c r="N17" s="1">
        <f t="array" aca="1" ref="N17" ca="1">SUM(  IF($C$12 = "All IT",    IF(N$31:N$47 =$D17,       1,      0),    IF($D$31:$D$47 = $C$12,      IF(N$31:N$47 =$D17,         1,        0),    )  ))</f>
        <v>1</v>
      </c>
      <c r="P17" s="1">
        <f t="array" aca="1" ref="P17" ca="1">SUM(  IF($C$12 = "All IT",    IF(P$31:P$47 =$D17,       1,      0),    IF($D$31:$D$47 = $C$12,      IF(P$31:P$47 =$D17,         1,        0),    )  ))</f>
        <v>1</v>
      </c>
      <c r="R17" s="1">
        <f t="array" aca="1" ref="R17" ca="1">SUM(  IF($C$12 = "All IT",    IF(R$31:R$47 =$D17,       1,      0),    IF($D$31:$D$47 = $C$12,      IF(R$31:R$47 =$D17,         1,        0),    )  ))</f>
        <v>0</v>
      </c>
      <c r="T17" s="1">
        <f t="array" aca="1" ref="T17" ca="1">SUM(  IF($C$12 = "All IT",    IF(T$31:T$47 =$D17,       1,      0),    IF($D$31:$D$47 = $C$12,      IF(T$31:T$47 =$D17,         1,        0),    )  ))</f>
        <v>0</v>
      </c>
    </row>
    <row r="18" spans="1:23">
      <c r="A18" s="479">
        <f ca="1">SUM($F$3:$W$3)</f>
        <v>10</v>
      </c>
      <c r="B18" s="479" t="s">
        <v>425</v>
      </c>
      <c r="C18" s="479">
        <f ca="1">A18</f>
        <v>10</v>
      </c>
      <c r="D18" s="479">
        <v>3</v>
      </c>
      <c r="E18" s="479" t="s">
        <v>3</v>
      </c>
      <c r="F18" s="1">
        <f t="array" aca="1" ref="F18" ca="1">SUM(  IF($C$12 = "All IT",    IF(F$31:F$47 =$D18,       1,      0),    IF($D$31:$D$47 = $C$12,      IF(F$31:F$47 =$D18,         1,        0),    )  ))</f>
        <v>0</v>
      </c>
      <c r="H18" s="1">
        <f t="array" aca="1" ref="H18" ca="1">SUM(  IF($C$12 = "All IT",    IF(H$31:H$47 =$D18,       1,      0),    IF($D$31:$D$47 = $C$12,      IF(H$31:H$47 =$D18,         1,        0),    )  ))</f>
        <v>0</v>
      </c>
      <c r="J18" s="1">
        <f t="array" aca="1" ref="J18" ca="1">SUM(  IF($C$12 = "All IT",    IF(J$31:J$47 =$D18,       1,      0),    IF($D$31:$D$47 = $C$12,      IF(J$31:J$47 =$D18,         1,        0),    )  ))</f>
        <v>0</v>
      </c>
      <c r="L18" s="1">
        <f t="array" aca="1" ref="L18" ca="1">SUM(  IF($C$12 = "All IT",    IF(L$31:L$47 =$D18,       1,      0),    IF($D$31:$D$47 = $C$12,      IF(L$31:L$47 =$D18,         1,        0),    )  ))</f>
        <v>0</v>
      </c>
      <c r="N18" s="1">
        <f t="array" aca="1" ref="N18" ca="1">SUM(  IF($C$12 = "All IT",    IF(N$31:N$47 =$D18,       1,      0),    IF($D$31:$D$47 = $C$12,      IF(N$31:N$47 =$D18,         1,        0),    )  ))</f>
        <v>0</v>
      </c>
      <c r="P18" s="1">
        <f t="array" aca="1" ref="P18" ca="1">SUM(  IF($C$12 = "All IT",    IF(P$31:P$47 =$D18,       1,      0),    IF($D$31:$D$47 = $C$12,      IF(P$31:P$47 =$D18,         1,        0),    )  ))</f>
        <v>0</v>
      </c>
      <c r="R18" s="1">
        <f t="array" aca="1" ref="R18" ca="1">SUM(  IF($C$12 = "All IT",    IF(R$31:R$47 =$D18,       1,      0),    IF($D$31:$D$47 = $C$12,      IF(R$31:R$47 =$D18,         1,        0),    )  ))</f>
        <v>0</v>
      </c>
      <c r="T18" s="1">
        <f t="array" aca="1" ref="T18" ca="1">SUM(  IF($C$12 = "All IT",    IF(T$31:T$47 =$D18,       1,      0),    IF($D$31:$D$47 = $C$12,      IF(T$31:T$47 =$D18,         1,        0),    )  ))</f>
        <v>0</v>
      </c>
    </row>
    <row r="19" spans="1:23">
      <c r="D19" s="479">
        <v>2</v>
      </c>
      <c r="E19" s="479" t="s">
        <v>4</v>
      </c>
      <c r="F19" s="1">
        <f t="array" aca="1" ref="F19" ca="1">SUM(  IF($C$12 = "All IT",    IF(F$31:F$47 =$D19,       1,      0),    IF($D$31:$D$47 = $C$12,      IF(F$31:F$47 =$D19,         1,        0),    )  ))</f>
        <v>0</v>
      </c>
      <c r="H19" s="1">
        <f t="array" aca="1" ref="H19" ca="1">SUM(  IF($C$12 = "All IT",    IF(H$31:H$47 =$D19,       1,      0),    IF($D$31:$D$47 = $C$12,      IF(H$31:H$47 =$D19,         1,        0),    )  ))</f>
        <v>0</v>
      </c>
      <c r="J19" s="1">
        <f t="array" aca="1" ref="J19" ca="1">SUM(  IF($C$12 = "All IT",    IF(J$31:J$47 =$D19,       1,      0),    IF($D$31:$D$47 = $C$12,      IF(J$31:J$47 =$D19,         1,        0),    )  ))</f>
        <v>0</v>
      </c>
      <c r="L19" s="1">
        <f t="array" aca="1" ref="L19" ca="1">SUM(  IF($C$12 = "All IT",    IF(L$31:L$47 =$D19,       1,      0),    IF($D$31:$D$47 = $C$12,      IF(L$31:L$47 =$D19,         1,        0),    )  ))</f>
        <v>0</v>
      </c>
      <c r="N19" s="1">
        <f t="array" aca="1" ref="N19" ca="1">SUM(  IF($C$12 = "All IT",    IF(N$31:N$47 =$D19,       1,      0),    IF($D$31:$D$47 = $C$12,      IF(N$31:N$47 =$D19,         1,        0),    )  ))</f>
        <v>0</v>
      </c>
      <c r="P19" s="1">
        <f t="array" aca="1" ref="P19" ca="1">SUM(  IF($C$12 = "All IT",    IF(P$31:P$47 =$D19,       1,      0),    IF($D$31:$D$47 = $C$12,      IF(P$31:P$47 =$D19,         1,        0),    )  ))</f>
        <v>0</v>
      </c>
      <c r="R19" s="1">
        <f t="array" aca="1" ref="R19" ca="1">SUM(  IF($C$12 = "All IT",    IF(R$31:R$47 =$D19,       1,      0),    IF($D$31:$D$47 = $C$12,      IF(R$31:R$47 =$D19,         1,        0),    )  ))</f>
        <v>0</v>
      </c>
      <c r="T19" s="1">
        <f t="array" aca="1" ref="T19" ca="1">SUM(  IF($C$12 = "All IT",    IF(T$31:T$47 =$D19,       1,      0),    IF($D$31:$D$47 = $C$12,      IF(T$31:T$47 =$D19,         1,        0),    )  ))</f>
        <v>0</v>
      </c>
    </row>
    <row r="20" spans="1:23">
      <c r="D20" s="479">
        <v>1</v>
      </c>
      <c r="E20" s="479" t="s">
        <v>428</v>
      </c>
      <c r="F20" s="1">
        <f t="array" aca="1" ref="F20" ca="1">SUM(  IF($C$12 = "All IT",    IF(F$31:F$47 =$D20,       1,      0),    IF($D$31:$D$47 = $C$12,      IF(F$31:F$47 =$D20,         1,        0),    )  ))</f>
        <v>0</v>
      </c>
      <c r="H20" s="1">
        <f t="array" aca="1" ref="H20" ca="1">SUM(  IF($C$12 = "All IT",    IF(H$31:H$47 =$D20,       1,      0),    IF($D$31:$D$47 = $C$12,      IF(H$31:H$47 =$D20,         1,        0),    )  ))</f>
        <v>0</v>
      </c>
      <c r="J20" s="1">
        <f t="array" aca="1" ref="J20" ca="1">SUM(  IF($C$12 = "All IT",    IF(J$31:J$47 =$D20,       1,      0),    IF($D$31:$D$47 = $C$12,      IF(J$31:J$47 =$D20,         1,        0),    )  ))</f>
        <v>0</v>
      </c>
      <c r="L20" s="1">
        <f t="array" aca="1" ref="L20" ca="1">SUM(  IF($C$12 = "All IT",    IF(L$31:L$47 =$D20,       1,      0),    IF($D$31:$D$47 = $C$12,      IF(L$31:L$47 =$D20,         1,        0),    )  ))</f>
        <v>0</v>
      </c>
      <c r="N20" s="1">
        <f t="array" aca="1" ref="N20" ca="1">SUM(  IF($C$12 = "All IT",    IF(N$31:N$47 =$D20,       1,      0),    IF($D$31:$D$47 = $C$12,      IF(N$31:N$47 =$D20,         1,        0),    )  ))</f>
        <v>0</v>
      </c>
      <c r="P20" s="1">
        <f t="array" aca="1" ref="P20" ca="1">SUM(  IF($C$12 = "All IT",    IF(P$31:P$47 =$D20,       1,      0),    IF($D$31:$D$47 = $C$12,      IF(P$31:P$47 =$D20,         1,        0),    )  ))</f>
        <v>0</v>
      </c>
      <c r="R20" s="1">
        <f t="array" aca="1" ref="R20" ca="1">SUM(  IF($C$12 = "All IT",    IF(R$31:R$47 =$D20,       1,      0),    IF($D$31:$D$47 = $C$12,      IF(R$31:R$47 =$D20,         1,        0),    )  ))</f>
        <v>0</v>
      </c>
      <c r="T20" s="1">
        <f t="array" aca="1" ref="T20" ca="1">SUM(  IF($C$12 = "All IT",    IF(T$31:T$47 =$D20,       1,      0),    IF($D$31:$D$47 = $C$12,      IF(T$31:T$47 =$D20,         1,        0),    )  ))</f>
        <v>0</v>
      </c>
    </row>
    <row r="21" spans="1:23">
      <c r="D21" s="479">
        <v>6</v>
      </c>
      <c r="E21" s="479" t="s">
        <v>6</v>
      </c>
      <c r="F21" s="1">
        <f t="array" aca="1" ref="F21" ca="1">SUM(  IF($C$12 = "All IT",    IF(F$31:F$47 =$D21,       1,      0),    IF($D$31:$D$47 = $C$12,      IF(F$31:F$47 =$D21,         1,        0),    )  ))</f>
        <v>0</v>
      </c>
      <c r="H21" s="1">
        <f t="array" aca="1" ref="H21" ca="1">SUM(  IF($C$12 = "All IT",    IF(H$31:H$47 =$D21,       1,      0),    IF($D$31:$D$47 = $C$12,      IF(H$31:H$47 =$D21,         1,        0),    )  ))</f>
        <v>0</v>
      </c>
      <c r="J21" s="1">
        <f t="array" aca="1" ref="J21" ca="1">SUM(  IF($C$12 = "All IT",    IF(J$31:J$47 =$D21,       1,      0),    IF($D$31:$D$47 = $C$12,      IF(J$31:J$47 =$D21,         1,        0),    )  ))</f>
        <v>0</v>
      </c>
      <c r="L21" s="1">
        <f t="array" aca="1" ref="L21" ca="1">SUM(  IF($C$12 = "All IT",    IF(L$31:L$47 =$D21,       1,      0),    IF($D$31:$D$47 = $C$12,      IF(L$31:L$47 =$D21,         1,        0),    )  ))</f>
        <v>0</v>
      </c>
      <c r="N21" s="1">
        <f t="array" aca="1" ref="N21" ca="1">SUM(  IF($C$12 = "All IT",    IF(N$31:N$47 =$D21,       1,      0),    IF($D$31:$D$47 = $C$12,      IF(N$31:N$47 =$D21,         1,        0),    )  ))</f>
        <v>0</v>
      </c>
      <c r="P21" s="1">
        <f t="array" aca="1" ref="P21" ca="1">SUM(  IF($C$12 = "All IT",    IF(P$31:P$47 =$D21,       1,      0),    IF($D$31:$D$47 = $C$12,      IF(P$31:P$47 =$D21,         1,        0),    )  ))</f>
        <v>0</v>
      </c>
      <c r="R21" s="1">
        <f t="array" aca="1" ref="R21" ca="1">SUM(  IF($C$12 = "All IT",    IF(R$31:R$47 =$D21,       1,      0),    IF($D$31:$D$47 = $C$12,      IF(R$31:R$47 =$D21,         1,        0),    )  ))</f>
        <v>0</v>
      </c>
      <c r="T21" s="1">
        <f t="array" aca="1" ref="T21" ca="1">SUM(  IF($C$12 = "All IT",    IF(T$31:T$47 =$D21,       1,      0),    IF($D$31:$D$47 = $C$12,      IF(T$31:T$47 =$D21,         1,        0),    )  ))</f>
        <v>0</v>
      </c>
    </row>
    <row r="22" spans="1:23">
      <c r="D22" s="479">
        <v>0</v>
      </c>
      <c r="E22" s="479" t="s">
        <v>19</v>
      </c>
      <c r="F22" s="1">
        <f t="array" aca="1" ref="F22" ca="1">SUM(  IF($C$12 = "All IT",    IF(F$31:F$47 =$D22,       1,      0),    IF($D$31:$D$47 = $C$12,      IF(F$31:F$47 =$D22,         1,        0),    )  ))</f>
        <v>0</v>
      </c>
      <c r="H22" s="1">
        <f t="array" aca="1" ref="H22" ca="1">SUM(  IF($C$12 = "All IT",    IF(H$31:H$47 =$D22,       1,      0),    IF($D$31:$D$47 = $C$12,      IF(H$31:H$47 =$D22,         1,        0),    )  ))</f>
        <v>0</v>
      </c>
      <c r="J22" s="1">
        <f t="array" aca="1" ref="J22" ca="1">SUM(  IF($C$12 = "All IT",    IF(J$31:J$47 =$D22,       1,      0),    IF($D$31:$D$47 = $C$12,      IF(J$31:J$47 =$D22,         1,        0),    )  ))</f>
        <v>0</v>
      </c>
      <c r="L22" s="1">
        <f t="array" aca="1" ref="L22" ca="1">SUM(  IF($C$12 = "All IT",    IF(L$31:L$47 =$D22,       1,      0),    IF($D$31:$D$47 = $C$12,      IF(L$31:L$47 =$D22,         1,        0),    )  ))</f>
        <v>0</v>
      </c>
      <c r="N22" s="1">
        <f t="array" aca="1" ref="N22" ca="1">SUM(  IF($C$12 = "All IT",    IF(N$31:N$47 =$D22,       1,      0),    IF($D$31:$D$47 = $C$12,      IF(N$31:N$47 =$D22,         1,        0),    )  ))</f>
        <v>0</v>
      </c>
      <c r="P22" s="1">
        <f t="array" aca="1" ref="P22" ca="1">SUM(  IF($C$12 = "All IT",    IF(P$31:P$47 =$D22,       1,      0),    IF($D$31:$D$47 = $C$12,      IF(P$31:P$47 =$D22,         1,        0),    )  ))</f>
        <v>0</v>
      </c>
      <c r="R22" s="1">
        <f t="array" aca="1" ref="R22" ca="1">SUM(  IF($C$12 = "All IT",    IF(R$31:R$47 =$D22,       1,      0),    IF($D$31:$D$47 = $C$12,      IF(R$31:R$47 =$D22,         1,        0),    )  ))</f>
        <v>0</v>
      </c>
      <c r="T22" s="1">
        <f t="array" aca="1" ref="T22" ca="1">SUM(  IF($C$12 = "All IT",    IF(T$31:T$47 =$D22,       1,      0),    IF($D$31:$D$47 = $C$12,      IF(T$31:T$47 =$D22,         1,        0),    )  ))</f>
        <v>0</v>
      </c>
    </row>
    <row r="23" spans="1:23">
      <c r="B23" s="479" t="s">
        <v>426</v>
      </c>
      <c r="C23" s="479">
        <f t="array" aca="1" ref="C23" ca="1">IF($C$12="All IT",$C$14-$C$13+1,SUM(IF(INDIRECT("R"&amp;$C$13&amp;"C4:R"&amp;$C$14&amp;"C4",FALSE) = $C$12,1,0)))</f>
        <v>1</v>
      </c>
      <c r="F23" s="1">
        <f ca="1">SUM(F16:F22)</f>
        <v>1</v>
      </c>
      <c r="H23" s="1">
        <f ca="1">SUM(F16:F22)</f>
        <v>1</v>
      </c>
      <c r="J23" s="1">
        <f ca="1">SUM(F16:F22)</f>
        <v>1</v>
      </c>
      <c r="L23" s="1">
        <f ca="1">SUM(F16:F22)</f>
        <v>1</v>
      </c>
      <c r="N23" s="1">
        <f ca="1">SUM(F16:F22)</f>
        <v>1</v>
      </c>
      <c r="P23" s="1">
        <f ca="1">SUM(F16:F22)</f>
        <v>1</v>
      </c>
      <c r="R23" s="1">
        <f ca="1">SUM(F16:F22)</f>
        <v>1</v>
      </c>
      <c r="T23" s="1">
        <f ca="1">SUM(F16:F22)</f>
        <v>1</v>
      </c>
    </row>
    <row r="24" spans="1:23">
      <c r="B24" s="479" t="s">
        <v>1139</v>
      </c>
      <c r="C24" s="37">
        <f>AVERAGE($F24, $H24, $J24, $L24, $N24, $P24, $R24, $T24)</f>
        <v>4.0119178921568626</v>
      </c>
      <c r="E24" s="479" t="s">
        <v>1137</v>
      </c>
      <c r="F24" s="38">
        <f t="array" ref="F24">AVERAGE(IF(F$31:F$47 &lt; 6,  F$31:F$47,  ""  ))</f>
        <v>4.117647058823529</v>
      </c>
      <c r="H24" s="38">
        <f t="array" ref="H24">AVERAGE(IF(H$31:H$47 &lt; 6,  H$31:H$47,  ""  ))</f>
        <v>4.1764705882352944</v>
      </c>
      <c r="J24" s="38">
        <f t="array" ref="J24">AVERAGE(IF(J$31:J$47 &lt; 6,  J$31:J$47,  ""  ))</f>
        <v>3.7058823529411766</v>
      </c>
      <c r="L24" s="38">
        <f t="array" ref="L24">AVERAGE(IF(L$31:L$47 &lt; 6,  L$31:L$47,  ""  ))</f>
        <v>3.625</v>
      </c>
      <c r="N24" s="38">
        <f t="array" ref="N24">AVERAGE(IF(N$31:N$47 &lt; 6,  N$31:N$47,  ""  ))</f>
        <v>4.2</v>
      </c>
      <c r="P24" s="38">
        <f t="array" ref="P24">AVERAGE(IF(P$31:P$47 &lt; 6,  P$31:P$47,  ""  ))</f>
        <v>3.9411764705882355</v>
      </c>
      <c r="R24" s="38">
        <f t="array" ref="R24">AVERAGE(IF(R$31:R$47 &lt; 6,  R$31:R$47,  ""  ))</f>
        <v>4.2666666666666666</v>
      </c>
      <c r="T24" s="38">
        <f t="array" ref="T24">AVERAGE(IF(T$31:T$47 &lt; 6,  T$31:T$47,  ""  ))</f>
        <v>4.0625</v>
      </c>
    </row>
    <row r="25" spans="1:23">
      <c r="B25" s="479" t="s">
        <v>1140</v>
      </c>
      <c r="C25" s="37">
        <f ca="1">AVERAGE($F25, $H25, $J25, $L25, $N25, $P25, $R25, $T25)</f>
        <v>0</v>
      </c>
      <c r="E25" s="479" t="s">
        <v>429</v>
      </c>
      <c r="F25" s="38">
        <f t="array" aca="1" ref="F25" ca="1">STDEVP(  IF($C$12 = "All IT",    IF(F$31:F$47 &lt; 6,       F$31:F$47,       ""    ),    IF($C$12 = $D$31:$D$47,      IF(F$31:F$47 &lt; 6,         F$31:F$47,         ""      )    )  ))</f>
        <v>0</v>
      </c>
      <c r="H25" s="38">
        <f t="array" aca="1" ref="H25" ca="1">STDEVP(  IF($C$12 = "All IT",    IF(H$31:H$47 &lt; 6,       H$31:H$47,       ""    ),    IF($C$12 = $D$31:$D$47,      IF(H$31:H$47 &lt; 6,         H$31:H$47,         ""      )    )  ))</f>
        <v>0</v>
      </c>
      <c r="J25" s="38">
        <f t="array" aca="1" ref="J25" ca="1">STDEVP(  IF($C$12 = "All IT",    IF(J$31:J$47 &lt; 6,       J$31:J$47,       ""    ),    IF($C$12 = $D$31:$D$47,      IF(J$31:J$47 &lt; 6,         J$31:J$47,         ""      )    )  ))</f>
        <v>0</v>
      </c>
      <c r="L25" s="38">
        <f t="array" aca="1" ref="L25" ca="1">STDEVP(  IF($C$12 = "All IT",    IF(L$31:L$47 &lt; 6,       L$31:L$47,       ""    ),    IF($C$12 = $D$31:$D$47,      IF(L$31:L$47 &lt; 6,         L$31:L$47,         ""      )    )  ))</f>
        <v>0</v>
      </c>
      <c r="N25" s="38">
        <f t="array" aca="1" ref="N25" ca="1">STDEVP(  IF($C$12 = "All IT",    IF(N$31:N$47 &lt; 6,       N$31:N$47,       ""    ),    IF($C$12 = $D$31:$D$47,      IF(N$31:N$47 &lt; 6,         N$31:N$47,         ""      )    )  ))</f>
        <v>0</v>
      </c>
      <c r="P25" s="38">
        <f t="array" aca="1" ref="P25" ca="1">STDEVP(  IF($C$12 = "All IT",    IF(P$31:P$47 &lt; 6,       P$31:P$47,       ""    ),    IF($C$12 = $D$31:$D$47,      IF(P$31:P$47 &lt; 6,         P$31:P$47,         ""      )    )  ))</f>
        <v>0</v>
      </c>
      <c r="R25" s="38">
        <f t="array" aca="1" ref="R25" ca="1">STDEVP(  IF($C$12 = "All IT",    IF(R$31:R$47 &lt; 6,       R$31:R$47,       ""    ),    IF($C$12 = $D$31:$D$47,      IF(R$31:R$47 &lt; 6,         R$31:R$47,         ""      )    )  ))</f>
        <v>0</v>
      </c>
      <c r="T25" s="38">
        <f t="array" aca="1" ref="T25" ca="1">STDEVP(  IF($C$12 = "All IT",    IF(T$31:T$47 &lt; 6,       T$31:T$47,       ""    ),    IF($C$12 = $D$31:$D$47,      IF(T$31:T$47 &lt; 6,         T$31:T$47,         ""      )    )  ))</f>
        <v>0</v>
      </c>
    </row>
    <row r="26" spans="1:23">
      <c r="B26" s="479" t="s">
        <v>434</v>
      </c>
      <c r="C26" s="37">
        <f ca="1">AVERAGE($F26, $H26, $J26, $L26, $N26, $P26, $R26, $T26)</f>
        <v>4.75</v>
      </c>
      <c r="E26" s="479" t="s">
        <v>1138</v>
      </c>
      <c r="F26" s="38">
        <f t="array" aca="1" ref="F26" ca="1">AVERAGE(  IF($C$12 = "All IT",    IF(F$31:F$47 &lt; 6,       F$31:F$47,       ""    ),    IF($C$12 = $D$31:$D$47,      IF(F$31:F$47 &lt; 6,         F$31:F$47,         ""      )    )  ))</f>
        <v>5</v>
      </c>
      <c r="H26" s="38">
        <f t="array" aca="1" ref="H26" ca="1">AVERAGE(  IF($C$12 = "All IT",    IF(H$31:H$47 &lt; 6,       H$31:H$47,       ""    ),    IF($C$12 = $D$31:$D$47,      IF(H$31:H$47 &lt; 6,         H$31:H$47,         ""      )    )  ))</f>
        <v>5</v>
      </c>
      <c r="J26" s="38">
        <f t="array" aca="1" ref="J26" ca="1">AVERAGE(  IF($C$12 = "All IT",    IF(J$31:J$47 &lt; 6,       J$31:J$47,       ""    ),    IF($C$12 = $D$31:$D$47,      IF(J$31:J$47 &lt; 6,         J$31:J$47,         ""      )    )  ))</f>
        <v>5</v>
      </c>
      <c r="L26" s="38">
        <f t="array" aca="1" ref="L26" ca="1">AVERAGE(  IF($C$12 = "All IT",    IF(L$31:L$47 &lt; 6,       L$31:L$47,       ""    ),    IF($C$12 = $D$31:$D$47,      IF(L$31:L$47 &lt; 6,         L$31:L$47,         ""      )    )  ))</f>
        <v>5</v>
      </c>
      <c r="N26" s="38">
        <f t="array" aca="1" ref="N26" ca="1">AVERAGE(  IF($C$12 = "All IT",    IF(N$31:N$47 &lt; 6,       N$31:N$47,       ""    ),    IF($C$12 = $D$31:$D$47,      IF(N$31:N$47 &lt; 6,         N$31:N$47,         ""      )    )  ))</f>
        <v>4</v>
      </c>
      <c r="P26" s="38">
        <f t="array" aca="1" ref="P26" ca="1">AVERAGE(  IF($C$12 = "All IT",    IF(P$31:P$47 &lt; 6,       P$31:P$47,       ""    ),    IF($C$12 = $D$31:$D$47,      IF(P$31:P$47 &lt; 6,         P$31:P$47,         ""      )    )  ))</f>
        <v>4</v>
      </c>
      <c r="R26" s="38">
        <f t="array" aca="1" ref="R26" ca="1">AVERAGE(  IF($C$12 = "All IT",    IF(R$31:R$47 &lt; 6,       R$31:R$47,       ""    ),    IF($C$12 = $D$31:$D$47,      IF(R$31:R$47 &lt; 6,         R$31:R$47,         ""      )    )  ))</f>
        <v>5</v>
      </c>
      <c r="T26" s="38">
        <f t="array" aca="1" ref="T26" ca="1">AVERAGE(  IF($C$12 = "All IT",    IF(T$31:T$47 &lt; 6,       T$31:T$47,       ""    ),    IF($C$12 = $D$31:$D$47,      IF(T$31:T$47 &lt; 6,         T$31:T$47,         ""      )    )  ))</f>
        <v>5</v>
      </c>
    </row>
    <row r="27" spans="1:23">
      <c r="E27" s="479" t="s">
        <v>431</v>
      </c>
    </row>
    <row r="28" spans="1:23">
      <c r="E28" s="479" t="s">
        <v>432</v>
      </c>
      <c r="F28" s="645" t="str">
        <f ca="1">LOOKUP(F$30, INDIRECT("'" &amp; $C$6 &amp; "'!" &amp; INDIRECT("'" &amp; $C$6 &amp; "'!" &amp; $C$7)))</f>
        <v>IT helps support my organization and enables my team to more efficiently service PL customers.</v>
      </c>
      <c r="G28" s="645"/>
      <c r="H28" s="645" t="str">
        <f ca="1">LOOKUP(H$30, INDIRECT("'" &amp; $C$6 &amp; "'!" &amp; INDIRECT("'" &amp; $C$6 &amp; "'!" &amp; $C$7)))</f>
        <v>I understand the allocation of IT resources for my area and the projects I am sponsoring.</v>
      </c>
      <c r="I28" s="645"/>
      <c r="J28" s="645" t="str">
        <f ca="1">LOOKUP(J$30, INDIRECT("'" &amp; $C$6 &amp; "'!" &amp; INDIRECT("'" &amp; $C$6 &amp; "'!" &amp; $C$7)))</f>
        <v>I have the influence I need on IT resource allocation.</v>
      </c>
      <c r="K28" s="645"/>
      <c r="L28" s="645" t="str">
        <f ca="1">LOOKUP(L$30, INDIRECT("'" &amp; $C$6 &amp; "'!" &amp; INDIRECT("'" &amp; $C$6 &amp; "'!" &amp; $C$7)))</f>
        <v>I feel the options presented for getting work done (e.g., Staffing, Budget, Scope, Timing, Use of New Technologies) enable me to make decisions.</v>
      </c>
      <c r="M28" s="645"/>
      <c r="N28" s="645" t="str">
        <f ca="1">LOOKUP(N$30, INDIRECT("'" &amp; $C$6 &amp; "'!" &amp; INDIRECT("'" &amp; $C$6 &amp; "'!" &amp; $C$7)))</f>
        <v>IT communicates adequate, clear, timely, and useful information to me.</v>
      </c>
      <c r="O28" s="645"/>
      <c r="P28" s="645" t="str">
        <f ca="1">LOOKUP(P$30, INDIRECT("'" &amp; $C$6 &amp; "'!" &amp; INDIRECT("'" &amp; $C$6 &amp; "'!" &amp; $C$7)))</f>
        <v>I am satisfied with IT staff's support of production applications.</v>
      </c>
      <c r="Q28" s="645"/>
      <c r="R28" s="645" t="str">
        <f ca="1">LOOKUP(R$30, INDIRECT("'" &amp; $C$6 &amp; "'!" &amp; INDIRECT("'" &amp; $C$6 &amp; "'!" &amp; $C$7)))</f>
        <v>Overall, IT is managing their work well (people, issues, resourceful, good work management).</v>
      </c>
      <c r="S28" s="645"/>
      <c r="T28" s="645" t="str">
        <f ca="1">LOOKUP(T$30, INDIRECT("'" &amp; $C$6 &amp; "'!" &amp; INDIRECT("'" &amp; $C$6 &amp; "'!" &amp; $C$7)))</f>
        <v>Overall, I am satisfied when I work with IT.</v>
      </c>
      <c r="U28" s="645"/>
      <c r="V28" s="479" t="str">
        <f ca="1">LOOKUP(V$30, INDIRECT("'" &amp; $C$6 &amp; "'!" &amp; INDIRECT("'" &amp; $C$6 &amp; "'!" &amp; $C$7)))</f>
        <v>Please describe any other expectations of IT that you would like to express.</v>
      </c>
      <c r="W28" s="479" t="str">
        <f ca="1">LOOKUP(W$30, INDIRECT("'" &amp; $C$6 &amp; "'!" &amp; INDIRECT("'" &amp; $C$6 &amp; "'!" &amp; $C$7)))</f>
        <v>Please provide any Additional Comments you have:</v>
      </c>
    </row>
    <row r="29" spans="1:23">
      <c r="E29" s="479" t="s">
        <v>433</v>
      </c>
      <c r="G29" s="1" t="str">
        <f ca="1">LOOKUP(G$30, INDIRECT("'" &amp; $C$6 &amp; "'!" &amp; INDIRECT("'" &amp; $C$6 &amp; "'!" &amp; $C$7)))</f>
        <v>Please describe:</v>
      </c>
      <c r="I29" s="1" t="str">
        <f ca="1">LOOKUP(I$30, INDIRECT("'" &amp; $C$6 &amp; "'!" &amp; INDIRECT("'" &amp; $C$6 &amp; "'!" &amp; $C$7)))</f>
        <v>If you disagree, please describe what would help you:</v>
      </c>
      <c r="K29" s="1" t="str">
        <f ca="1">LOOKUP(K$30, INDIRECT("'" &amp; $C$6 &amp; "'!" &amp; INDIRECT("'" &amp; $C$6 &amp; "'!" &amp; $C$7)))</f>
        <v>If not, please describe:</v>
      </c>
      <c r="M29" s="1" t="str">
        <f ca="1">LOOKUP(M$30, INDIRECT("'" &amp; $C$6 &amp; "'!" &amp; INDIRECT("'" &amp; $C$6 &amp; "'!" &amp; $C$7)))</f>
        <v>If you disagree, please describe what would help you:</v>
      </c>
      <c r="O29" s="1" t="str">
        <f ca="1">LOOKUP(O$30, INDIRECT("'" &amp; $C$6 &amp; "'!" &amp; INDIRECT("'" &amp; $C$6 &amp; "'!" &amp; $C$7)))</f>
        <v>If not, please explain:</v>
      </c>
      <c r="Q29" s="1" t="str">
        <f ca="1">LOOKUP(Q$30, INDIRECT("'" &amp; $C$6 &amp; "'!" &amp; INDIRECT("'" &amp; $C$6 &amp; "'!" &amp; $C$7)))</f>
        <v>If not, please explain:</v>
      </c>
      <c r="S29" s="1" t="str">
        <f ca="1">LOOKUP(S$30, INDIRECT("'" &amp; $C$6 &amp; "'!" &amp; INDIRECT("'" &amp; $C$6 &amp; "'!" &amp; $C$7)))</f>
        <v>If you disagree, please describe what you would like to see changed:</v>
      </c>
      <c r="U29" s="1" t="str">
        <f ca="1">LOOKUP(U$30, INDIRECT("'" &amp; $C$6 &amp; "'!" &amp; INDIRECT("'" &amp; $C$6 &amp; "'!" &amp; $C$7)))</f>
        <v>Please provide any comments:</v>
      </c>
    </row>
    <row r="30" spans="1:23">
      <c r="A30" s="479" t="s">
        <v>195</v>
      </c>
      <c r="B30" s="479" t="s">
        <v>124</v>
      </c>
      <c r="C30" s="479" t="s">
        <v>825</v>
      </c>
      <c r="D30" s="479" t="s">
        <v>29</v>
      </c>
      <c r="E30" s="479" t="s">
        <v>419</v>
      </c>
      <c r="F30" s="1" t="s">
        <v>127</v>
      </c>
      <c r="G30" s="1" t="s">
        <v>129</v>
      </c>
      <c r="H30" s="1" t="s">
        <v>131</v>
      </c>
      <c r="I30" s="1" t="s">
        <v>132</v>
      </c>
      <c r="J30" s="1" t="s">
        <v>134</v>
      </c>
      <c r="K30" s="1" t="s">
        <v>136</v>
      </c>
      <c r="L30" s="1" t="s">
        <v>138</v>
      </c>
      <c r="M30" s="1" t="s">
        <v>139</v>
      </c>
      <c r="N30" s="1" t="s">
        <v>141</v>
      </c>
      <c r="O30" s="1" t="s">
        <v>143</v>
      </c>
      <c r="P30" s="1" t="s">
        <v>145</v>
      </c>
      <c r="Q30" s="1" t="s">
        <v>147</v>
      </c>
      <c r="R30" s="1" t="s">
        <v>149</v>
      </c>
      <c r="S30" s="1" t="s">
        <v>151</v>
      </c>
      <c r="T30" s="1" t="s">
        <v>152</v>
      </c>
      <c r="U30" s="1" t="s">
        <v>154</v>
      </c>
      <c r="V30" s="1" t="s">
        <v>155</v>
      </c>
      <c r="W30" s="1" t="s">
        <v>158</v>
      </c>
    </row>
    <row r="31" spans="1:23" ht="25.5">
      <c r="A31" s="36">
        <v>1</v>
      </c>
      <c r="B31" s="36">
        <v>1</v>
      </c>
      <c r="C31" s="39" t="s">
        <v>895</v>
      </c>
      <c r="D31" s="36" t="s">
        <v>894</v>
      </c>
      <c r="E31" s="36"/>
      <c r="F31" s="39">
        <v>5</v>
      </c>
      <c r="G31" s="39"/>
      <c r="H31" s="39">
        <v>4</v>
      </c>
      <c r="I31" s="39"/>
      <c r="J31" s="39">
        <v>4</v>
      </c>
      <c r="K31" s="39"/>
      <c r="L31" s="39">
        <v>3</v>
      </c>
      <c r="M31" s="39" t="s">
        <v>826</v>
      </c>
      <c r="N31" s="39">
        <v>4</v>
      </c>
      <c r="O31" s="39"/>
      <c r="P31" s="39">
        <v>4</v>
      </c>
      <c r="Q31" s="39"/>
      <c r="R31" s="39">
        <v>4</v>
      </c>
      <c r="S31" s="39"/>
      <c r="T31" s="39">
        <v>4</v>
      </c>
      <c r="U31" s="39"/>
      <c r="V31" s="39" t="s">
        <v>827</v>
      </c>
      <c r="W31" s="39" t="s">
        <v>827</v>
      </c>
    </row>
    <row r="32" spans="1:23" ht="25.5">
      <c r="A32" s="479">
        <v>2</v>
      </c>
      <c r="B32" s="479">
        <v>1</v>
      </c>
      <c r="C32" s="1" t="s">
        <v>883</v>
      </c>
      <c r="D32" s="479" t="str">
        <f t="shared" ref="D32:D43" ca="1" si="4">LOOKUP(E32,INDIRECT(Team_Name_Lookup))</f>
        <v>IT Sales</v>
      </c>
      <c r="E32" s="479">
        <v>8</v>
      </c>
      <c r="F32" s="1">
        <v>4</v>
      </c>
      <c r="H32" s="1">
        <v>4</v>
      </c>
      <c r="I32" s="1" t="s">
        <v>828</v>
      </c>
      <c r="J32" s="1">
        <v>4</v>
      </c>
      <c r="L32" s="1">
        <v>2</v>
      </c>
      <c r="M32" s="1" t="s">
        <v>829</v>
      </c>
      <c r="N32" s="1">
        <v>4</v>
      </c>
      <c r="O32" s="1" t="s">
        <v>830</v>
      </c>
      <c r="P32" s="1">
        <v>4</v>
      </c>
      <c r="R32" s="1">
        <v>5</v>
      </c>
      <c r="S32" s="1" t="s">
        <v>831</v>
      </c>
      <c r="T32" s="1">
        <v>4</v>
      </c>
    </row>
    <row r="33" spans="1:23" ht="25.5">
      <c r="A33" s="479">
        <v>3</v>
      </c>
      <c r="B33" s="479">
        <v>1</v>
      </c>
      <c r="C33" s="1" t="s">
        <v>884</v>
      </c>
      <c r="D33" s="479" t="str">
        <f t="shared" ca="1" si="4"/>
        <v>Product Admin</v>
      </c>
      <c r="E33" s="479">
        <v>10</v>
      </c>
      <c r="F33" s="1">
        <v>4</v>
      </c>
      <c r="H33" s="1">
        <v>4</v>
      </c>
      <c r="I33" s="1" t="s">
        <v>828</v>
      </c>
      <c r="J33" s="1">
        <v>4</v>
      </c>
      <c r="L33" s="1">
        <v>2</v>
      </c>
      <c r="M33" s="1" t="s">
        <v>829</v>
      </c>
      <c r="N33" s="1">
        <v>4</v>
      </c>
      <c r="O33" s="1" t="s">
        <v>830</v>
      </c>
      <c r="P33" s="1">
        <v>4</v>
      </c>
      <c r="Q33" s="1" t="s">
        <v>832</v>
      </c>
      <c r="R33" s="1">
        <v>5</v>
      </c>
      <c r="S33" s="1" t="s">
        <v>831</v>
      </c>
      <c r="T33" s="1">
        <v>4</v>
      </c>
    </row>
    <row r="34" spans="1:23" ht="25.5">
      <c r="A34" s="479">
        <v>4</v>
      </c>
      <c r="B34" s="479">
        <v>1</v>
      </c>
      <c r="C34" s="1" t="s">
        <v>885</v>
      </c>
      <c r="D34" s="479" t="str">
        <f t="shared" ca="1" si="4"/>
        <v>IT Service</v>
      </c>
      <c r="E34" s="479">
        <v>9</v>
      </c>
      <c r="F34" s="1">
        <v>4</v>
      </c>
      <c r="H34" s="1">
        <v>4</v>
      </c>
      <c r="I34" s="1" t="s">
        <v>828</v>
      </c>
      <c r="J34" s="1">
        <v>4</v>
      </c>
      <c r="L34" s="1">
        <v>2</v>
      </c>
      <c r="M34" s="1" t="s">
        <v>829</v>
      </c>
      <c r="N34" s="1">
        <v>4</v>
      </c>
      <c r="O34" s="1" t="s">
        <v>830</v>
      </c>
      <c r="P34" s="1">
        <v>4</v>
      </c>
      <c r="Q34" s="1" t="s">
        <v>832</v>
      </c>
      <c r="R34" s="1">
        <v>5</v>
      </c>
      <c r="S34" s="1" t="s">
        <v>831</v>
      </c>
      <c r="T34" s="1">
        <v>4</v>
      </c>
    </row>
    <row r="35" spans="1:23" ht="38.25">
      <c r="A35" s="479">
        <v>5</v>
      </c>
      <c r="B35" s="479">
        <v>1</v>
      </c>
      <c r="C35" s="479" t="s">
        <v>833</v>
      </c>
      <c r="D35" s="479" t="s">
        <v>57</v>
      </c>
      <c r="F35" s="1">
        <v>4</v>
      </c>
      <c r="H35" s="1">
        <v>5</v>
      </c>
      <c r="J35" s="1">
        <v>4</v>
      </c>
      <c r="L35" s="1">
        <v>4</v>
      </c>
      <c r="N35" s="1">
        <v>5</v>
      </c>
      <c r="P35" s="1">
        <v>4</v>
      </c>
      <c r="R35" s="1">
        <v>4</v>
      </c>
      <c r="T35" s="1">
        <v>4</v>
      </c>
      <c r="U35" s="1" t="s">
        <v>834</v>
      </c>
      <c r="V35" s="1" t="s">
        <v>835</v>
      </c>
      <c r="W35" s="1" t="s">
        <v>836</v>
      </c>
    </row>
    <row r="36" spans="1:23" ht="51">
      <c r="A36" s="479">
        <v>6</v>
      </c>
      <c r="B36" s="479">
        <v>1</v>
      </c>
      <c r="C36" s="1" t="s">
        <v>892</v>
      </c>
      <c r="D36" s="479" t="str">
        <f t="shared" ca="1" si="4"/>
        <v>IT Finance</v>
      </c>
      <c r="E36" s="479">
        <v>4</v>
      </c>
      <c r="F36" s="1">
        <v>4</v>
      </c>
      <c r="G36" s="1" t="s">
        <v>837</v>
      </c>
      <c r="H36" s="1">
        <v>4</v>
      </c>
      <c r="I36" s="1" t="s">
        <v>838</v>
      </c>
      <c r="J36" s="1">
        <v>3</v>
      </c>
      <c r="K36" s="1" t="s">
        <v>839</v>
      </c>
      <c r="L36" s="1">
        <v>4</v>
      </c>
      <c r="N36" s="1">
        <v>4</v>
      </c>
      <c r="P36" s="1">
        <v>4</v>
      </c>
      <c r="R36" s="1">
        <v>4</v>
      </c>
      <c r="T36" s="1">
        <v>4</v>
      </c>
    </row>
    <row r="37" spans="1:23" ht="38.25">
      <c r="A37" s="479">
        <v>7</v>
      </c>
      <c r="B37" s="479">
        <v>1</v>
      </c>
      <c r="C37" s="1" t="s">
        <v>891</v>
      </c>
      <c r="D37" s="479" t="str">
        <f t="shared" ca="1" si="4"/>
        <v>IT Service</v>
      </c>
      <c r="E37" s="479">
        <v>9</v>
      </c>
      <c r="F37" s="1">
        <v>4</v>
      </c>
      <c r="G37" s="1" t="s">
        <v>840</v>
      </c>
      <c r="H37" s="1">
        <v>4</v>
      </c>
      <c r="J37" s="1">
        <v>3</v>
      </c>
      <c r="K37" s="1" t="s">
        <v>841</v>
      </c>
      <c r="L37" s="1">
        <v>4</v>
      </c>
      <c r="N37" s="1">
        <v>4</v>
      </c>
      <c r="O37" s="1" t="s">
        <v>842</v>
      </c>
      <c r="P37" s="1">
        <v>4</v>
      </c>
      <c r="R37" s="1">
        <v>4</v>
      </c>
      <c r="T37" s="1">
        <v>4</v>
      </c>
      <c r="U37" s="1" t="s">
        <v>843</v>
      </c>
    </row>
    <row r="38" spans="1:23" ht="38.25">
      <c r="A38" s="479">
        <v>8</v>
      </c>
      <c r="B38" s="479">
        <v>1</v>
      </c>
      <c r="C38" s="1" t="s">
        <v>890</v>
      </c>
      <c r="D38" s="479" t="str">
        <f t="shared" ca="1" si="4"/>
        <v>IT Service</v>
      </c>
      <c r="E38" s="479">
        <v>9</v>
      </c>
      <c r="F38" s="1">
        <v>4</v>
      </c>
      <c r="H38" s="1">
        <v>5</v>
      </c>
      <c r="J38" s="1">
        <v>4</v>
      </c>
      <c r="K38" s="1" t="s">
        <v>844</v>
      </c>
      <c r="L38" s="1">
        <v>4</v>
      </c>
      <c r="N38" s="1">
        <v>5</v>
      </c>
      <c r="P38" s="1">
        <v>4</v>
      </c>
      <c r="R38" s="1">
        <v>4</v>
      </c>
      <c r="T38" s="1">
        <v>4</v>
      </c>
      <c r="U38" s="1" t="s">
        <v>845</v>
      </c>
      <c r="V38" s="1" t="s">
        <v>846</v>
      </c>
    </row>
    <row r="39" spans="1:23" ht="25.5">
      <c r="A39" s="479">
        <v>9</v>
      </c>
      <c r="B39" s="479">
        <v>1</v>
      </c>
      <c r="C39" s="1" t="s">
        <v>889</v>
      </c>
      <c r="D39" s="479" t="str">
        <f t="shared" ca="1" si="4"/>
        <v>IT Producer</v>
      </c>
      <c r="E39" s="479">
        <v>6</v>
      </c>
      <c r="F39" s="1">
        <v>4</v>
      </c>
      <c r="H39" s="1">
        <v>5</v>
      </c>
      <c r="J39" s="1">
        <v>4</v>
      </c>
      <c r="L39" s="1">
        <v>4</v>
      </c>
      <c r="N39" s="1">
        <v>5</v>
      </c>
      <c r="P39" s="1">
        <v>4</v>
      </c>
      <c r="R39" s="1">
        <v>4</v>
      </c>
      <c r="T39" s="1">
        <v>4</v>
      </c>
    </row>
    <row r="40" spans="1:23" ht="25.5">
      <c r="A40" s="479">
        <v>10</v>
      </c>
      <c r="B40" s="479">
        <v>1</v>
      </c>
      <c r="C40" s="1" t="s">
        <v>893</v>
      </c>
      <c r="D40" s="479" t="str">
        <f t="shared" ca="1" si="4"/>
        <v>Product Admin</v>
      </c>
      <c r="E40" s="479">
        <v>10</v>
      </c>
      <c r="F40" s="1">
        <v>4</v>
      </c>
      <c r="H40" s="1">
        <v>3</v>
      </c>
      <c r="I40" s="1" t="s">
        <v>847</v>
      </c>
      <c r="J40" s="1">
        <v>4</v>
      </c>
      <c r="L40" s="1">
        <v>4</v>
      </c>
      <c r="N40" s="1">
        <v>5</v>
      </c>
      <c r="P40" s="1">
        <v>4</v>
      </c>
      <c r="R40" s="1">
        <v>4</v>
      </c>
      <c r="T40" s="1">
        <v>4</v>
      </c>
    </row>
    <row r="41" spans="1:23" ht="25.5">
      <c r="A41" s="479">
        <v>11</v>
      </c>
      <c r="B41" s="479">
        <v>1</v>
      </c>
      <c r="C41" s="1" t="s">
        <v>886</v>
      </c>
      <c r="D41" s="479" t="str">
        <f t="shared" ca="1" si="4"/>
        <v>eBusiness</v>
      </c>
      <c r="E41" s="479">
        <v>2</v>
      </c>
      <c r="F41" s="1">
        <v>4</v>
      </c>
      <c r="G41" s="1" t="s">
        <v>848</v>
      </c>
      <c r="H41" s="1">
        <v>4</v>
      </c>
      <c r="I41" s="1" t="s">
        <v>849</v>
      </c>
      <c r="J41" s="1">
        <v>3</v>
      </c>
      <c r="L41" s="1">
        <v>3</v>
      </c>
      <c r="N41" s="1">
        <v>6</v>
      </c>
      <c r="P41" s="1">
        <v>4</v>
      </c>
      <c r="Q41" s="1" t="s">
        <v>850</v>
      </c>
      <c r="R41" s="1">
        <v>6</v>
      </c>
      <c r="T41" s="1">
        <v>4</v>
      </c>
    </row>
    <row r="42" spans="1:23" ht="25.5">
      <c r="A42" s="479">
        <v>12</v>
      </c>
      <c r="B42" s="479">
        <v>1</v>
      </c>
      <c r="C42" s="1" t="s">
        <v>887</v>
      </c>
      <c r="D42" s="479" t="str">
        <f t="shared" ca="1" si="4"/>
        <v>Workflow</v>
      </c>
      <c r="E42" s="479">
        <v>11</v>
      </c>
      <c r="F42" s="1">
        <v>4</v>
      </c>
      <c r="G42" s="1" t="s">
        <v>851</v>
      </c>
      <c r="H42" s="1">
        <v>4</v>
      </c>
      <c r="I42" s="1" t="s">
        <v>849</v>
      </c>
      <c r="J42" s="1">
        <v>3</v>
      </c>
      <c r="L42" s="1">
        <v>6</v>
      </c>
      <c r="M42" s="1" t="s">
        <v>852</v>
      </c>
      <c r="N42" s="1">
        <v>6</v>
      </c>
      <c r="P42" s="1">
        <v>4</v>
      </c>
      <c r="Q42" s="1" t="s">
        <v>850</v>
      </c>
      <c r="R42" s="1">
        <v>6</v>
      </c>
      <c r="T42" s="1">
        <v>6</v>
      </c>
    </row>
    <row r="43" spans="1:23" ht="38.25">
      <c r="A43" s="479">
        <v>13</v>
      </c>
      <c r="B43" s="479">
        <v>1</v>
      </c>
      <c r="C43" s="1" t="s">
        <v>888</v>
      </c>
      <c r="D43" s="479" t="str">
        <f t="shared" ca="1" si="4"/>
        <v>IT Service</v>
      </c>
      <c r="E43" s="479">
        <v>9</v>
      </c>
      <c r="F43" s="1">
        <v>4</v>
      </c>
      <c r="H43" s="1">
        <v>4</v>
      </c>
      <c r="I43" s="1" t="s">
        <v>849</v>
      </c>
      <c r="J43" s="1">
        <v>3</v>
      </c>
      <c r="L43" s="1">
        <v>5</v>
      </c>
      <c r="M43" s="1" t="s">
        <v>853</v>
      </c>
      <c r="N43" s="1">
        <v>4</v>
      </c>
      <c r="P43" s="1">
        <v>4</v>
      </c>
      <c r="Q43" s="1" t="s">
        <v>850</v>
      </c>
      <c r="R43" s="1">
        <v>4</v>
      </c>
      <c r="S43" s="1" t="s">
        <v>854</v>
      </c>
      <c r="T43" s="1">
        <v>4</v>
      </c>
    </row>
    <row r="44" spans="1:23" ht="25.5">
      <c r="A44" s="479">
        <v>14</v>
      </c>
      <c r="B44" s="479">
        <v>1</v>
      </c>
      <c r="C44" s="479" t="s">
        <v>855</v>
      </c>
      <c r="D44" s="479" t="s">
        <v>57</v>
      </c>
      <c r="F44" s="1">
        <v>4</v>
      </c>
      <c r="G44" s="1" t="s">
        <v>856</v>
      </c>
      <c r="H44" s="1">
        <v>4</v>
      </c>
      <c r="J44" s="1">
        <v>4</v>
      </c>
      <c r="L44" s="1">
        <v>4</v>
      </c>
      <c r="N44" s="1">
        <v>3</v>
      </c>
      <c r="O44" s="1" t="s">
        <v>857</v>
      </c>
      <c r="P44" s="1">
        <v>3</v>
      </c>
      <c r="Q44" s="1" t="s">
        <v>858</v>
      </c>
      <c r="R44" s="1">
        <v>4</v>
      </c>
      <c r="T44" s="1">
        <v>4</v>
      </c>
    </row>
    <row r="45" spans="1:23" ht="25.5">
      <c r="A45" s="479">
        <v>15</v>
      </c>
      <c r="B45" s="479">
        <v>1</v>
      </c>
      <c r="C45" s="479" t="s">
        <v>859</v>
      </c>
      <c r="D45" s="479" t="s">
        <v>68</v>
      </c>
      <c r="F45" s="1">
        <v>5</v>
      </c>
      <c r="G45" s="1" t="s">
        <v>860</v>
      </c>
      <c r="H45" s="1">
        <v>5</v>
      </c>
      <c r="J45" s="1">
        <v>5</v>
      </c>
      <c r="L45" s="1">
        <v>5</v>
      </c>
      <c r="N45" s="1">
        <v>4</v>
      </c>
      <c r="P45" s="1">
        <v>4</v>
      </c>
      <c r="Q45" s="1" t="s">
        <v>861</v>
      </c>
      <c r="R45" s="1">
        <v>5</v>
      </c>
      <c r="T45" s="1">
        <v>5</v>
      </c>
      <c r="V45" s="1" t="s">
        <v>862</v>
      </c>
      <c r="W45" s="1" t="s">
        <v>863</v>
      </c>
    </row>
    <row r="46" spans="1:23" ht="25.5">
      <c r="A46" s="479">
        <v>16</v>
      </c>
      <c r="B46" s="479">
        <v>1</v>
      </c>
      <c r="C46" s="479" t="s">
        <v>864</v>
      </c>
      <c r="D46" s="479" t="s">
        <v>57</v>
      </c>
      <c r="F46" s="1">
        <v>4</v>
      </c>
      <c r="H46" s="1">
        <v>4</v>
      </c>
      <c r="I46" s="1" t="s">
        <v>865</v>
      </c>
      <c r="J46" s="1">
        <v>3</v>
      </c>
      <c r="K46" s="1" t="s">
        <v>866</v>
      </c>
      <c r="L46" s="1">
        <v>4</v>
      </c>
      <c r="M46" s="1" t="s">
        <v>867</v>
      </c>
      <c r="N46" s="1">
        <v>4</v>
      </c>
      <c r="O46" s="1" t="s">
        <v>868</v>
      </c>
      <c r="P46" s="1">
        <v>4</v>
      </c>
      <c r="Q46" s="1" t="s">
        <v>869</v>
      </c>
      <c r="R46" s="1">
        <v>4</v>
      </c>
      <c r="S46" s="1" t="s">
        <v>870</v>
      </c>
      <c r="T46" s="1">
        <v>4</v>
      </c>
      <c r="U46" s="1" t="s">
        <v>871</v>
      </c>
      <c r="V46" s="1" t="s">
        <v>872</v>
      </c>
    </row>
    <row r="47" spans="1:23" ht="25.5">
      <c r="A47" s="479">
        <v>17</v>
      </c>
      <c r="B47" s="479">
        <v>1</v>
      </c>
      <c r="C47" s="479" t="s">
        <v>873</v>
      </c>
      <c r="D47" s="479" t="s">
        <v>57</v>
      </c>
      <c r="F47" s="1">
        <v>4</v>
      </c>
      <c r="G47" s="1" t="s">
        <v>874</v>
      </c>
      <c r="H47" s="1">
        <v>4</v>
      </c>
      <c r="I47" s="1" t="s">
        <v>875</v>
      </c>
      <c r="J47" s="1">
        <v>4</v>
      </c>
      <c r="K47" s="1" t="s">
        <v>876</v>
      </c>
      <c r="L47" s="1">
        <v>4</v>
      </c>
      <c r="M47" s="1" t="s">
        <v>877</v>
      </c>
      <c r="N47" s="1">
        <v>4</v>
      </c>
      <c r="O47" s="1" t="s">
        <v>878</v>
      </c>
      <c r="P47" s="1">
        <v>4</v>
      </c>
      <c r="Q47" s="1" t="s">
        <v>879</v>
      </c>
      <c r="R47" s="1">
        <v>4</v>
      </c>
      <c r="T47" s="1">
        <v>4</v>
      </c>
      <c r="V47" s="1" t="s">
        <v>880</v>
      </c>
      <c r="W47" s="1" t="s">
        <v>881</v>
      </c>
    </row>
  </sheetData>
  <mergeCells count="8">
    <mergeCell ref="R28:S28"/>
    <mergeCell ref="T28:U28"/>
    <mergeCell ref="F28:G28"/>
    <mergeCell ref="H28:I28"/>
    <mergeCell ref="J28:K28"/>
    <mergeCell ref="L28:M28"/>
    <mergeCell ref="N28:O28"/>
    <mergeCell ref="P28:Q28"/>
  </mergeCells>
  <hyperlinks>
    <hyperlink ref="A1" location="'Table of Contents'!A1" display="Table of Contents"/>
  </hyperlinks>
  <printOptions headings="1" gridLines="1"/>
  <pageMargins left="0.25" right="0.25" top="0.75" bottom="0.75" header="0.3" footer="0.3"/>
  <pageSetup orientation="landscape" r:id="rId1"/>
  <headerFooter>
    <oddFooter>&amp;L&amp;5&amp;Z&amp;F
Created: 9/29/2006 10:44:00 PM
Last Saved: 2/5/2008 9:15:17 PM
Last Printed: 2/5/2008 6:12:16 PM&amp;R&amp;5&amp;P - &amp;N
Title :&lt;Not Set&gt;
Subject: &lt;Not Set&gt;</oddFooter>
  </headerFooter>
  <drawing r:id="rId2"/>
  <tableParts count="1">
    <tablePart r:id="rId3"/>
  </tableParts>
</worksheet>
</file>

<file path=xl/worksheets/sheet13.xml><?xml version="1.0" encoding="utf-8"?>
<worksheet xmlns="http://schemas.openxmlformats.org/spreadsheetml/2006/main" xmlns:r="http://schemas.openxmlformats.org/officeDocument/2006/relationships">
  <sheetPr codeName="Sheet19"/>
  <dimension ref="A1:W47"/>
  <sheetViews>
    <sheetView workbookViewId="0"/>
  </sheetViews>
  <sheetFormatPr defaultRowHeight="12.75"/>
  <cols>
    <col min="1" max="1" width="5.7109375" customWidth="1"/>
    <col min="2" max="2" width="23.140625" customWidth="1"/>
    <col min="3" max="3" width="25.7109375" customWidth="1"/>
    <col min="4" max="5" width="25.7109375" style="480"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3" width="110.7109375" style="1" customWidth="1"/>
  </cols>
  <sheetData>
    <row r="1" spans="1:23">
      <c r="A1" s="5" t="s">
        <v>30</v>
      </c>
      <c r="E1" s="480" t="s">
        <v>121</v>
      </c>
      <c r="F1" s="1">
        <f t="shared" ref="F1:W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110</v>
      </c>
      <c r="W1" s="1">
        <f t="shared" ca="1" si="0"/>
        <v>110</v>
      </c>
    </row>
    <row r="2" spans="1:23">
      <c r="E2" s="480" t="s">
        <v>116</v>
      </c>
      <c r="F2" s="1">
        <f t="shared" ref="F2:W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0</v>
      </c>
      <c r="W2" s="1">
        <f t="shared" ca="1" si="1"/>
        <v>0</v>
      </c>
    </row>
    <row r="3" spans="1:23">
      <c r="E3" s="480" t="s">
        <v>122</v>
      </c>
      <c r="F3" s="1">
        <f t="shared" ref="F3:W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1</v>
      </c>
    </row>
    <row r="4" spans="1:23">
      <c r="B4" s="480" t="s">
        <v>420</v>
      </c>
      <c r="C4" s="480" t="s">
        <v>882</v>
      </c>
      <c r="E4" s="480" t="s">
        <v>427</v>
      </c>
      <c r="F4" s="1">
        <f t="shared" ref="F4:W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0</v>
      </c>
    </row>
    <row r="5" spans="1:23">
      <c r="B5" s="480" t="s">
        <v>23</v>
      </c>
      <c r="C5" t="str">
        <f>Survey_Period</f>
        <v>H2 2006</v>
      </c>
    </row>
    <row r="6" spans="1:23">
      <c r="B6" s="480" t="s">
        <v>422</v>
      </c>
      <c r="C6" t="str">
        <f>$C$4 &amp; " Questions"</f>
        <v>Partner Survey Questions</v>
      </c>
    </row>
    <row r="7" spans="1:23">
      <c r="B7" s="480" t="s">
        <v>32</v>
      </c>
      <c r="C7" t="str">
        <f>Questions_Location</f>
        <v>$B$4</v>
      </c>
    </row>
    <row r="8" spans="1:23">
      <c r="B8" s="480" t="s">
        <v>42</v>
      </c>
      <c r="C8" t="str">
        <f>Row_Width_Location</f>
        <v>$B$5</v>
      </c>
    </row>
    <row r="9" spans="1:23">
      <c r="B9" s="480" t="s">
        <v>61</v>
      </c>
      <c r="C9" t="str">
        <f>Statistics_Location</f>
        <v>$B$6</v>
      </c>
    </row>
    <row r="10" spans="1:23">
      <c r="B10" s="480" t="s">
        <v>62</v>
      </c>
      <c r="C10" t="str">
        <f>Primary_Questions_Location</f>
        <v>$B$7</v>
      </c>
    </row>
    <row r="11" spans="1:23">
      <c r="B11" s="480" t="s">
        <v>423</v>
      </c>
      <c r="C11" t="str">
        <f>FollowUp_Questions_Location</f>
        <v>$B$8</v>
      </c>
    </row>
    <row r="12" spans="1:23">
      <c r="B12" s="480" t="s">
        <v>29</v>
      </c>
      <c r="C12" t="str">
        <f>Team_Name</f>
        <v>Viewpoint</v>
      </c>
    </row>
    <row r="13" spans="1:23">
      <c r="B13" s="480" t="s">
        <v>109</v>
      </c>
      <c r="C13">
        <v>31</v>
      </c>
    </row>
    <row r="14" spans="1:23">
      <c r="B14" s="480" t="s">
        <v>111</v>
      </c>
      <c r="C14">
        <v>47</v>
      </c>
    </row>
    <row r="15" spans="1:23">
      <c r="B15" s="480" t="s">
        <v>110</v>
      </c>
      <c r="C15">
        <v>6</v>
      </c>
    </row>
    <row r="16" spans="1:23">
      <c r="B16" s="480" t="s">
        <v>112</v>
      </c>
      <c r="C16">
        <v>23</v>
      </c>
      <c r="D16" s="480">
        <v>5</v>
      </c>
      <c r="E16" s="480" t="s">
        <v>1</v>
      </c>
      <c r="F16" s="1">
        <f t="array" aca="1" ref="F16" ca="1">SUM(  IF($C$12 = "All IT",    IF(F$31:F$47 =$D16,       1,      0),    IF($D$31:$D$47 = $C$12,      IF(F$31:F$47 =$D16,         1,        0),    )  ))</f>
        <v>1</v>
      </c>
      <c r="H16" s="1">
        <f t="array" aca="1" ref="H16" ca="1">SUM(  IF($C$12 = "All IT",    IF(H$31:H$47 =$D16,       1,      0),    IF($D$31:$D$47 = $C$12,      IF(H$31:H$47 =$D16,         1,        0),    )  ))</f>
        <v>1</v>
      </c>
      <c r="J16" s="1">
        <f t="array" aca="1" ref="J16" ca="1">SUM(  IF($C$12 = "All IT",    IF(J$31:J$47 =$D16,       1,      0),    IF($D$31:$D$47 = $C$12,      IF(J$31:J$47 =$D16,         1,        0),    )  ))</f>
        <v>1</v>
      </c>
      <c r="L16" s="1">
        <f t="array" aca="1" ref="L16" ca="1">SUM(  IF($C$12 = "All IT",    IF(L$31:L$47 =$D16,       1,      0),    IF($D$31:$D$47 = $C$12,      IF(L$31:L$47 =$D16,         1,        0),    )  ))</f>
        <v>1</v>
      </c>
      <c r="N16" s="1">
        <f t="array" aca="1" ref="N16" ca="1">SUM(  IF($C$12 = "All IT",    IF(N$31:N$47 =$D16,       1,      0),    IF($D$31:$D$47 = $C$12,      IF(N$31:N$47 =$D16,         1,        0),    )  ))</f>
        <v>0</v>
      </c>
      <c r="P16" s="1">
        <f t="array" aca="1" ref="P16" ca="1">SUM(  IF($C$12 = "All IT",    IF(P$31:P$47 =$D16,       1,      0),    IF($D$31:$D$47 = $C$12,      IF(P$31:P$47 =$D16,         1,        0),    )  ))</f>
        <v>0</v>
      </c>
      <c r="R16" s="1">
        <f t="array" aca="1" ref="R16" ca="1">SUM(  IF($C$12 = "All IT",    IF(R$31:R$47 =$D16,       1,      0),    IF($D$31:$D$47 = $C$12,      IF(R$31:R$47 =$D16,         1,        0),    )  ))</f>
        <v>1</v>
      </c>
      <c r="T16" s="1">
        <f t="array" aca="1" ref="T16" ca="1">SUM(  IF($C$12 = "All IT",    IF(T$31:T$47 =$D16,       1,      0),    IF($D$31:$D$47 = $C$12,      IF(T$31:T$47 =$D16,         1,        0),    )  ))</f>
        <v>1</v>
      </c>
    </row>
    <row r="17" spans="1:23">
      <c r="A17">
        <f ca="1">SUM($F$2:$W$2)</f>
        <v>8</v>
      </c>
      <c r="B17" s="480" t="s">
        <v>424</v>
      </c>
      <c r="C17">
        <f ca="1">A17</f>
        <v>8</v>
      </c>
      <c r="D17" s="480">
        <v>4</v>
      </c>
      <c r="E17" s="480" t="s">
        <v>2</v>
      </c>
      <c r="F17" s="1">
        <f t="array" aca="1" ref="F17" ca="1">SUM(  IF($C$12 = "All IT",    IF(F$31:F$47 =$D17,       1,      0),    IF($D$31:$D$47 = $C$12,      IF(F$31:F$47 =$D17,         1,        0),    )  ))</f>
        <v>0</v>
      </c>
      <c r="H17" s="1">
        <f t="array" aca="1" ref="H17" ca="1">SUM(  IF($C$12 = "All IT",    IF(H$31:H$47 =$D17,       1,      0),    IF($D$31:$D$47 = $C$12,      IF(H$31:H$47 =$D17,         1,        0),    )  ))</f>
        <v>0</v>
      </c>
      <c r="J17" s="1">
        <f t="array" aca="1" ref="J17" ca="1">SUM(  IF($C$12 = "All IT",    IF(J$31:J$47 =$D17,       1,      0),    IF($D$31:$D$47 = $C$12,      IF(J$31:J$47 =$D17,         1,        0),    )  ))</f>
        <v>0</v>
      </c>
      <c r="L17" s="1">
        <f t="array" aca="1" ref="L17" ca="1">SUM(  IF($C$12 = "All IT",    IF(L$31:L$47 =$D17,       1,      0),    IF($D$31:$D$47 = $C$12,      IF(L$31:L$47 =$D17,         1,        0),    )  ))</f>
        <v>0</v>
      </c>
      <c r="N17" s="1">
        <f t="array" aca="1" ref="N17" ca="1">SUM(  IF($C$12 = "All IT",    IF(N$31:N$47 =$D17,       1,      0),    IF($D$31:$D$47 = $C$12,      IF(N$31:N$47 =$D17,         1,        0),    )  ))</f>
        <v>1</v>
      </c>
      <c r="P17" s="1">
        <f t="array" aca="1" ref="P17" ca="1">SUM(  IF($C$12 = "All IT",    IF(P$31:P$47 =$D17,       1,      0),    IF($D$31:$D$47 = $C$12,      IF(P$31:P$47 =$D17,         1,        0),    )  ))</f>
        <v>1</v>
      </c>
      <c r="R17" s="1">
        <f t="array" aca="1" ref="R17" ca="1">SUM(  IF($C$12 = "All IT",    IF(R$31:R$47 =$D17,       1,      0),    IF($D$31:$D$47 = $C$12,      IF(R$31:R$47 =$D17,         1,        0),    )  ))</f>
        <v>0</v>
      </c>
      <c r="T17" s="1">
        <f t="array" aca="1" ref="T17" ca="1">SUM(  IF($C$12 = "All IT",    IF(T$31:T$47 =$D17,       1,      0),    IF($D$31:$D$47 = $C$12,      IF(T$31:T$47 =$D17,         1,        0),    )  ))</f>
        <v>0</v>
      </c>
    </row>
    <row r="18" spans="1:23">
      <c r="A18">
        <f ca="1">SUM($F$3:$W$3)</f>
        <v>10</v>
      </c>
      <c r="B18" s="480" t="s">
        <v>425</v>
      </c>
      <c r="C18">
        <f ca="1">A18</f>
        <v>10</v>
      </c>
      <c r="D18" s="480">
        <v>3</v>
      </c>
      <c r="E18" s="480" t="s">
        <v>3</v>
      </c>
      <c r="F18" s="1">
        <f t="array" aca="1" ref="F18" ca="1">SUM(  IF($C$12 = "All IT",    IF(F$31:F$47 =$D18,       1,      0),    IF($D$31:$D$47 = $C$12,      IF(F$31:F$47 =$D18,         1,        0),    )  ))</f>
        <v>0</v>
      </c>
      <c r="H18" s="1">
        <f t="array" aca="1" ref="H18" ca="1">SUM(  IF($C$12 = "All IT",    IF(H$31:H$47 =$D18,       1,      0),    IF($D$31:$D$47 = $C$12,      IF(H$31:H$47 =$D18,         1,        0),    )  ))</f>
        <v>0</v>
      </c>
      <c r="J18" s="1">
        <f t="array" aca="1" ref="J18" ca="1">SUM(  IF($C$12 = "All IT",    IF(J$31:J$47 =$D18,       1,      0),    IF($D$31:$D$47 = $C$12,      IF(J$31:J$47 =$D18,         1,        0),    )  ))</f>
        <v>0</v>
      </c>
      <c r="L18" s="1">
        <f t="array" aca="1" ref="L18" ca="1">SUM(  IF($C$12 = "All IT",    IF(L$31:L$47 =$D18,       1,      0),    IF($D$31:$D$47 = $C$12,      IF(L$31:L$47 =$D18,         1,        0),    )  ))</f>
        <v>0</v>
      </c>
      <c r="N18" s="1">
        <f t="array" aca="1" ref="N18" ca="1">SUM(  IF($C$12 = "All IT",    IF(N$31:N$47 =$D18,       1,      0),    IF($D$31:$D$47 = $C$12,      IF(N$31:N$47 =$D18,         1,        0),    )  ))</f>
        <v>0</v>
      </c>
      <c r="P18" s="1">
        <f t="array" aca="1" ref="P18" ca="1">SUM(  IF($C$12 = "All IT",    IF(P$31:P$47 =$D18,       1,      0),    IF($D$31:$D$47 = $C$12,      IF(P$31:P$47 =$D18,         1,        0),    )  ))</f>
        <v>0</v>
      </c>
      <c r="R18" s="1">
        <f t="array" aca="1" ref="R18" ca="1">SUM(  IF($C$12 = "All IT",    IF(R$31:R$47 =$D18,       1,      0),    IF($D$31:$D$47 = $C$12,      IF(R$31:R$47 =$D18,         1,        0),    )  ))</f>
        <v>0</v>
      </c>
      <c r="T18" s="1">
        <f t="array" aca="1" ref="T18" ca="1">SUM(  IF($C$12 = "All IT",    IF(T$31:T$47 =$D18,       1,      0),    IF($D$31:$D$47 = $C$12,      IF(T$31:T$47 =$D18,         1,        0),    )  ))</f>
        <v>0</v>
      </c>
    </row>
    <row r="19" spans="1:23">
      <c r="D19" s="480">
        <v>2</v>
      </c>
      <c r="E19" s="480" t="s">
        <v>4</v>
      </c>
      <c r="F19" s="1">
        <f t="array" aca="1" ref="F19" ca="1">SUM(  IF($C$12 = "All IT",    IF(F$31:F$47 =$D19,       1,      0),    IF($D$31:$D$47 = $C$12,      IF(F$31:F$47 =$D19,         1,        0),    )  ))</f>
        <v>0</v>
      </c>
      <c r="H19" s="1">
        <f t="array" aca="1" ref="H19" ca="1">SUM(  IF($C$12 = "All IT",    IF(H$31:H$47 =$D19,       1,      0),    IF($D$31:$D$47 = $C$12,      IF(H$31:H$47 =$D19,         1,        0),    )  ))</f>
        <v>0</v>
      </c>
      <c r="J19" s="1">
        <f t="array" aca="1" ref="J19" ca="1">SUM(  IF($C$12 = "All IT",    IF(J$31:J$47 =$D19,       1,      0),    IF($D$31:$D$47 = $C$12,      IF(J$31:J$47 =$D19,         1,        0),    )  ))</f>
        <v>0</v>
      </c>
      <c r="L19" s="1">
        <f t="array" aca="1" ref="L19" ca="1">SUM(  IF($C$12 = "All IT",    IF(L$31:L$47 =$D19,       1,      0),    IF($D$31:$D$47 = $C$12,      IF(L$31:L$47 =$D19,         1,        0),    )  ))</f>
        <v>0</v>
      </c>
      <c r="N19" s="1">
        <f t="array" aca="1" ref="N19" ca="1">SUM(  IF($C$12 = "All IT",    IF(N$31:N$47 =$D19,       1,      0),    IF($D$31:$D$47 = $C$12,      IF(N$31:N$47 =$D19,         1,        0),    )  ))</f>
        <v>0</v>
      </c>
      <c r="P19" s="1">
        <f t="array" aca="1" ref="P19" ca="1">SUM(  IF($C$12 = "All IT",    IF(P$31:P$47 =$D19,       1,      0),    IF($D$31:$D$47 = $C$12,      IF(P$31:P$47 =$D19,         1,        0),    )  ))</f>
        <v>0</v>
      </c>
      <c r="R19" s="1">
        <f t="array" aca="1" ref="R19" ca="1">SUM(  IF($C$12 = "All IT",    IF(R$31:R$47 =$D19,       1,      0),    IF($D$31:$D$47 = $C$12,      IF(R$31:R$47 =$D19,         1,        0),    )  ))</f>
        <v>0</v>
      </c>
      <c r="T19" s="1">
        <f t="array" aca="1" ref="T19" ca="1">SUM(  IF($C$12 = "All IT",    IF(T$31:T$47 =$D19,       1,      0),    IF($D$31:$D$47 = $C$12,      IF(T$31:T$47 =$D19,         1,        0),    )  ))</f>
        <v>0</v>
      </c>
    </row>
    <row r="20" spans="1:23">
      <c r="D20" s="480">
        <v>1</v>
      </c>
      <c r="E20" s="480" t="s">
        <v>428</v>
      </c>
      <c r="F20" s="1">
        <f t="array" aca="1" ref="F20" ca="1">SUM(  IF($C$12 = "All IT",    IF(F$31:F$47 =$D20,       1,      0),    IF($D$31:$D$47 = $C$12,      IF(F$31:F$47 =$D20,         1,        0),    )  ))</f>
        <v>0</v>
      </c>
      <c r="H20" s="1">
        <f t="array" aca="1" ref="H20" ca="1">SUM(  IF($C$12 = "All IT",    IF(H$31:H$47 =$D20,       1,      0),    IF($D$31:$D$47 = $C$12,      IF(H$31:H$47 =$D20,         1,        0),    )  ))</f>
        <v>0</v>
      </c>
      <c r="J20" s="1">
        <f t="array" aca="1" ref="J20" ca="1">SUM(  IF($C$12 = "All IT",    IF(J$31:J$47 =$D20,       1,      0),    IF($D$31:$D$47 = $C$12,      IF(J$31:J$47 =$D20,         1,        0),    )  ))</f>
        <v>0</v>
      </c>
      <c r="L20" s="1">
        <f t="array" aca="1" ref="L20" ca="1">SUM(  IF($C$12 = "All IT",    IF(L$31:L$47 =$D20,       1,      0),    IF($D$31:$D$47 = $C$12,      IF(L$31:L$47 =$D20,         1,        0),    )  ))</f>
        <v>0</v>
      </c>
      <c r="N20" s="1">
        <f t="array" aca="1" ref="N20" ca="1">SUM(  IF($C$12 = "All IT",    IF(N$31:N$47 =$D20,       1,      0),    IF($D$31:$D$47 = $C$12,      IF(N$31:N$47 =$D20,         1,        0),    )  ))</f>
        <v>0</v>
      </c>
      <c r="P20" s="1">
        <f t="array" aca="1" ref="P20" ca="1">SUM(  IF($C$12 = "All IT",    IF(P$31:P$47 =$D20,       1,      0),    IF($D$31:$D$47 = $C$12,      IF(P$31:P$47 =$D20,         1,        0),    )  ))</f>
        <v>0</v>
      </c>
      <c r="R20" s="1">
        <f t="array" aca="1" ref="R20" ca="1">SUM(  IF($C$12 = "All IT",    IF(R$31:R$47 =$D20,       1,      0),    IF($D$31:$D$47 = $C$12,      IF(R$31:R$47 =$D20,         1,        0),    )  ))</f>
        <v>0</v>
      </c>
      <c r="T20" s="1">
        <f t="array" aca="1" ref="T20" ca="1">SUM(  IF($C$12 = "All IT",    IF(T$31:T$47 =$D20,       1,      0),    IF($D$31:$D$47 = $C$12,      IF(T$31:T$47 =$D20,         1,        0),    )  ))</f>
        <v>0</v>
      </c>
    </row>
    <row r="21" spans="1:23">
      <c r="D21" s="480">
        <v>6</v>
      </c>
      <c r="E21" s="480" t="s">
        <v>6</v>
      </c>
      <c r="F21" s="1">
        <f t="array" aca="1" ref="F21" ca="1">SUM(  IF($C$12 = "All IT",    IF(F$31:F$47 =$D21,       1,      0),    IF($D$31:$D$47 = $C$12,      IF(F$31:F$47 =$D21,         1,        0),    )  ))</f>
        <v>0</v>
      </c>
      <c r="H21" s="1">
        <f t="array" aca="1" ref="H21" ca="1">SUM(  IF($C$12 = "All IT",    IF(H$31:H$47 =$D21,       1,      0),    IF($D$31:$D$47 = $C$12,      IF(H$31:H$47 =$D21,         1,        0),    )  ))</f>
        <v>0</v>
      </c>
      <c r="J21" s="1">
        <f t="array" aca="1" ref="J21" ca="1">SUM(  IF($C$12 = "All IT",    IF(J$31:J$47 =$D21,       1,      0),    IF($D$31:$D$47 = $C$12,      IF(J$31:J$47 =$D21,         1,        0),    )  ))</f>
        <v>0</v>
      </c>
      <c r="L21" s="1">
        <f t="array" aca="1" ref="L21" ca="1">SUM(  IF($C$12 = "All IT",    IF(L$31:L$47 =$D21,       1,      0),    IF($D$31:$D$47 = $C$12,      IF(L$31:L$47 =$D21,         1,        0),    )  ))</f>
        <v>0</v>
      </c>
      <c r="N21" s="1">
        <f t="array" aca="1" ref="N21" ca="1">SUM(  IF($C$12 = "All IT",    IF(N$31:N$47 =$D21,       1,      0),    IF($D$31:$D$47 = $C$12,      IF(N$31:N$47 =$D21,         1,        0),    )  ))</f>
        <v>0</v>
      </c>
      <c r="P21" s="1">
        <f t="array" aca="1" ref="P21" ca="1">SUM(  IF($C$12 = "All IT",    IF(P$31:P$47 =$D21,       1,      0),    IF($D$31:$D$47 = $C$12,      IF(P$31:P$47 =$D21,         1,        0),    )  ))</f>
        <v>0</v>
      </c>
      <c r="R21" s="1">
        <f t="array" aca="1" ref="R21" ca="1">SUM(  IF($C$12 = "All IT",    IF(R$31:R$47 =$D21,       1,      0),    IF($D$31:$D$47 = $C$12,      IF(R$31:R$47 =$D21,         1,        0),    )  ))</f>
        <v>0</v>
      </c>
      <c r="T21" s="1">
        <f t="array" aca="1" ref="T21" ca="1">SUM(  IF($C$12 = "All IT",    IF(T$31:T$47 =$D21,       1,      0),    IF($D$31:$D$47 = $C$12,      IF(T$31:T$47 =$D21,         1,        0),    )  ))</f>
        <v>0</v>
      </c>
    </row>
    <row r="22" spans="1:23">
      <c r="D22" s="480">
        <v>0</v>
      </c>
      <c r="E22" s="480" t="s">
        <v>19</v>
      </c>
      <c r="F22" s="1">
        <f t="array" aca="1" ref="F22" ca="1">SUM(  IF($C$12 = "All IT",    IF(F$31:F$47 =$D22,       1,      0),    IF($D$31:$D$47 = $C$12,      IF(F$31:F$47 =$D22,         1,        0),    )  ))</f>
        <v>0</v>
      </c>
      <c r="H22" s="1">
        <f t="array" aca="1" ref="H22" ca="1">SUM(  IF($C$12 = "All IT",    IF(H$31:H$47 =$D22,       1,      0),    IF($D$31:$D$47 = $C$12,      IF(H$31:H$47 =$D22,         1,        0),    )  ))</f>
        <v>0</v>
      </c>
      <c r="J22" s="1">
        <f t="array" aca="1" ref="J22" ca="1">SUM(  IF($C$12 = "All IT",    IF(J$31:J$47 =$D22,       1,      0),    IF($D$31:$D$47 = $C$12,      IF(J$31:J$47 =$D22,         1,        0),    )  ))</f>
        <v>0</v>
      </c>
      <c r="L22" s="1">
        <f t="array" aca="1" ref="L22" ca="1">SUM(  IF($C$12 = "All IT",    IF(L$31:L$47 =$D22,       1,      0),    IF($D$31:$D$47 = $C$12,      IF(L$31:L$47 =$D22,         1,        0),    )  ))</f>
        <v>0</v>
      </c>
      <c r="N22" s="1">
        <f t="array" aca="1" ref="N22" ca="1">SUM(  IF($C$12 = "All IT",    IF(N$31:N$47 =$D22,       1,      0),    IF($D$31:$D$47 = $C$12,      IF(N$31:N$47 =$D22,         1,        0),    )  ))</f>
        <v>0</v>
      </c>
      <c r="P22" s="1">
        <f t="array" aca="1" ref="P22" ca="1">SUM(  IF($C$12 = "All IT",    IF(P$31:P$47 =$D22,       1,      0),    IF($D$31:$D$47 = $C$12,      IF(P$31:P$47 =$D22,         1,        0),    )  ))</f>
        <v>0</v>
      </c>
      <c r="R22" s="1">
        <f t="array" aca="1" ref="R22" ca="1">SUM(  IF($C$12 = "All IT",    IF(R$31:R$47 =$D22,       1,      0),    IF($D$31:$D$47 = $C$12,      IF(R$31:R$47 =$D22,         1,        0),    )  ))</f>
        <v>0</v>
      </c>
      <c r="T22" s="1">
        <f t="array" aca="1" ref="T22" ca="1">SUM(  IF($C$12 = "All IT",    IF(T$31:T$47 =$D22,       1,      0),    IF($D$31:$D$47 = $C$12,      IF(T$31:T$47 =$D22,         1,        0),    )  ))</f>
        <v>0</v>
      </c>
    </row>
    <row r="23" spans="1:23">
      <c r="B23" s="480" t="s">
        <v>426</v>
      </c>
      <c r="C23">
        <f t="array" aca="1" ref="C23" ca="1">IF($C$12="All IT",$C$14-$C$13+1,SUM(IF(INDIRECT("R"&amp;$C$13&amp;"C4:R"&amp;$C$14&amp;"C4",FALSE) = $C$12,1,0)))</f>
        <v>1</v>
      </c>
      <c r="F23" s="1">
        <f ca="1">SUM(F16:F22)</f>
        <v>1</v>
      </c>
      <c r="H23" s="1">
        <f ca="1">SUM(F16:F22)</f>
        <v>1</v>
      </c>
      <c r="J23" s="1">
        <f ca="1">SUM(F16:F22)</f>
        <v>1</v>
      </c>
      <c r="L23" s="1">
        <f ca="1">SUM(F16:F22)</f>
        <v>1</v>
      </c>
      <c r="N23" s="1">
        <f ca="1">SUM(F16:F22)</f>
        <v>1</v>
      </c>
      <c r="P23" s="1">
        <f ca="1">SUM(F16:F22)</f>
        <v>1</v>
      </c>
      <c r="R23" s="1">
        <f ca="1">SUM(F16:F22)</f>
        <v>1</v>
      </c>
      <c r="T23" s="1">
        <f ca="1">SUM(F16:F22)</f>
        <v>1</v>
      </c>
    </row>
    <row r="24" spans="1:23">
      <c r="B24" s="480" t="s">
        <v>1139</v>
      </c>
      <c r="C24" s="37">
        <f>AVERAGE($F24, $H24, $J24, $L24, $N24, $P24, $R24, $T24)</f>
        <v>4.0119178921568626</v>
      </c>
      <c r="E24" s="480" t="s">
        <v>1137</v>
      </c>
      <c r="F24" s="38">
        <f t="array" ref="F24">AVERAGE(   IF(F$31:F$47 &lt; 6,       F$31:F$47,       ""    ))</f>
        <v>4.117647058823529</v>
      </c>
      <c r="H24" s="38">
        <f t="array" ref="H24">AVERAGE(   IF(H$31:H$47 &lt; 6,       H$31:H$47,       ""    ))</f>
        <v>4.1764705882352944</v>
      </c>
      <c r="J24" s="38">
        <f t="array" ref="J24">AVERAGE(   IF(J$31:J$47 &lt; 6,       J$31:J$47,       ""    ))</f>
        <v>3.7058823529411766</v>
      </c>
      <c r="L24" s="38">
        <f t="array" ref="L24">AVERAGE(   IF(L$31:L$47 &lt; 6,       L$31:L$47,       ""    ))</f>
        <v>3.625</v>
      </c>
      <c r="N24" s="38">
        <f t="array" ref="N24">AVERAGE(   IF(N$31:N$47 &lt; 6,       N$31:N$47,       ""    ))</f>
        <v>4.2</v>
      </c>
      <c r="P24" s="38">
        <f t="array" ref="P24">AVERAGE(   IF(P$31:P$47 &lt; 6,       P$31:P$47,       ""    ))</f>
        <v>3.9411764705882355</v>
      </c>
      <c r="R24" s="38">
        <f t="array" ref="R24">AVERAGE(   IF(R$31:R$47 &lt; 6,       R$31:R$47,       ""    ))</f>
        <v>4.2666666666666666</v>
      </c>
      <c r="T24" s="38">
        <f t="array" ref="T24">AVERAGE(   IF(T$31:T$47 &lt; 6,       T$31:T$47,       ""    ))</f>
        <v>4.0625</v>
      </c>
    </row>
    <row r="25" spans="1:23">
      <c r="B25" s="480" t="s">
        <v>1140</v>
      </c>
      <c r="C25" s="37">
        <f ca="1">AVERAGE($F25, $H25, $J25, $L25, $N25, $P25, $R25, $T25)</f>
        <v>0</v>
      </c>
      <c r="E25" s="480" t="s">
        <v>429</v>
      </c>
      <c r="F25" s="38">
        <f t="array" aca="1" ref="F25" ca="1">STDEVP(  IF($C$12 = "All IT",    IF(F$31:F$47 &lt; 6,       F$31:F$47,       ""    ),    IF($C$12 = $D$31:$D$47,      IF(F$31:F$47 &lt; 6,         F$31:F$47,         ""      )    )  ))</f>
        <v>0</v>
      </c>
      <c r="H25" s="38">
        <f t="array" aca="1" ref="H25" ca="1">STDEVP(  IF($C$12 = "All IT",    IF(H$31:H$47 &lt; 6,       H$31:H$47,       ""    ),    IF($C$12 = $D$31:$D$47,      IF(H$31:H$47 &lt; 6,         H$31:H$47,         ""      )    )  ))</f>
        <v>0</v>
      </c>
      <c r="J25" s="38">
        <f t="array" aca="1" ref="J25" ca="1">STDEVP(  IF($C$12 = "All IT",    IF(J$31:J$47 &lt; 6,       J$31:J$47,       ""    ),    IF($C$12 = $D$31:$D$47,      IF(J$31:J$47 &lt; 6,         J$31:J$47,         ""      )    )  ))</f>
        <v>0</v>
      </c>
      <c r="L25" s="38">
        <f t="array" aca="1" ref="L25" ca="1">STDEVP(  IF($C$12 = "All IT",    IF(L$31:L$47 &lt; 6,       L$31:L$47,       ""    ),    IF($C$12 = $D$31:$D$47,      IF(L$31:L$47 &lt; 6,         L$31:L$47,         ""      )    )  ))</f>
        <v>0</v>
      </c>
      <c r="N25" s="38">
        <f t="array" aca="1" ref="N25" ca="1">STDEVP(  IF($C$12 = "All IT",    IF(N$31:N$47 &lt; 6,       N$31:N$47,       ""    ),    IF($C$12 = $D$31:$D$47,      IF(N$31:N$47 &lt; 6,         N$31:N$47,         ""      )    )  ))</f>
        <v>0</v>
      </c>
      <c r="P25" s="38">
        <f t="array" aca="1" ref="P25" ca="1">STDEVP(  IF($C$12 = "All IT",    IF(P$31:P$47 &lt; 6,       P$31:P$47,       ""    ),    IF($C$12 = $D$31:$D$47,      IF(P$31:P$47 &lt; 6,         P$31:P$47,         ""      )    )  ))</f>
        <v>0</v>
      </c>
      <c r="R25" s="38">
        <f t="array" aca="1" ref="R25" ca="1">STDEVP(  IF($C$12 = "All IT",    IF(R$31:R$47 &lt; 6,       R$31:R$47,       ""    ),    IF($C$12 = $D$31:$D$47,      IF(R$31:R$47 &lt; 6,         R$31:R$47,         ""      )    )  ))</f>
        <v>0</v>
      </c>
      <c r="T25" s="38">
        <f t="array" aca="1" ref="T25" ca="1">STDEVP(  IF($C$12 = "All IT",    IF(T$31:T$47 &lt; 6,       T$31:T$47,       ""    ),    IF($C$12 = $D$31:$D$47,      IF(T$31:T$47 &lt; 6,         T$31:T$47,         ""      )    )  ))</f>
        <v>0</v>
      </c>
    </row>
    <row r="26" spans="1:23">
      <c r="B26" s="480" t="s">
        <v>1155</v>
      </c>
      <c r="C26" s="37">
        <f ca="1">AVERAGE($F26, $H26, $J26, $L26, $N26, $P26, $R26, $T26)</f>
        <v>4.75</v>
      </c>
      <c r="E26" s="480" t="s">
        <v>1138</v>
      </c>
      <c r="F26" s="38">
        <f t="array" aca="1" ref="F26" ca="1">AVERAGE(  IF($C$12 = "All IT",    IF(F$31:F$47 &lt; 6,       F$31:F$47,       ""    ),    IF($C$12 = $D$31:$D$47,      IF(F$31:F$47 &lt; 6,         F$31:F$47,         ""      )    )  ))</f>
        <v>5</v>
      </c>
      <c r="H26" s="38">
        <f t="array" aca="1" ref="H26" ca="1">AVERAGE(  IF($C$12 = "All IT",    IF(H$31:H$47 &lt; 6,       H$31:H$47,       ""    ),    IF($C$12 = $D$31:$D$47,      IF(H$31:H$47 &lt; 6,         H$31:H$47,         ""      )    )  ))</f>
        <v>5</v>
      </c>
      <c r="J26" s="38">
        <f t="array" aca="1" ref="J26" ca="1">AVERAGE(  IF($C$12 = "All IT",    IF(J$31:J$47 &lt; 6,       J$31:J$47,       ""    ),    IF($C$12 = $D$31:$D$47,      IF(J$31:J$47 &lt; 6,         J$31:J$47,         ""      )    )  ))</f>
        <v>5</v>
      </c>
      <c r="L26" s="38">
        <f t="array" aca="1" ref="L26" ca="1">AVERAGE(  IF($C$12 = "All IT",    IF(L$31:L$47 &lt; 6,       L$31:L$47,       ""    ),    IF($C$12 = $D$31:$D$47,      IF(L$31:L$47 &lt; 6,         L$31:L$47,         ""      )    )  ))</f>
        <v>5</v>
      </c>
      <c r="N26" s="38">
        <f t="array" aca="1" ref="N26" ca="1">AVERAGE(  IF($C$12 = "All IT",    IF(N$31:N$47 &lt; 6,       N$31:N$47,       ""    ),    IF($C$12 = $D$31:$D$47,      IF(N$31:N$47 &lt; 6,         N$31:N$47,         ""      )    )  ))</f>
        <v>4</v>
      </c>
      <c r="P26" s="38">
        <f t="array" aca="1" ref="P26" ca="1">AVERAGE(  IF($C$12 = "All IT",    IF(P$31:P$47 &lt; 6,       P$31:P$47,       ""    ),    IF($C$12 = $D$31:$D$47,      IF(P$31:P$47 &lt; 6,         P$31:P$47,         ""      )    )  ))</f>
        <v>4</v>
      </c>
      <c r="R26" s="38">
        <f t="array" aca="1" ref="R26" ca="1">AVERAGE(  IF($C$12 = "All IT",    IF(R$31:R$47 &lt; 6,       R$31:R$47,       ""    ),    IF($C$12 = $D$31:$D$47,      IF(R$31:R$47 &lt; 6,         R$31:R$47,         ""      )    )  ))</f>
        <v>5</v>
      </c>
      <c r="T26" s="38">
        <f t="array" aca="1" ref="T26" ca="1">AVERAGE(  IF($C$12 = "All IT",    IF(T$31:T$47 &lt; 6,       T$31:T$47,       ""    ),    IF($C$12 = $D$31:$D$47,      IF(T$31:T$47 &lt; 6,         T$31:T$47,         ""      )    )  ))</f>
        <v>5</v>
      </c>
    </row>
    <row r="27" spans="1:23">
      <c r="E27" s="480" t="s">
        <v>431</v>
      </c>
    </row>
    <row r="28" spans="1:23">
      <c r="E28" s="480" t="s">
        <v>432</v>
      </c>
      <c r="F28" s="645" t="str">
        <f ca="1">LOOKUP(F$30, INDIRECT("'" &amp; $C$6 &amp; "'!" &amp; INDIRECT("'" &amp; $C$6 &amp; "'!" &amp; $C$7)))</f>
        <v>IT helps support my organization and enables my team to more efficiently service PL customers.</v>
      </c>
      <c r="G28" s="645"/>
      <c r="H28" s="645" t="str">
        <f ca="1">LOOKUP(H$30, INDIRECT("'" &amp; $C$6 &amp; "'!" &amp; INDIRECT("'" &amp; $C$6 &amp; "'!" &amp; $C$7)))</f>
        <v>I understand the allocation of IT resources for my area and the projects I am sponsoring.</v>
      </c>
      <c r="I28" s="645"/>
      <c r="J28" s="645" t="str">
        <f ca="1">LOOKUP(J$30, INDIRECT("'" &amp; $C$6 &amp; "'!" &amp; INDIRECT("'" &amp; $C$6 &amp; "'!" &amp; $C$7)))</f>
        <v>I have the influence I need on IT resource allocation.</v>
      </c>
      <c r="K28" s="645"/>
      <c r="L28" s="645" t="str">
        <f ca="1">LOOKUP(L$30, INDIRECT("'" &amp; $C$6 &amp; "'!" &amp; INDIRECT("'" &amp; $C$6 &amp; "'!" &amp; $C$7)))</f>
        <v>I feel the options presented for getting work done (e.g., Staffing, Budget, Scope, Timing, Use of New Technologies) enable me to make decisions.</v>
      </c>
      <c r="M28" s="645"/>
      <c r="N28" s="645" t="str">
        <f ca="1">LOOKUP(N$30, INDIRECT("'" &amp; $C$6 &amp; "'!" &amp; INDIRECT("'" &amp; $C$6 &amp; "'!" &amp; $C$7)))</f>
        <v>IT communicates adequate, clear, timely, and useful information to me.</v>
      </c>
      <c r="O28" s="645"/>
      <c r="P28" s="645" t="str">
        <f ca="1">LOOKUP(P$30, INDIRECT("'" &amp; $C$6 &amp; "'!" &amp; INDIRECT("'" &amp; $C$6 &amp; "'!" &amp; $C$7)))</f>
        <v>I am satisfied with IT staff's support of production applications.</v>
      </c>
      <c r="Q28" s="645"/>
      <c r="R28" s="645" t="str">
        <f ca="1">LOOKUP(R$30, INDIRECT("'" &amp; $C$6 &amp; "'!" &amp; INDIRECT("'" &amp; $C$6 &amp; "'!" &amp; $C$7)))</f>
        <v>Overall, IT is managing their work well (people, issues, resourceful, good work management).</v>
      </c>
      <c r="S28" s="645"/>
      <c r="T28" s="645" t="str">
        <f ca="1">LOOKUP(T$30, INDIRECT("'" &amp; $C$6 &amp; "'!" &amp; INDIRECT("'" &amp; $C$6 &amp; "'!" &amp; $C$7)))</f>
        <v>Overall, I am satisfied when I work with IT.</v>
      </c>
      <c r="U28" s="645"/>
      <c r="V28" s="1" t="str">
        <f ca="1">LOOKUP(V$30, INDIRECT("'" &amp; $C$6 &amp; "'!" &amp; INDIRECT("'" &amp; $C$6 &amp; "'!" &amp; $C$7)))</f>
        <v>Please describe any other expectations of IT that you would like to express.</v>
      </c>
      <c r="W28" s="1" t="str">
        <f ca="1">LOOKUP(W$30, INDIRECT("'" &amp; $C$6 &amp; "'!" &amp; INDIRECT("'" &amp; $C$6 &amp; "'!" &amp; $C$7)))</f>
        <v>Please provide any Additional Comments you have:</v>
      </c>
    </row>
    <row r="29" spans="1:23">
      <c r="E29" s="480" t="s">
        <v>433</v>
      </c>
      <c r="G29" s="1" t="str">
        <f ca="1">LOOKUP(G$30, INDIRECT("'" &amp; $C$6 &amp; "'!" &amp; INDIRECT("'" &amp; $C$6 &amp; "'!" &amp; $C$7)))</f>
        <v>Please describe:</v>
      </c>
      <c r="I29" s="1" t="str">
        <f ca="1">LOOKUP(I$30, INDIRECT("'" &amp; $C$6 &amp; "'!" &amp; INDIRECT("'" &amp; $C$6 &amp; "'!" &amp; $C$7)))</f>
        <v>If you disagree, please describe what would help you:</v>
      </c>
      <c r="K29" s="1" t="str">
        <f ca="1">LOOKUP(K$30, INDIRECT("'" &amp; $C$6 &amp; "'!" &amp; INDIRECT("'" &amp; $C$6 &amp; "'!" &amp; $C$7)))</f>
        <v>If not, please describe:</v>
      </c>
      <c r="M29" s="1" t="str">
        <f ca="1">LOOKUP(M$30, INDIRECT("'" &amp; $C$6 &amp; "'!" &amp; INDIRECT("'" &amp; $C$6 &amp; "'!" &amp; $C$7)))</f>
        <v>If you disagree, please describe what would help you:</v>
      </c>
      <c r="O29" s="1" t="str">
        <f ca="1">LOOKUP(O$30, INDIRECT("'" &amp; $C$6 &amp; "'!" &amp; INDIRECT("'" &amp; $C$6 &amp; "'!" &amp; $C$7)))</f>
        <v>If not, please explain:</v>
      </c>
      <c r="Q29" s="1" t="str">
        <f ca="1">LOOKUP(Q$30, INDIRECT("'" &amp; $C$6 &amp; "'!" &amp; INDIRECT("'" &amp; $C$6 &amp; "'!" &amp; $C$7)))</f>
        <v>If not, please explain:</v>
      </c>
      <c r="S29" s="1" t="str">
        <f ca="1">LOOKUP(S$30, INDIRECT("'" &amp; $C$6 &amp; "'!" &amp; INDIRECT("'" &amp; $C$6 &amp; "'!" &amp; $C$7)))</f>
        <v>If you disagree, please describe what you would like to see changed:</v>
      </c>
      <c r="U29" s="1" t="str">
        <f ca="1">LOOKUP(U$30, INDIRECT("'" &amp; $C$6 &amp; "'!" &amp; INDIRECT("'" &amp; $C$6 &amp; "'!" &amp; $C$7)))</f>
        <v>Please provide any comments:</v>
      </c>
    </row>
    <row r="30" spans="1:23">
      <c r="A30" s="480" t="s">
        <v>195</v>
      </c>
      <c r="B30" s="480" t="s">
        <v>124</v>
      </c>
      <c r="C30" s="480" t="s">
        <v>825</v>
      </c>
      <c r="D30" s="480" t="s">
        <v>29</v>
      </c>
      <c r="E30" s="480" t="s">
        <v>419</v>
      </c>
      <c r="F30" s="1" t="s">
        <v>127</v>
      </c>
      <c r="G30" s="1" t="s">
        <v>129</v>
      </c>
      <c r="H30" s="1" t="s">
        <v>131</v>
      </c>
      <c r="I30" s="1" t="s">
        <v>132</v>
      </c>
      <c r="J30" s="1" t="s">
        <v>134</v>
      </c>
      <c r="K30" s="1" t="s">
        <v>136</v>
      </c>
      <c r="L30" s="1" t="s">
        <v>138</v>
      </c>
      <c r="M30" s="1" t="s">
        <v>139</v>
      </c>
      <c r="N30" s="1" t="s">
        <v>141</v>
      </c>
      <c r="O30" s="1" t="s">
        <v>143</v>
      </c>
      <c r="P30" s="1" t="s">
        <v>145</v>
      </c>
      <c r="Q30" s="1" t="s">
        <v>147</v>
      </c>
      <c r="R30" s="1" t="s">
        <v>149</v>
      </c>
      <c r="S30" s="1" t="s">
        <v>151</v>
      </c>
      <c r="T30" s="1" t="s">
        <v>152</v>
      </c>
      <c r="U30" s="1" t="s">
        <v>154</v>
      </c>
      <c r="V30" s="1" t="s">
        <v>155</v>
      </c>
      <c r="W30" s="1" t="s">
        <v>158</v>
      </c>
    </row>
    <row r="31" spans="1:23">
      <c r="A31" s="36">
        <v>1</v>
      </c>
      <c r="B31" s="36">
        <v>1</v>
      </c>
      <c r="C31" s="36" t="s">
        <v>1143</v>
      </c>
      <c r="D31" s="36" t="s">
        <v>894</v>
      </c>
      <c r="E31" s="36"/>
      <c r="F31" s="39">
        <v>5</v>
      </c>
      <c r="G31" s="39"/>
      <c r="H31" s="39">
        <v>4</v>
      </c>
      <c r="I31" s="39"/>
      <c r="J31" s="39">
        <v>4</v>
      </c>
      <c r="K31" s="39"/>
      <c r="L31" s="39">
        <v>3</v>
      </c>
      <c r="M31" s="39" t="s">
        <v>826</v>
      </c>
      <c r="N31" s="39">
        <v>4</v>
      </c>
      <c r="O31" s="39"/>
      <c r="P31" s="39">
        <v>4</v>
      </c>
      <c r="Q31" s="39"/>
      <c r="R31" s="39">
        <v>4</v>
      </c>
      <c r="S31" s="39"/>
      <c r="T31" s="39">
        <v>4</v>
      </c>
      <c r="U31" s="39"/>
      <c r="V31" s="39" t="s">
        <v>827</v>
      </c>
      <c r="W31" s="39" t="s">
        <v>827</v>
      </c>
    </row>
    <row r="32" spans="1:23" ht="25.5">
      <c r="A32" s="480">
        <v>2</v>
      </c>
      <c r="B32" s="480">
        <v>1</v>
      </c>
      <c r="C32" s="480" t="s">
        <v>1144</v>
      </c>
      <c r="D32" s="480" t="str">
        <f t="shared" ref="D32:D43" ca="1" si="4">LOOKUP(E32,INDIRECT(Team_Name_Lookup))</f>
        <v>IT Sales</v>
      </c>
      <c r="E32" s="480">
        <v>8</v>
      </c>
      <c r="F32" s="1">
        <v>4</v>
      </c>
      <c r="H32" s="1">
        <v>4</v>
      </c>
      <c r="I32" s="1" t="s">
        <v>828</v>
      </c>
      <c r="J32" s="1">
        <v>4</v>
      </c>
      <c r="L32" s="1">
        <v>2</v>
      </c>
      <c r="M32" s="1" t="s">
        <v>829</v>
      </c>
      <c r="N32" s="1">
        <v>4</v>
      </c>
      <c r="O32" s="1" t="s">
        <v>830</v>
      </c>
      <c r="P32" s="1">
        <v>4</v>
      </c>
      <c r="R32" s="1">
        <v>5</v>
      </c>
      <c r="S32" s="1" t="s">
        <v>831</v>
      </c>
      <c r="T32" s="1">
        <v>4</v>
      </c>
    </row>
    <row r="33" spans="1:23" ht="25.5">
      <c r="A33" s="480">
        <v>3</v>
      </c>
      <c r="B33" s="480">
        <v>1</v>
      </c>
      <c r="C33" s="480" t="s">
        <v>1145</v>
      </c>
      <c r="D33" s="480" t="str">
        <f t="shared" ca="1" si="4"/>
        <v>Product Admin</v>
      </c>
      <c r="E33" s="480">
        <v>10</v>
      </c>
      <c r="F33" s="1">
        <v>4</v>
      </c>
      <c r="H33" s="1">
        <v>4</v>
      </c>
      <c r="I33" s="1" t="s">
        <v>828</v>
      </c>
      <c r="J33" s="1">
        <v>4</v>
      </c>
      <c r="L33" s="1">
        <v>2</v>
      </c>
      <c r="M33" s="1" t="s">
        <v>829</v>
      </c>
      <c r="N33" s="1">
        <v>4</v>
      </c>
      <c r="O33" s="1" t="s">
        <v>830</v>
      </c>
      <c r="P33" s="1">
        <v>4</v>
      </c>
      <c r="Q33" s="1" t="s">
        <v>832</v>
      </c>
      <c r="R33" s="1">
        <v>5</v>
      </c>
      <c r="S33" s="1" t="s">
        <v>831</v>
      </c>
      <c r="T33" s="1">
        <v>4</v>
      </c>
    </row>
    <row r="34" spans="1:23" ht="25.5">
      <c r="A34" s="480">
        <v>4</v>
      </c>
      <c r="B34" s="480">
        <v>1</v>
      </c>
      <c r="C34" s="480" t="s">
        <v>1146</v>
      </c>
      <c r="D34" s="480" t="str">
        <f t="shared" ca="1" si="4"/>
        <v>IT Service</v>
      </c>
      <c r="E34" s="480">
        <v>9</v>
      </c>
      <c r="F34" s="1">
        <v>4</v>
      </c>
      <c r="H34" s="1">
        <v>4</v>
      </c>
      <c r="I34" s="1" t="s">
        <v>828</v>
      </c>
      <c r="J34" s="1">
        <v>4</v>
      </c>
      <c r="L34" s="1">
        <v>2</v>
      </c>
      <c r="M34" s="1" t="s">
        <v>829</v>
      </c>
      <c r="N34" s="1">
        <v>4</v>
      </c>
      <c r="O34" s="1" t="s">
        <v>830</v>
      </c>
      <c r="P34" s="1">
        <v>4</v>
      </c>
      <c r="Q34" s="1" t="s">
        <v>832</v>
      </c>
      <c r="R34" s="1">
        <v>5</v>
      </c>
      <c r="S34" s="1" t="s">
        <v>831</v>
      </c>
      <c r="T34" s="1">
        <v>4</v>
      </c>
    </row>
    <row r="35" spans="1:23" ht="38.25">
      <c r="A35" s="480">
        <v>5</v>
      </c>
      <c r="B35" s="480">
        <v>1</v>
      </c>
      <c r="C35" s="480" t="s">
        <v>833</v>
      </c>
      <c r="D35" s="480" t="s">
        <v>57</v>
      </c>
      <c r="F35" s="1">
        <v>4</v>
      </c>
      <c r="H35" s="1">
        <v>5</v>
      </c>
      <c r="J35" s="1">
        <v>4</v>
      </c>
      <c r="L35" s="1">
        <v>4</v>
      </c>
      <c r="N35" s="1">
        <v>5</v>
      </c>
      <c r="P35" s="1">
        <v>4</v>
      </c>
      <c r="R35" s="1">
        <v>4</v>
      </c>
      <c r="T35" s="1">
        <v>4</v>
      </c>
      <c r="U35" s="1" t="s">
        <v>834</v>
      </c>
      <c r="V35" s="1" t="s">
        <v>835</v>
      </c>
      <c r="W35" s="1" t="s">
        <v>836</v>
      </c>
    </row>
    <row r="36" spans="1:23" ht="51">
      <c r="A36" s="480">
        <v>6</v>
      </c>
      <c r="B36" s="480">
        <v>1</v>
      </c>
      <c r="C36" s="480" t="s">
        <v>1147</v>
      </c>
      <c r="D36" s="480" t="str">
        <f t="shared" ca="1" si="4"/>
        <v>IT Finance</v>
      </c>
      <c r="E36" s="480">
        <v>4</v>
      </c>
      <c r="F36" s="1">
        <v>4</v>
      </c>
      <c r="G36" s="1" t="s">
        <v>837</v>
      </c>
      <c r="H36" s="1">
        <v>4</v>
      </c>
      <c r="I36" s="1" t="s">
        <v>838</v>
      </c>
      <c r="J36" s="1">
        <v>3</v>
      </c>
      <c r="K36" s="1" t="s">
        <v>839</v>
      </c>
      <c r="L36" s="1">
        <v>4</v>
      </c>
      <c r="N36" s="1">
        <v>4</v>
      </c>
      <c r="P36" s="1">
        <v>4</v>
      </c>
      <c r="R36" s="1">
        <v>4</v>
      </c>
      <c r="T36" s="1">
        <v>4</v>
      </c>
      <c r="W36" s="1" t="s">
        <v>1148</v>
      </c>
    </row>
    <row r="37" spans="1:23" ht="38.25">
      <c r="A37" s="480">
        <v>7</v>
      </c>
      <c r="B37" s="480">
        <v>1</v>
      </c>
      <c r="C37" s="480" t="s">
        <v>1147</v>
      </c>
      <c r="D37" s="480" t="str">
        <f t="shared" ca="1" si="4"/>
        <v>IT Service</v>
      </c>
      <c r="E37" s="480">
        <v>9</v>
      </c>
      <c r="F37" s="1">
        <v>4</v>
      </c>
      <c r="G37" s="1" t="s">
        <v>840</v>
      </c>
      <c r="H37" s="1">
        <v>4</v>
      </c>
      <c r="J37" s="1">
        <v>3</v>
      </c>
      <c r="K37" s="1" t="s">
        <v>841</v>
      </c>
      <c r="L37" s="1">
        <v>4</v>
      </c>
      <c r="N37" s="1">
        <v>4</v>
      </c>
      <c r="O37" s="1" t="s">
        <v>842</v>
      </c>
      <c r="P37" s="1">
        <v>4</v>
      </c>
      <c r="R37" s="1">
        <v>4</v>
      </c>
      <c r="T37" s="1">
        <v>4</v>
      </c>
      <c r="U37" s="1" t="s">
        <v>843</v>
      </c>
      <c r="W37" s="1" t="s">
        <v>1149</v>
      </c>
    </row>
    <row r="38" spans="1:23" ht="38.25">
      <c r="A38" s="480">
        <v>8</v>
      </c>
      <c r="B38" s="480">
        <v>1</v>
      </c>
      <c r="C38" s="480" t="s">
        <v>833</v>
      </c>
      <c r="D38" s="480" t="str">
        <f t="shared" ca="1" si="4"/>
        <v>IT Service</v>
      </c>
      <c r="E38" s="480">
        <v>9</v>
      </c>
      <c r="F38" s="1">
        <v>4</v>
      </c>
      <c r="H38" s="1">
        <v>5</v>
      </c>
      <c r="J38" s="1">
        <v>4</v>
      </c>
      <c r="K38" s="1" t="s">
        <v>844</v>
      </c>
      <c r="L38" s="1">
        <v>4</v>
      </c>
      <c r="N38" s="1">
        <v>5</v>
      </c>
      <c r="P38" s="1">
        <v>4</v>
      </c>
      <c r="R38" s="1">
        <v>4</v>
      </c>
      <c r="T38" s="1">
        <v>4</v>
      </c>
      <c r="U38" s="1" t="s">
        <v>845</v>
      </c>
      <c r="V38" s="1" t="s">
        <v>846</v>
      </c>
      <c r="W38" s="1" t="s">
        <v>1149</v>
      </c>
    </row>
    <row r="39" spans="1:23">
      <c r="A39" s="480">
        <v>9</v>
      </c>
      <c r="B39" s="480">
        <v>1</v>
      </c>
      <c r="C39" s="480" t="s">
        <v>833</v>
      </c>
      <c r="D39" s="480" t="str">
        <f t="shared" ca="1" si="4"/>
        <v>IT Producer</v>
      </c>
      <c r="E39" s="480">
        <v>6</v>
      </c>
      <c r="F39" s="1">
        <v>4</v>
      </c>
      <c r="H39" s="1">
        <v>5</v>
      </c>
      <c r="J39" s="1">
        <v>4</v>
      </c>
      <c r="L39" s="1">
        <v>4</v>
      </c>
      <c r="N39" s="1">
        <v>5</v>
      </c>
      <c r="P39" s="1">
        <v>4</v>
      </c>
      <c r="R39" s="1">
        <v>4</v>
      </c>
      <c r="T39" s="1">
        <v>4</v>
      </c>
      <c r="W39" s="1" t="s">
        <v>1150</v>
      </c>
    </row>
    <row r="40" spans="1:23">
      <c r="A40" s="480">
        <v>10</v>
      </c>
      <c r="B40" s="480">
        <v>1</v>
      </c>
      <c r="C40" s="480" t="s">
        <v>833</v>
      </c>
      <c r="D40" s="480" t="str">
        <f t="shared" ca="1" si="4"/>
        <v>Product Admin</v>
      </c>
      <c r="E40" s="480">
        <v>10</v>
      </c>
      <c r="F40" s="1">
        <v>4</v>
      </c>
      <c r="H40" s="1">
        <v>3</v>
      </c>
      <c r="I40" s="1" t="s">
        <v>847</v>
      </c>
      <c r="J40" s="1">
        <v>4</v>
      </c>
      <c r="L40" s="1">
        <v>4</v>
      </c>
      <c r="N40" s="1">
        <v>5</v>
      </c>
      <c r="P40" s="1">
        <v>4</v>
      </c>
      <c r="R40" s="1">
        <v>4</v>
      </c>
      <c r="T40" s="1">
        <v>4</v>
      </c>
      <c r="W40" s="1" t="s">
        <v>1151</v>
      </c>
    </row>
    <row r="41" spans="1:23">
      <c r="A41" s="480">
        <v>11</v>
      </c>
      <c r="B41" s="480">
        <v>1</v>
      </c>
      <c r="C41" s="480" t="s">
        <v>1152</v>
      </c>
      <c r="D41" s="480" t="str">
        <f t="shared" ca="1" si="4"/>
        <v>eBusiness</v>
      </c>
      <c r="E41" s="480">
        <v>2</v>
      </c>
      <c r="F41" s="1">
        <v>4</v>
      </c>
      <c r="G41" s="1" t="s">
        <v>848</v>
      </c>
      <c r="H41" s="1">
        <v>4</v>
      </c>
      <c r="I41" s="1" t="s">
        <v>849</v>
      </c>
      <c r="J41" s="1">
        <v>3</v>
      </c>
      <c r="L41" s="1">
        <v>3</v>
      </c>
      <c r="N41" s="1">
        <v>6</v>
      </c>
      <c r="P41" s="1">
        <v>4</v>
      </c>
      <c r="Q41" s="1" t="s">
        <v>850</v>
      </c>
      <c r="R41" s="1">
        <v>6</v>
      </c>
      <c r="T41" s="1">
        <v>4</v>
      </c>
    </row>
    <row r="42" spans="1:23">
      <c r="A42" s="480">
        <v>12</v>
      </c>
      <c r="B42" s="480">
        <v>1</v>
      </c>
      <c r="C42" s="480" t="s">
        <v>1153</v>
      </c>
      <c r="D42" s="480" t="str">
        <f t="shared" ca="1" si="4"/>
        <v>Workflow</v>
      </c>
      <c r="E42" s="480">
        <v>11</v>
      </c>
      <c r="F42" s="1">
        <v>4</v>
      </c>
      <c r="G42" s="1" t="s">
        <v>851</v>
      </c>
      <c r="H42" s="1">
        <v>4</v>
      </c>
      <c r="I42" s="1" t="s">
        <v>849</v>
      </c>
      <c r="J42" s="1">
        <v>3</v>
      </c>
      <c r="L42" s="1">
        <v>6</v>
      </c>
      <c r="M42" s="1" t="s">
        <v>852</v>
      </c>
      <c r="N42" s="1">
        <v>6</v>
      </c>
      <c r="P42" s="1">
        <v>4</v>
      </c>
      <c r="Q42" s="1" t="s">
        <v>850</v>
      </c>
      <c r="R42" s="1">
        <v>6</v>
      </c>
      <c r="T42" s="1">
        <v>6</v>
      </c>
    </row>
    <row r="43" spans="1:23" ht="38.25">
      <c r="A43" s="480">
        <v>13</v>
      </c>
      <c r="B43" s="480">
        <v>1</v>
      </c>
      <c r="C43" s="480" t="s">
        <v>1154</v>
      </c>
      <c r="D43" s="480" t="str">
        <f t="shared" ca="1" si="4"/>
        <v>IT Service</v>
      </c>
      <c r="E43" s="480">
        <v>9</v>
      </c>
      <c r="F43" s="1">
        <v>4</v>
      </c>
      <c r="H43" s="1">
        <v>4</v>
      </c>
      <c r="I43" s="1" t="s">
        <v>849</v>
      </c>
      <c r="J43" s="1">
        <v>3</v>
      </c>
      <c r="L43" s="1">
        <v>5</v>
      </c>
      <c r="M43" s="1" t="s">
        <v>853</v>
      </c>
      <c r="N43" s="1">
        <v>4</v>
      </c>
      <c r="P43" s="1">
        <v>4</v>
      </c>
      <c r="Q43" s="1" t="s">
        <v>850</v>
      </c>
      <c r="R43" s="1">
        <v>4</v>
      </c>
      <c r="S43" s="1" t="s">
        <v>854</v>
      </c>
      <c r="T43" s="1">
        <v>4</v>
      </c>
    </row>
    <row r="44" spans="1:23" ht="25.5">
      <c r="A44" s="480">
        <v>14</v>
      </c>
      <c r="B44" s="480">
        <v>1</v>
      </c>
      <c r="C44" s="480" t="s">
        <v>855</v>
      </c>
      <c r="D44" s="480" t="s">
        <v>57</v>
      </c>
      <c r="F44" s="1">
        <v>4</v>
      </c>
      <c r="G44" s="1" t="s">
        <v>856</v>
      </c>
      <c r="H44" s="1">
        <v>4</v>
      </c>
      <c r="J44" s="1">
        <v>4</v>
      </c>
      <c r="L44" s="1">
        <v>4</v>
      </c>
      <c r="N44" s="1">
        <v>3</v>
      </c>
      <c r="O44" s="1" t="s">
        <v>857</v>
      </c>
      <c r="P44" s="1">
        <v>3</v>
      </c>
      <c r="Q44" s="1" t="s">
        <v>858</v>
      </c>
      <c r="R44" s="1">
        <v>4</v>
      </c>
      <c r="T44" s="1">
        <v>4</v>
      </c>
    </row>
    <row r="45" spans="1:23" ht="25.5">
      <c r="A45" s="480">
        <v>15</v>
      </c>
      <c r="B45" s="480">
        <v>1</v>
      </c>
      <c r="C45" s="480" t="s">
        <v>859</v>
      </c>
      <c r="D45" s="480" t="s">
        <v>68</v>
      </c>
      <c r="F45" s="1">
        <v>5</v>
      </c>
      <c r="G45" s="1" t="s">
        <v>860</v>
      </c>
      <c r="H45" s="1">
        <v>5</v>
      </c>
      <c r="J45" s="1">
        <v>5</v>
      </c>
      <c r="L45" s="1">
        <v>5</v>
      </c>
      <c r="N45" s="1">
        <v>4</v>
      </c>
      <c r="P45" s="1">
        <v>4</v>
      </c>
      <c r="Q45" s="1" t="s">
        <v>861</v>
      </c>
      <c r="R45" s="1">
        <v>5</v>
      </c>
      <c r="T45" s="1">
        <v>5</v>
      </c>
      <c r="V45" s="1" t="s">
        <v>862</v>
      </c>
      <c r="W45" s="1" t="s">
        <v>863</v>
      </c>
    </row>
    <row r="46" spans="1:23" ht="25.5">
      <c r="A46" s="480">
        <v>16</v>
      </c>
      <c r="B46" s="480">
        <v>1</v>
      </c>
      <c r="C46" s="480" t="s">
        <v>864</v>
      </c>
      <c r="D46" s="480" t="s">
        <v>57</v>
      </c>
      <c r="F46" s="1">
        <v>4</v>
      </c>
      <c r="H46" s="1">
        <v>4</v>
      </c>
      <c r="I46" s="1" t="s">
        <v>865</v>
      </c>
      <c r="J46" s="1">
        <v>3</v>
      </c>
      <c r="K46" s="1" t="s">
        <v>866</v>
      </c>
      <c r="L46" s="1">
        <v>4</v>
      </c>
      <c r="M46" s="1" t="s">
        <v>867</v>
      </c>
      <c r="N46" s="1">
        <v>4</v>
      </c>
      <c r="O46" s="1" t="s">
        <v>868</v>
      </c>
      <c r="P46" s="1">
        <v>4</v>
      </c>
      <c r="Q46" s="1" t="s">
        <v>869</v>
      </c>
      <c r="R46" s="1">
        <v>4</v>
      </c>
      <c r="S46" s="1" t="s">
        <v>870</v>
      </c>
      <c r="T46" s="1">
        <v>4</v>
      </c>
      <c r="U46" s="1" t="s">
        <v>871</v>
      </c>
      <c r="V46" s="1" t="s">
        <v>872</v>
      </c>
    </row>
    <row r="47" spans="1:23" ht="25.5">
      <c r="A47" s="480">
        <v>17</v>
      </c>
      <c r="B47" s="480">
        <v>1</v>
      </c>
      <c r="C47" s="480" t="s">
        <v>873</v>
      </c>
      <c r="D47" s="480" t="s">
        <v>57</v>
      </c>
      <c r="F47" s="1">
        <v>4</v>
      </c>
      <c r="G47" s="1" t="s">
        <v>874</v>
      </c>
      <c r="H47" s="1">
        <v>4</v>
      </c>
      <c r="I47" s="1" t="s">
        <v>875</v>
      </c>
      <c r="J47" s="1">
        <v>4</v>
      </c>
      <c r="K47" s="1" t="s">
        <v>876</v>
      </c>
      <c r="L47" s="1">
        <v>4</v>
      </c>
      <c r="M47" s="1" t="s">
        <v>877</v>
      </c>
      <c r="N47" s="1">
        <v>4</v>
      </c>
      <c r="O47" s="1" t="s">
        <v>878</v>
      </c>
      <c r="P47" s="1">
        <v>4</v>
      </c>
      <c r="Q47" s="1" t="s">
        <v>879</v>
      </c>
      <c r="R47" s="1">
        <v>4</v>
      </c>
      <c r="T47" s="1">
        <v>4</v>
      </c>
      <c r="V47" s="1" t="s">
        <v>880</v>
      </c>
      <c r="W47" s="1" t="s">
        <v>881</v>
      </c>
    </row>
  </sheetData>
  <mergeCells count="8">
    <mergeCell ref="R28:S28"/>
    <mergeCell ref="T28:U28"/>
    <mergeCell ref="F28:G28"/>
    <mergeCell ref="H28:I28"/>
    <mergeCell ref="J28:K28"/>
    <mergeCell ref="L28:M28"/>
    <mergeCell ref="N28:O28"/>
    <mergeCell ref="P28:Q28"/>
  </mergeCells>
  <hyperlinks>
    <hyperlink ref="A1" location="'Table of Contents'!A1" display="Table of Contents"/>
  </hyperlinks>
  <pageMargins left="0.7" right="0.7" top="0.75" bottom="0.75" header="0.3" footer="0.3"/>
  <pageSetup orientation="landscape" r:id="rId1"/>
  <headerFooter>
    <oddFooter>&amp;L&amp;5&amp;Z&amp;F
Created: 9/29/2006 10:44:00 PM
Last Saved: 2/5/2008 9:15:17 PM
Last Printed: 2/5/2008 6:12:16 PM&amp;R&amp;5&amp;P - &amp;N
Title :&lt;Not Set&gt;
Subject: &lt;Not Set&gt;</oddFooter>
  </headerFooter>
  <drawing r:id="rId2"/>
  <tableParts count="1">
    <tablePart r:id="rId3"/>
  </tableParts>
</worksheet>
</file>

<file path=xl/worksheets/sheet14.xml><?xml version="1.0" encoding="utf-8"?>
<worksheet xmlns="http://schemas.openxmlformats.org/spreadsheetml/2006/main" xmlns:r="http://schemas.openxmlformats.org/officeDocument/2006/relationships">
  <sheetPr codeName="Sheet22"/>
  <dimension ref="A1:J43"/>
  <sheetViews>
    <sheetView workbookViewId="0"/>
  </sheetViews>
  <sheetFormatPr defaultRowHeight="12.75"/>
  <cols>
    <col min="1" max="1" width="15.7109375" customWidth="1"/>
    <col min="2" max="2" width="100.7109375" style="1" customWidth="1"/>
    <col min="3" max="10" width="15.7109375" customWidth="1"/>
  </cols>
  <sheetData>
    <row r="1" spans="1:10">
      <c r="A1" s="5" t="s">
        <v>30</v>
      </c>
    </row>
    <row r="4" spans="1:10">
      <c r="A4" s="200" t="s">
        <v>114</v>
      </c>
      <c r="B4" s="1" t="str">
        <f>ADDRESS(11,1,,TRUE) &amp; ":" &amp; ADDRESS(43,2,TRUE)</f>
        <v>$A$11:$B$43</v>
      </c>
    </row>
    <row r="5" spans="1:10">
      <c r="A5" s="200" t="s">
        <v>115</v>
      </c>
      <c r="B5" s="1" t="str">
        <f>ADDRESS(11,3,,TRUE) &amp; ":" &amp; ADDRESS(43,4,TRUE)</f>
        <v>$C$11:$D$43</v>
      </c>
    </row>
    <row r="6" spans="1:10">
      <c r="A6" s="200" t="s">
        <v>116</v>
      </c>
      <c r="B6" s="1" t="str">
        <f>ADDRESS(11,5,,TRUE) &amp; ":" &amp; ADDRESS(43,6,TRUE)</f>
        <v>$E$11:$F$43</v>
      </c>
    </row>
    <row r="7" spans="1:10">
      <c r="A7" s="200" t="s">
        <v>117</v>
      </c>
      <c r="B7" s="1" t="str">
        <f>ADDRESS(11,7,,TRUE) &amp; ":" &amp; ADDRESS(43,8,TRUE)</f>
        <v>$G$11:$H$43</v>
      </c>
    </row>
    <row r="8" spans="1:10">
      <c r="A8" s="200" t="s">
        <v>118</v>
      </c>
      <c r="B8" s="1" t="str">
        <f>ADDRESS(11,9,,TRUE) &amp; ":" &amp; ADDRESS(43,10,TRUE)</f>
        <v>$I$11:$J$43</v>
      </c>
    </row>
    <row r="10" spans="1:10" ht="31.5">
      <c r="A10" s="35" t="s">
        <v>119</v>
      </c>
      <c r="B10" s="35" t="s">
        <v>120</v>
      </c>
      <c r="C10" s="35" t="s">
        <v>119</v>
      </c>
      <c r="D10" s="35" t="s">
        <v>121</v>
      </c>
      <c r="E10" s="35" t="s">
        <v>119</v>
      </c>
      <c r="F10" s="35" t="s">
        <v>116</v>
      </c>
      <c r="G10" s="35" t="s">
        <v>119</v>
      </c>
      <c r="H10" s="35" t="s">
        <v>122</v>
      </c>
      <c r="I10" s="35" t="s">
        <v>119</v>
      </c>
      <c r="J10" s="35" t="s">
        <v>123</v>
      </c>
    </row>
    <row r="11" spans="1:10">
      <c r="A11" s="200" t="s">
        <v>127</v>
      </c>
      <c r="B11" s="1" t="s">
        <v>698</v>
      </c>
      <c r="C11" t="str">
        <f t="shared" ref="C11:C43" si="0">A11</f>
        <v>Q1</v>
      </c>
      <c r="D11">
        <v>5</v>
      </c>
      <c r="E11" t="str">
        <f t="shared" ref="E11:E43" si="1">A11</f>
        <v>Q1</v>
      </c>
      <c r="F11">
        <v>1</v>
      </c>
      <c r="G11" t="str">
        <f t="shared" ref="G11:G43" si="2">A11</f>
        <v>Q1</v>
      </c>
      <c r="H11">
        <v>1</v>
      </c>
      <c r="I11" t="str">
        <f t="shared" ref="I11:I43" si="3">A11</f>
        <v>Q1</v>
      </c>
    </row>
    <row r="12" spans="1:10" ht="25.5">
      <c r="A12" s="200" t="s">
        <v>158</v>
      </c>
      <c r="B12" s="1" t="s">
        <v>712</v>
      </c>
      <c r="C12" t="str">
        <f t="shared" si="0"/>
        <v>Q10</v>
      </c>
      <c r="D12">
        <v>5</v>
      </c>
      <c r="E12" t="str">
        <f t="shared" si="1"/>
        <v>Q10</v>
      </c>
      <c r="F12">
        <v>1</v>
      </c>
      <c r="G12" t="str">
        <f t="shared" si="2"/>
        <v>Q10</v>
      </c>
      <c r="H12">
        <v>1</v>
      </c>
      <c r="I12" t="str">
        <f t="shared" si="3"/>
        <v>Q10</v>
      </c>
    </row>
    <row r="13" spans="1:10">
      <c r="A13" s="200" t="s">
        <v>160</v>
      </c>
      <c r="B13" s="1" t="s">
        <v>704</v>
      </c>
      <c r="C13" t="str">
        <f t="shared" si="0"/>
        <v>Q10b</v>
      </c>
      <c r="D13">
        <v>110</v>
      </c>
      <c r="E13" t="str">
        <f t="shared" si="1"/>
        <v>Q10b</v>
      </c>
      <c r="G13" t="str">
        <f t="shared" si="2"/>
        <v>Q10b</v>
      </c>
      <c r="I13" t="str">
        <f t="shared" si="3"/>
        <v>Q10b</v>
      </c>
      <c r="J13">
        <v>1</v>
      </c>
    </row>
    <row r="14" spans="1:10">
      <c r="A14" s="200" t="s">
        <v>161</v>
      </c>
      <c r="B14" s="1" t="s">
        <v>713</v>
      </c>
      <c r="C14" t="str">
        <f t="shared" si="0"/>
        <v>Q11</v>
      </c>
      <c r="D14">
        <v>5</v>
      </c>
      <c r="E14" t="str">
        <f t="shared" si="1"/>
        <v>Q11</v>
      </c>
      <c r="F14">
        <v>1</v>
      </c>
      <c r="G14" t="str">
        <f t="shared" si="2"/>
        <v>Q11</v>
      </c>
      <c r="H14">
        <v>1</v>
      </c>
      <c r="I14" t="str">
        <f t="shared" si="3"/>
        <v>Q11</v>
      </c>
    </row>
    <row r="15" spans="1:10">
      <c r="A15" s="200" t="s">
        <v>163</v>
      </c>
      <c r="B15" s="1" t="s">
        <v>133</v>
      </c>
      <c r="C15" t="str">
        <f t="shared" si="0"/>
        <v>Q11b</v>
      </c>
      <c r="D15">
        <v>110</v>
      </c>
      <c r="E15" t="str">
        <f t="shared" si="1"/>
        <v>Q11b</v>
      </c>
      <c r="G15" t="str">
        <f t="shared" si="2"/>
        <v>Q11b</v>
      </c>
      <c r="I15" t="str">
        <f t="shared" si="3"/>
        <v>Q11b</v>
      </c>
      <c r="J15">
        <v>1</v>
      </c>
    </row>
    <row r="16" spans="1:10">
      <c r="A16" s="200" t="s">
        <v>165</v>
      </c>
      <c r="B16" s="1" t="s">
        <v>714</v>
      </c>
      <c r="C16" t="str">
        <f t="shared" si="0"/>
        <v>Q12</v>
      </c>
      <c r="D16">
        <v>5</v>
      </c>
      <c r="E16" t="str">
        <f t="shared" si="1"/>
        <v>Q12</v>
      </c>
      <c r="F16">
        <v>1</v>
      </c>
      <c r="G16" t="str">
        <f t="shared" si="2"/>
        <v>Q12</v>
      </c>
      <c r="H16">
        <v>1</v>
      </c>
      <c r="I16" t="str">
        <f t="shared" si="3"/>
        <v>Q12</v>
      </c>
    </row>
    <row r="17" spans="1:10">
      <c r="A17" s="200" t="s">
        <v>167</v>
      </c>
      <c r="B17" s="1" t="s">
        <v>133</v>
      </c>
      <c r="C17" t="str">
        <f t="shared" si="0"/>
        <v>Q12b</v>
      </c>
      <c r="D17">
        <v>110</v>
      </c>
      <c r="E17" t="str">
        <f t="shared" si="1"/>
        <v>Q12b</v>
      </c>
      <c r="G17" t="str">
        <f t="shared" si="2"/>
        <v>Q12b</v>
      </c>
      <c r="I17" t="str">
        <f t="shared" si="3"/>
        <v>Q12b</v>
      </c>
      <c r="J17">
        <v>1</v>
      </c>
    </row>
    <row r="18" spans="1:10">
      <c r="A18" s="200" t="s">
        <v>168</v>
      </c>
      <c r="B18" s="1" t="s">
        <v>812</v>
      </c>
      <c r="C18" t="str">
        <f t="shared" si="0"/>
        <v>Q13</v>
      </c>
      <c r="D18">
        <v>5</v>
      </c>
      <c r="E18" t="str">
        <f t="shared" si="1"/>
        <v>Q13</v>
      </c>
      <c r="F18">
        <v>1</v>
      </c>
      <c r="G18" t="str">
        <f t="shared" si="2"/>
        <v>Q13</v>
      </c>
      <c r="H18">
        <v>1</v>
      </c>
      <c r="I18" t="str">
        <f t="shared" si="3"/>
        <v>Q13</v>
      </c>
    </row>
    <row r="19" spans="1:10">
      <c r="A19" s="200" t="s">
        <v>170</v>
      </c>
      <c r="B19" s="1" t="s">
        <v>715</v>
      </c>
      <c r="C19" t="str">
        <f t="shared" si="0"/>
        <v>Q13b</v>
      </c>
      <c r="D19">
        <v>110</v>
      </c>
      <c r="E19" t="str">
        <f t="shared" si="1"/>
        <v>Q13b</v>
      </c>
      <c r="G19" t="str">
        <f t="shared" si="2"/>
        <v>Q13b</v>
      </c>
      <c r="I19" t="str">
        <f t="shared" si="3"/>
        <v>Q13b</v>
      </c>
      <c r="J19">
        <v>1</v>
      </c>
    </row>
    <row r="20" spans="1:10">
      <c r="A20" s="200" t="s">
        <v>171</v>
      </c>
      <c r="B20" s="1" t="s">
        <v>716</v>
      </c>
      <c r="C20" t="str">
        <f t="shared" si="0"/>
        <v>Q14</v>
      </c>
      <c r="D20">
        <v>5</v>
      </c>
      <c r="E20" t="str">
        <f t="shared" si="1"/>
        <v>Q14</v>
      </c>
      <c r="F20">
        <v>1</v>
      </c>
      <c r="G20" t="str">
        <f t="shared" si="2"/>
        <v>Q14</v>
      </c>
      <c r="H20">
        <v>1</v>
      </c>
      <c r="I20" t="str">
        <f t="shared" si="3"/>
        <v>Q14</v>
      </c>
    </row>
    <row r="21" spans="1:10">
      <c r="A21" s="200" t="s">
        <v>173</v>
      </c>
      <c r="B21" s="1" t="s">
        <v>133</v>
      </c>
      <c r="C21" t="str">
        <f t="shared" si="0"/>
        <v>Q14b</v>
      </c>
      <c r="D21">
        <v>110</v>
      </c>
      <c r="E21" t="str">
        <f t="shared" si="1"/>
        <v>Q14b</v>
      </c>
      <c r="G21" t="str">
        <f t="shared" si="2"/>
        <v>Q14b</v>
      </c>
      <c r="I21" t="str">
        <f t="shared" si="3"/>
        <v>Q14b</v>
      </c>
      <c r="J21">
        <v>1</v>
      </c>
    </row>
    <row r="22" spans="1:10">
      <c r="A22" s="200" t="s">
        <v>175</v>
      </c>
      <c r="B22" s="1" t="s">
        <v>717</v>
      </c>
      <c r="C22" t="str">
        <f t="shared" si="0"/>
        <v>Q15</v>
      </c>
      <c r="D22">
        <v>110</v>
      </c>
      <c r="E22" t="str">
        <f t="shared" si="1"/>
        <v>Q15</v>
      </c>
      <c r="G22" t="str">
        <f t="shared" si="2"/>
        <v>Q15</v>
      </c>
      <c r="H22">
        <v>1</v>
      </c>
      <c r="I22" t="str">
        <f t="shared" si="3"/>
        <v>Q15</v>
      </c>
    </row>
    <row r="23" spans="1:10">
      <c r="A23" s="200" t="s">
        <v>178</v>
      </c>
      <c r="B23" s="1" t="s">
        <v>718</v>
      </c>
      <c r="C23" t="str">
        <f t="shared" si="0"/>
        <v>Q16</v>
      </c>
      <c r="D23">
        <v>110</v>
      </c>
      <c r="E23" t="str">
        <f t="shared" si="1"/>
        <v>Q16</v>
      </c>
      <c r="G23" t="str">
        <f t="shared" si="2"/>
        <v>Q16</v>
      </c>
      <c r="H23">
        <v>1</v>
      </c>
      <c r="I23" t="str">
        <f t="shared" si="3"/>
        <v>Q16</v>
      </c>
    </row>
    <row r="24" spans="1:10">
      <c r="A24" s="200" t="s">
        <v>129</v>
      </c>
      <c r="B24" s="1" t="s">
        <v>699</v>
      </c>
      <c r="C24" t="str">
        <f t="shared" si="0"/>
        <v>Q1b</v>
      </c>
      <c r="D24">
        <v>110</v>
      </c>
      <c r="E24" t="str">
        <f t="shared" si="1"/>
        <v>Q1b</v>
      </c>
      <c r="G24" t="str">
        <f t="shared" si="2"/>
        <v>Q1b</v>
      </c>
      <c r="I24" t="str">
        <f t="shared" si="3"/>
        <v>Q1b</v>
      </c>
      <c r="J24">
        <v>1</v>
      </c>
    </row>
    <row r="25" spans="1:10" ht="25.5">
      <c r="A25" s="200" t="s">
        <v>131</v>
      </c>
      <c r="B25" s="1" t="s">
        <v>700</v>
      </c>
      <c r="C25" t="str">
        <f t="shared" si="0"/>
        <v>Q2</v>
      </c>
      <c r="D25">
        <v>5</v>
      </c>
      <c r="E25" t="str">
        <f t="shared" si="1"/>
        <v>Q2</v>
      </c>
      <c r="F25">
        <v>1</v>
      </c>
      <c r="G25" t="str">
        <f t="shared" si="2"/>
        <v>Q2</v>
      </c>
      <c r="H25">
        <v>1</v>
      </c>
      <c r="I25" t="str">
        <f t="shared" si="3"/>
        <v>Q2</v>
      </c>
    </row>
    <row r="26" spans="1:10">
      <c r="A26" s="200" t="s">
        <v>132</v>
      </c>
      <c r="B26" s="201" t="s">
        <v>720</v>
      </c>
      <c r="C26" t="str">
        <f t="shared" si="0"/>
        <v>Q2b</v>
      </c>
      <c r="D26">
        <v>110</v>
      </c>
      <c r="E26" t="str">
        <f t="shared" si="1"/>
        <v>Q2b</v>
      </c>
      <c r="G26" t="str">
        <f t="shared" si="2"/>
        <v>Q2b</v>
      </c>
      <c r="I26" t="str">
        <f t="shared" si="3"/>
        <v>Q2b</v>
      </c>
      <c r="J26">
        <v>1</v>
      </c>
    </row>
    <row r="27" spans="1:10">
      <c r="A27" s="200" t="s">
        <v>134</v>
      </c>
      <c r="B27" s="1" t="s">
        <v>701</v>
      </c>
      <c r="C27" t="str">
        <f t="shared" si="0"/>
        <v>Q3</v>
      </c>
      <c r="D27">
        <v>5</v>
      </c>
      <c r="E27" t="str">
        <f t="shared" si="1"/>
        <v>Q3</v>
      </c>
      <c r="F27">
        <v>1</v>
      </c>
      <c r="G27" t="str">
        <f t="shared" si="2"/>
        <v>Q3</v>
      </c>
      <c r="H27">
        <v>1</v>
      </c>
      <c r="I27" t="str">
        <f t="shared" si="3"/>
        <v>Q3</v>
      </c>
    </row>
    <row r="28" spans="1:10">
      <c r="A28" s="200" t="s">
        <v>136</v>
      </c>
      <c r="B28" s="1" t="s">
        <v>702</v>
      </c>
      <c r="C28" t="str">
        <f t="shared" si="0"/>
        <v>Q3b</v>
      </c>
      <c r="D28">
        <v>110</v>
      </c>
      <c r="E28" t="str">
        <f t="shared" si="1"/>
        <v>Q3b</v>
      </c>
      <c r="G28" t="str">
        <f t="shared" si="2"/>
        <v>Q3b</v>
      </c>
      <c r="I28" t="str">
        <f t="shared" si="3"/>
        <v>Q3b</v>
      </c>
      <c r="J28">
        <v>1</v>
      </c>
    </row>
    <row r="29" spans="1:10">
      <c r="A29" s="200" t="s">
        <v>138</v>
      </c>
      <c r="B29" s="1" t="s">
        <v>703</v>
      </c>
      <c r="C29" t="str">
        <f t="shared" si="0"/>
        <v>Q4</v>
      </c>
      <c r="D29">
        <v>5</v>
      </c>
      <c r="E29" t="str">
        <f t="shared" si="1"/>
        <v>Q4</v>
      </c>
      <c r="F29">
        <v>1</v>
      </c>
      <c r="G29" t="str">
        <f t="shared" si="2"/>
        <v>Q4</v>
      </c>
      <c r="H29">
        <v>1</v>
      </c>
      <c r="I29" t="str">
        <f t="shared" si="3"/>
        <v>Q4</v>
      </c>
    </row>
    <row r="30" spans="1:10">
      <c r="A30" s="200" t="s">
        <v>139</v>
      </c>
      <c r="B30" s="1" t="s">
        <v>704</v>
      </c>
      <c r="C30" t="str">
        <f t="shared" si="0"/>
        <v>Q4b</v>
      </c>
      <c r="D30">
        <v>110</v>
      </c>
      <c r="E30" t="str">
        <f t="shared" si="1"/>
        <v>Q4b</v>
      </c>
      <c r="G30" t="str">
        <f t="shared" si="2"/>
        <v>Q4b</v>
      </c>
      <c r="I30" t="str">
        <f t="shared" si="3"/>
        <v>Q4b</v>
      </c>
      <c r="J30">
        <v>1</v>
      </c>
    </row>
    <row r="31" spans="1:10">
      <c r="A31" s="200" t="s">
        <v>141</v>
      </c>
      <c r="B31" s="1" t="s">
        <v>705</v>
      </c>
      <c r="C31" t="str">
        <f t="shared" si="0"/>
        <v>Q5</v>
      </c>
      <c r="D31">
        <v>5</v>
      </c>
      <c r="E31" t="str">
        <f t="shared" si="1"/>
        <v>Q5</v>
      </c>
      <c r="F31">
        <v>1</v>
      </c>
      <c r="G31" t="str">
        <f t="shared" si="2"/>
        <v>Q5</v>
      </c>
      <c r="H31">
        <v>1</v>
      </c>
      <c r="I31" t="str">
        <f t="shared" si="3"/>
        <v>Q5</v>
      </c>
    </row>
    <row r="32" spans="1:10">
      <c r="A32" s="200" t="s">
        <v>143</v>
      </c>
      <c r="B32" s="1" t="s">
        <v>706</v>
      </c>
      <c r="C32" t="str">
        <f t="shared" si="0"/>
        <v>Q5b</v>
      </c>
      <c r="D32">
        <v>110</v>
      </c>
      <c r="E32" t="str">
        <f t="shared" si="1"/>
        <v>Q5b</v>
      </c>
      <c r="G32" t="str">
        <f t="shared" si="2"/>
        <v>Q5b</v>
      </c>
      <c r="I32" t="str">
        <f t="shared" si="3"/>
        <v>Q5b</v>
      </c>
      <c r="J32">
        <v>1</v>
      </c>
    </row>
    <row r="33" spans="1:10">
      <c r="A33" s="200" t="s">
        <v>145</v>
      </c>
      <c r="B33" s="1" t="s">
        <v>707</v>
      </c>
      <c r="C33" t="str">
        <f t="shared" si="0"/>
        <v>Q6</v>
      </c>
      <c r="D33">
        <v>5</v>
      </c>
      <c r="E33" t="str">
        <f t="shared" si="1"/>
        <v>Q6</v>
      </c>
      <c r="F33">
        <v>1</v>
      </c>
      <c r="G33" t="str">
        <f t="shared" si="2"/>
        <v>Q6</v>
      </c>
      <c r="H33">
        <v>1</v>
      </c>
      <c r="I33" t="str">
        <f t="shared" si="3"/>
        <v>Q6</v>
      </c>
    </row>
    <row r="34" spans="1:10">
      <c r="A34" s="200" t="s">
        <v>147</v>
      </c>
      <c r="B34" s="1" t="s">
        <v>706</v>
      </c>
      <c r="C34" t="str">
        <f t="shared" si="0"/>
        <v>Q6b</v>
      </c>
      <c r="D34">
        <v>110</v>
      </c>
      <c r="E34" t="str">
        <f t="shared" si="1"/>
        <v>Q6b</v>
      </c>
      <c r="G34" t="str">
        <f t="shared" si="2"/>
        <v>Q6b</v>
      </c>
      <c r="I34" t="str">
        <f t="shared" si="3"/>
        <v>Q6b</v>
      </c>
      <c r="J34">
        <v>1</v>
      </c>
    </row>
    <row r="35" spans="1:10">
      <c r="A35" s="200" t="s">
        <v>149</v>
      </c>
      <c r="B35" s="1" t="s">
        <v>708</v>
      </c>
      <c r="C35" t="str">
        <f t="shared" si="0"/>
        <v>Q7</v>
      </c>
      <c r="D35">
        <v>5</v>
      </c>
      <c r="E35" t="str">
        <f t="shared" si="1"/>
        <v>Q7</v>
      </c>
      <c r="F35">
        <v>1</v>
      </c>
      <c r="G35" t="str">
        <f t="shared" si="2"/>
        <v>Q7</v>
      </c>
      <c r="H35">
        <v>1</v>
      </c>
      <c r="I35" t="str">
        <f t="shared" si="3"/>
        <v>Q7</v>
      </c>
    </row>
    <row r="36" spans="1:10">
      <c r="A36" s="200" t="s">
        <v>151</v>
      </c>
      <c r="B36" s="1" t="s">
        <v>706</v>
      </c>
      <c r="C36" t="str">
        <f t="shared" si="0"/>
        <v>Q7b</v>
      </c>
      <c r="D36">
        <v>110</v>
      </c>
      <c r="E36" t="str">
        <f t="shared" si="1"/>
        <v>Q7b</v>
      </c>
      <c r="G36" t="str">
        <f t="shared" si="2"/>
        <v>Q7b</v>
      </c>
      <c r="I36" t="str">
        <f t="shared" si="3"/>
        <v>Q7b</v>
      </c>
      <c r="J36">
        <v>1</v>
      </c>
    </row>
    <row r="37" spans="1:10">
      <c r="A37" s="200" t="s">
        <v>152</v>
      </c>
      <c r="B37" s="1" t="s">
        <v>709</v>
      </c>
      <c r="C37" t="str">
        <f t="shared" si="0"/>
        <v>Q8</v>
      </c>
      <c r="D37">
        <v>5</v>
      </c>
      <c r="E37" t="str">
        <f t="shared" si="1"/>
        <v>Q8</v>
      </c>
      <c r="F37">
        <v>1</v>
      </c>
      <c r="G37" t="str">
        <f t="shared" si="2"/>
        <v>Q8</v>
      </c>
      <c r="H37">
        <v>1</v>
      </c>
      <c r="I37" t="str">
        <f t="shared" si="3"/>
        <v>Q8</v>
      </c>
    </row>
    <row r="38" spans="1:10">
      <c r="A38" s="200" t="s">
        <v>154</v>
      </c>
      <c r="B38" s="1" t="s">
        <v>710</v>
      </c>
      <c r="C38" t="str">
        <f t="shared" si="0"/>
        <v>Q8b</v>
      </c>
      <c r="D38">
        <v>110</v>
      </c>
      <c r="E38" t="str">
        <f t="shared" si="1"/>
        <v>Q8b</v>
      </c>
      <c r="G38" t="str">
        <f t="shared" si="2"/>
        <v>Q8b</v>
      </c>
      <c r="I38" t="str">
        <f t="shared" si="3"/>
        <v>Q8b</v>
      </c>
      <c r="J38">
        <v>1</v>
      </c>
    </row>
    <row r="39" spans="1:10">
      <c r="A39" s="200" t="s">
        <v>155</v>
      </c>
      <c r="B39" s="1" t="s">
        <v>711</v>
      </c>
      <c r="C39" t="str">
        <f t="shared" si="0"/>
        <v>Q9</v>
      </c>
      <c r="D39">
        <v>5</v>
      </c>
      <c r="E39" t="str">
        <f t="shared" si="1"/>
        <v>Q9</v>
      </c>
      <c r="F39">
        <v>1</v>
      </c>
      <c r="G39" t="str">
        <f t="shared" si="2"/>
        <v>Q9</v>
      </c>
      <c r="H39">
        <v>1</v>
      </c>
      <c r="I39" t="str">
        <f t="shared" si="3"/>
        <v>Q9</v>
      </c>
    </row>
    <row r="40" spans="1:10">
      <c r="A40" s="200" t="s">
        <v>157</v>
      </c>
      <c r="B40" s="1" t="s">
        <v>133</v>
      </c>
      <c r="C40" t="str">
        <f t="shared" si="0"/>
        <v>Q9b</v>
      </c>
      <c r="D40">
        <v>110</v>
      </c>
      <c r="E40" t="str">
        <f t="shared" si="1"/>
        <v>Q9b</v>
      </c>
      <c r="G40" t="str">
        <f t="shared" si="2"/>
        <v>Q9b</v>
      </c>
      <c r="I40" t="str">
        <f t="shared" si="3"/>
        <v>Q9b</v>
      </c>
      <c r="J40">
        <v>1</v>
      </c>
    </row>
    <row r="41" spans="1:10">
      <c r="A41" s="200" t="s">
        <v>697</v>
      </c>
      <c r="B41" s="201" t="s">
        <v>719</v>
      </c>
      <c r="C41" t="str">
        <f t="shared" si="0"/>
        <v>QITTeamName</v>
      </c>
      <c r="D41">
        <v>5</v>
      </c>
      <c r="E41" t="str">
        <f t="shared" si="1"/>
        <v>QITTeamName</v>
      </c>
      <c r="G41" t="str">
        <f t="shared" si="2"/>
        <v>QITTeamName</v>
      </c>
      <c r="I41" t="str">
        <f t="shared" si="3"/>
        <v>QITTeamName</v>
      </c>
    </row>
    <row r="42" spans="1:10">
      <c r="A42" s="200" t="s">
        <v>124</v>
      </c>
      <c r="B42" s="1" t="s">
        <v>694</v>
      </c>
      <c r="C42" t="str">
        <f t="shared" si="0"/>
        <v>QSurveyPeriod</v>
      </c>
      <c r="D42">
        <v>5</v>
      </c>
      <c r="E42" t="str">
        <f t="shared" si="1"/>
        <v>QSurveyPeriod</v>
      </c>
      <c r="G42" t="str">
        <f t="shared" si="2"/>
        <v>QSurveyPeriod</v>
      </c>
      <c r="I42" t="str">
        <f t="shared" si="3"/>
        <v>QSurveyPeriod</v>
      </c>
    </row>
    <row r="43" spans="1:10">
      <c r="A43" s="200" t="s">
        <v>695</v>
      </c>
      <c r="B43" s="1" t="s">
        <v>696</v>
      </c>
      <c r="C43" t="str">
        <f t="shared" si="0"/>
        <v>QYourName</v>
      </c>
      <c r="D43">
        <v>5</v>
      </c>
      <c r="E43" t="str">
        <f t="shared" si="1"/>
        <v>QYourName</v>
      </c>
      <c r="G43" t="str">
        <f t="shared" si="2"/>
        <v>QYourName</v>
      </c>
      <c r="I43" t="str">
        <f t="shared" si="3"/>
        <v>QYourName</v>
      </c>
    </row>
  </sheetData>
  <sortState ref="A11:B43">
    <sortCondition ref="A11"/>
  </sortState>
  <hyperlinks>
    <hyperlink ref="A1" location="'Table of Contents'!A1" display="Table of Contents"/>
  </hyperlinks>
  <pageMargins left="0.7" right="0.7" top="0.75" bottom="0.75" header="0.3" footer="0.3"/>
  <pageSetup orientation="landscape" r:id="rId1"/>
  <headerFooter>
    <oddFooter>&amp;L&amp;5&amp;Z&amp;F
Created: 9/29/2006 10:44:00 PM
Last Saved: 2/5/2008 9:15:17 PM
Last Printed: 2/5/2008 6:12:16 PM&amp;R&amp;5&amp;P - &amp;N
Title :&lt;Not Set&gt;
Subject: &lt;Not Set&gt;</oddFooter>
  </headerFooter>
</worksheet>
</file>

<file path=xl/worksheets/sheet15.xml><?xml version="1.0" encoding="utf-8"?>
<worksheet xmlns="http://schemas.openxmlformats.org/spreadsheetml/2006/main" xmlns:r="http://schemas.openxmlformats.org/officeDocument/2006/relationships">
  <sheetPr codeName="Sheet21"/>
  <dimension ref="A1:AI77"/>
  <sheetViews>
    <sheetView workbookViewId="0"/>
  </sheetViews>
  <sheetFormatPr defaultRowHeight="12.75"/>
  <cols>
    <col min="1" max="1" width="5.7109375" customWidth="1"/>
    <col min="2" max="2" width="20.7109375" customWidth="1"/>
    <col min="3" max="3" width="25.7109375" customWidth="1"/>
    <col min="4" max="4" width="25.7109375" style="200" customWidth="1"/>
    <col min="5" max="5" width="25.7109375"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1" width="110.7109375" style="1" customWidth="1"/>
    <col min="22" max="22" width="5.7109375" style="1" customWidth="1"/>
    <col min="23" max="23" width="110.7109375" style="1" customWidth="1"/>
    <col min="24" max="24" width="5.7109375" style="1" customWidth="1"/>
    <col min="25" max="25" width="110.7109375" style="1" customWidth="1"/>
    <col min="26" max="26" width="5.7109375" style="1" customWidth="1"/>
    <col min="27" max="27" width="110.7109375" style="1" customWidth="1"/>
    <col min="28" max="28" width="5.7109375" style="1" customWidth="1"/>
    <col min="29" max="29" width="110.7109375" style="1" customWidth="1"/>
    <col min="30" max="30" width="5.7109375" style="1" customWidth="1"/>
    <col min="31" max="31" width="110.7109375" style="1" customWidth="1"/>
    <col min="32" max="32" width="5.7109375" style="1" customWidth="1"/>
    <col min="33" max="35" width="110.7109375" style="1" customWidth="1"/>
  </cols>
  <sheetData>
    <row r="1" spans="1:35">
      <c r="A1" s="5" t="s">
        <v>30</v>
      </c>
      <c r="E1" s="200" t="s">
        <v>121</v>
      </c>
      <c r="F1" s="1">
        <f t="shared" ref="F1:AI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5</v>
      </c>
      <c r="W1" s="1">
        <f t="shared" ca="1" si="0"/>
        <v>110</v>
      </c>
      <c r="X1" s="1">
        <f t="shared" ca="1" si="0"/>
        <v>5</v>
      </c>
      <c r="Y1" s="1">
        <f t="shared" ca="1" si="0"/>
        <v>110</v>
      </c>
      <c r="Z1" s="1">
        <f t="shared" ca="1" si="0"/>
        <v>5</v>
      </c>
      <c r="AA1" s="1">
        <f t="shared" ca="1" si="0"/>
        <v>110</v>
      </c>
      <c r="AB1" s="1">
        <f t="shared" ca="1" si="0"/>
        <v>5</v>
      </c>
      <c r="AC1" s="1">
        <f t="shared" ca="1" si="0"/>
        <v>110</v>
      </c>
      <c r="AD1" s="1">
        <f t="shared" ca="1" si="0"/>
        <v>5</v>
      </c>
      <c r="AE1" s="1">
        <f t="shared" ca="1" si="0"/>
        <v>110</v>
      </c>
      <c r="AF1" s="1">
        <f t="shared" ca="1" si="0"/>
        <v>5</v>
      </c>
      <c r="AG1" s="1">
        <f t="shared" ca="1" si="0"/>
        <v>110</v>
      </c>
      <c r="AH1" s="1">
        <f t="shared" ca="1" si="0"/>
        <v>110</v>
      </c>
      <c r="AI1" s="1">
        <f t="shared" ca="1" si="0"/>
        <v>110</v>
      </c>
    </row>
    <row r="2" spans="1:35">
      <c r="E2" s="200" t="s">
        <v>116</v>
      </c>
      <c r="F2" s="1">
        <f t="shared" ref="F2:AI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1</v>
      </c>
      <c r="W2" s="1">
        <f t="shared" ca="1" si="1"/>
        <v>0</v>
      </c>
      <c r="X2" s="1">
        <f t="shared" ca="1" si="1"/>
        <v>1</v>
      </c>
      <c r="Y2" s="1">
        <f t="shared" ca="1" si="1"/>
        <v>0</v>
      </c>
      <c r="Z2" s="1">
        <f t="shared" ca="1" si="1"/>
        <v>1</v>
      </c>
      <c r="AA2" s="1">
        <f t="shared" ca="1" si="1"/>
        <v>0</v>
      </c>
      <c r="AB2" s="1">
        <f t="shared" ca="1" si="1"/>
        <v>1</v>
      </c>
      <c r="AC2" s="1">
        <f t="shared" ca="1" si="1"/>
        <v>0</v>
      </c>
      <c r="AD2" s="1">
        <f t="shared" ca="1" si="1"/>
        <v>1</v>
      </c>
      <c r="AE2" s="1">
        <f t="shared" ca="1" si="1"/>
        <v>0</v>
      </c>
      <c r="AF2" s="1">
        <f t="shared" ca="1" si="1"/>
        <v>1</v>
      </c>
      <c r="AG2" s="1">
        <f t="shared" ca="1" si="1"/>
        <v>0</v>
      </c>
      <c r="AH2" s="1">
        <f t="shared" ca="1" si="1"/>
        <v>0</v>
      </c>
      <c r="AI2" s="1">
        <f t="shared" ca="1" si="1"/>
        <v>0</v>
      </c>
    </row>
    <row r="3" spans="1:35">
      <c r="E3" s="200" t="s">
        <v>122</v>
      </c>
      <c r="F3" s="1">
        <f t="shared" ref="F3:AI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0</v>
      </c>
      <c r="X3" s="1">
        <f t="shared" ca="1" si="2"/>
        <v>1</v>
      </c>
      <c r="Y3" s="1">
        <f t="shared" ca="1" si="2"/>
        <v>0</v>
      </c>
      <c r="Z3" s="1">
        <f t="shared" ca="1" si="2"/>
        <v>1</v>
      </c>
      <c r="AA3" s="1">
        <f t="shared" ca="1" si="2"/>
        <v>0</v>
      </c>
      <c r="AB3" s="1">
        <f t="shared" ca="1" si="2"/>
        <v>1</v>
      </c>
      <c r="AC3" s="1">
        <f t="shared" ca="1" si="2"/>
        <v>0</v>
      </c>
      <c r="AD3" s="1">
        <f t="shared" ca="1" si="2"/>
        <v>1</v>
      </c>
      <c r="AE3" s="1">
        <f t="shared" ca="1" si="2"/>
        <v>0</v>
      </c>
      <c r="AF3" s="1">
        <f t="shared" ca="1" si="2"/>
        <v>1</v>
      </c>
      <c r="AG3" s="1">
        <f t="shared" ca="1" si="2"/>
        <v>0</v>
      </c>
      <c r="AH3" s="1">
        <f t="shared" ca="1" si="2"/>
        <v>1</v>
      </c>
      <c r="AI3" s="1">
        <f t="shared" ca="1" si="2"/>
        <v>1</v>
      </c>
    </row>
    <row r="4" spans="1:35">
      <c r="B4" s="200" t="s">
        <v>420</v>
      </c>
      <c r="C4" s="200" t="s">
        <v>811</v>
      </c>
      <c r="E4" s="200" t="s">
        <v>427</v>
      </c>
      <c r="F4" s="1">
        <f t="shared" ref="F4:AI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1</v>
      </c>
      <c r="X4" s="1">
        <f t="shared" ca="1" si="3"/>
        <v>0</v>
      </c>
      <c r="Y4" s="1">
        <f t="shared" ca="1" si="3"/>
        <v>1</v>
      </c>
      <c r="Z4" s="1">
        <f t="shared" ca="1" si="3"/>
        <v>0</v>
      </c>
      <c r="AA4" s="1">
        <f t="shared" ca="1" si="3"/>
        <v>1</v>
      </c>
      <c r="AB4" s="1">
        <f t="shared" ca="1" si="3"/>
        <v>0</v>
      </c>
      <c r="AC4" s="1">
        <f t="shared" ca="1" si="3"/>
        <v>1</v>
      </c>
      <c r="AD4" s="1">
        <f t="shared" ca="1" si="3"/>
        <v>0</v>
      </c>
      <c r="AE4" s="1">
        <f t="shared" ca="1" si="3"/>
        <v>1</v>
      </c>
      <c r="AF4" s="1">
        <f t="shared" ca="1" si="3"/>
        <v>0</v>
      </c>
      <c r="AG4" s="1">
        <f t="shared" ca="1" si="3"/>
        <v>1</v>
      </c>
      <c r="AH4" s="1">
        <f t="shared" ca="1" si="3"/>
        <v>0</v>
      </c>
      <c r="AI4" s="1">
        <f t="shared" ca="1" si="3"/>
        <v>0</v>
      </c>
    </row>
    <row r="5" spans="1:35">
      <c r="B5" s="200" t="s">
        <v>23</v>
      </c>
      <c r="C5" t="str">
        <f>Survey_Period</f>
        <v>H2 2006</v>
      </c>
    </row>
    <row r="6" spans="1:35">
      <c r="B6" s="200" t="s">
        <v>422</v>
      </c>
      <c r="C6" t="str">
        <f>$C$4 &amp; " Questions"</f>
        <v>Business Survey Questions</v>
      </c>
    </row>
    <row r="7" spans="1:35">
      <c r="B7" s="200" t="s">
        <v>32</v>
      </c>
      <c r="C7" t="str">
        <f>Questions_Location</f>
        <v>$B$4</v>
      </c>
    </row>
    <row r="8" spans="1:35">
      <c r="B8" s="200" t="s">
        <v>42</v>
      </c>
      <c r="C8" t="str">
        <f>Row_Width_Location</f>
        <v>$B$5</v>
      </c>
    </row>
    <row r="9" spans="1:35">
      <c r="B9" s="200" t="s">
        <v>61</v>
      </c>
      <c r="C9" t="str">
        <f>Statistics_Location</f>
        <v>$B$6</v>
      </c>
    </row>
    <row r="10" spans="1:35">
      <c r="B10" s="200" t="s">
        <v>62</v>
      </c>
      <c r="C10" t="str">
        <f>Primary_Questions_Location</f>
        <v>$B$7</v>
      </c>
    </row>
    <row r="11" spans="1:35">
      <c r="B11" s="200" t="s">
        <v>423</v>
      </c>
      <c r="C11" t="str">
        <f>FollowUp_Questions_Location</f>
        <v>$B$8</v>
      </c>
    </row>
    <row r="12" spans="1:35">
      <c r="B12" s="200" t="s">
        <v>29</v>
      </c>
      <c r="C12" s="202" t="str">
        <f>Team_Name</f>
        <v>Viewpoint</v>
      </c>
    </row>
    <row r="13" spans="1:35">
      <c r="B13" s="200" t="s">
        <v>109</v>
      </c>
      <c r="C13">
        <v>31</v>
      </c>
    </row>
    <row r="14" spans="1:35">
      <c r="B14" s="200" t="s">
        <v>111</v>
      </c>
      <c r="C14">
        <v>77</v>
      </c>
    </row>
    <row r="15" spans="1:35">
      <c r="B15" s="200" t="s">
        <v>110</v>
      </c>
      <c r="C15">
        <v>6</v>
      </c>
    </row>
    <row r="16" spans="1:35">
      <c r="B16" s="200" t="s">
        <v>112</v>
      </c>
      <c r="C16">
        <v>35</v>
      </c>
      <c r="D16" s="200">
        <v>5</v>
      </c>
      <c r="E16" s="200" t="s">
        <v>1</v>
      </c>
      <c r="F16" s="1">
        <f t="array" aca="1" ref="F16" ca="1">SUM(  IF($C$12 = "All IT",    IF(F$31:F$77 =$D16,       1,      0),    IF($D$31:$D$77 = $C$12,      IF(F$31:F$77 =$D16,         1,        0),    )  ))</f>
        <v>3</v>
      </c>
      <c r="H16" s="1">
        <f t="array" aca="1" ref="H16" ca="1">SUM(  IF($C$12 = "All IT",    IF(H$31:H$77 =$D16,       1,      0),    IF($D$31:$D$77 = $C$12,      IF(H$31:H$77 =$D16,         1,        0),    )  ))</f>
        <v>2</v>
      </c>
      <c r="J16" s="1">
        <f t="array" aca="1" ref="J16" ca="1">SUM(  IF($C$12 = "All IT",    IF(J$31:J$77 =$D16,       1,      0),    IF($D$31:$D$77 = $C$12,      IF(J$31:J$77 =$D16,         1,        0),    )  ))</f>
        <v>1</v>
      </c>
      <c r="L16" s="1">
        <f t="array" aca="1" ref="L16" ca="1">SUM(  IF($C$12 = "All IT",    IF(L$31:L$77 =$D16,       1,      0),    IF($D$31:$D$77 = $C$12,      IF(L$31:L$77 =$D16,         1,        0),    )  ))</f>
        <v>2</v>
      </c>
      <c r="N16" s="1">
        <f t="array" aca="1" ref="N16" ca="1">SUM(  IF($C$12 = "All IT",    IF(N$31:N$77 =$D16,       1,      0),    IF($D$31:$D$77 = $C$12,      IF(N$31:N$77 =$D16,         1,        0),    )  ))</f>
        <v>2</v>
      </c>
      <c r="P16" s="1">
        <f t="array" aca="1" ref="P16" ca="1">SUM(  IF($C$12 = "All IT",    IF(P$31:P$77 =$D16,       1,      0),    IF($D$31:$D$77 = $C$12,      IF(P$31:P$77 =$D16,         1,        0),    )  ))</f>
        <v>2</v>
      </c>
      <c r="R16" s="1">
        <f t="array" aca="1" ref="R16" ca="1">SUM(  IF($C$12 = "All IT",    IF(R$31:R$77 =$D16,       1,      0),    IF($D$31:$D$77 = $C$12,      IF(R$31:R$77 =$D16,         1,        0),    )  ))</f>
        <v>2</v>
      </c>
      <c r="T16" s="1">
        <f t="array" aca="1" ref="T16" ca="1">SUM(  IF($C$12 = "All IT",    IF(T$31:T$77 =$D16,       1,      0),    IF($D$31:$D$77 = $C$12,      IF(T$31:T$77 =$D16,         1,        0),    )  ))</f>
        <v>3</v>
      </c>
      <c r="V16" s="1">
        <f t="array" aca="1" ref="V16" ca="1">SUM(  IF($C$12 = "All IT",    IF(V$31:V$77 =$D16,       1,      0),    IF($D$31:$D$77 = $C$12,      IF(V$31:V$77 =$D16,         1,        0),    )  ))</f>
        <v>5</v>
      </c>
      <c r="X16" s="1">
        <f t="array" aca="1" ref="X16" ca="1">SUM(  IF($C$12 = "All IT",    IF(X$31:X$77 =$D16,       1,      0),    IF($D$31:$D$77 = $C$12,      IF(X$31:X$77 =$D16,         1,        0),    )  ))</f>
        <v>3</v>
      </c>
      <c r="Z16" s="1">
        <f t="array" aca="1" ref="Z16" ca="1">SUM(  IF($C$12 = "All IT",    IF(Z$31:Z$77 =$D16,       1,      0),    IF($D$31:$D$77 = $C$12,      IF(Z$31:Z$77 =$D16,         1,        0),    )  ))</f>
        <v>3</v>
      </c>
      <c r="AB16" s="1">
        <f t="array" aca="1" ref="AB16" ca="1">SUM(  IF($C$12 = "All IT",    IF(AB$31:AB$77 =$D16,       1,      0),    IF($D$31:$D$77 = $C$12,      IF(AB$31:AB$77 =$D16,         1,        0),    )  ))</f>
        <v>3</v>
      </c>
      <c r="AD16" s="1">
        <f t="array" aca="1" ref="AD16" ca="1">SUM(  IF($C$12 = "All IT",    IF(AD$31:AD$77 =$D16,       1,      0),    IF($D$31:$D$77 = $C$12,      IF(AD$31:AD$77 =$D16,         1,        0),    )  ))</f>
        <v>2</v>
      </c>
      <c r="AF16" s="1">
        <f t="array" aca="1" ref="AF16" ca="1">SUM(  IF($C$12 = "All IT",    IF(AF$31:AF$77 =$D16,       1,      0),    IF($D$31:$D$77 = $C$12,      IF(AF$31:AF$77 =$D16,         1,        0),    )  ))</f>
        <v>3</v>
      </c>
    </row>
    <row r="17" spans="1:35">
      <c r="A17">
        <f ca="1">SUM($F$2:$AI$2)</f>
        <v>14</v>
      </c>
      <c r="B17" s="200" t="s">
        <v>424</v>
      </c>
      <c r="C17">
        <f ca="1">A17</f>
        <v>14</v>
      </c>
      <c r="D17" s="200">
        <v>4</v>
      </c>
      <c r="E17" s="200" t="s">
        <v>2</v>
      </c>
      <c r="F17" s="1">
        <f t="array" aca="1" ref="F17" ca="1">SUM(  IF($C$12 = "All IT",    IF(F$31:F$77 =$D17,       1,      0),    IF($D$31:$D$77 = $C$12,      IF(F$31:F$77 =$D17,         1,        0),    )  ))</f>
        <v>2</v>
      </c>
      <c r="H17" s="1">
        <f t="array" aca="1" ref="H17" ca="1">SUM(  IF($C$12 = "All IT",    IF(H$31:H$77 =$D17,       1,      0),    IF($D$31:$D$77 = $C$12,      IF(H$31:H$77 =$D17,         1,        0),    )  ))</f>
        <v>5</v>
      </c>
      <c r="J17" s="1">
        <f t="array" aca="1" ref="J17" ca="1">SUM(  IF($C$12 = "All IT",    IF(J$31:J$77 =$D17,       1,      0),    IF($D$31:$D$77 = $C$12,      IF(J$31:J$77 =$D17,         1,        0),    )  ))</f>
        <v>6</v>
      </c>
      <c r="L17" s="1">
        <f t="array" aca="1" ref="L17" ca="1">SUM(  IF($C$12 = "All IT",    IF(L$31:L$77 =$D17,       1,      0),    IF($D$31:$D$77 = $C$12,      IF(L$31:L$77 =$D17,         1,        0),    )  ))</f>
        <v>4</v>
      </c>
      <c r="N17" s="1">
        <f t="array" aca="1" ref="N17" ca="1">SUM(  IF($C$12 = "All IT",    IF(N$31:N$77 =$D17,       1,      0),    IF($D$31:$D$77 = $C$12,      IF(N$31:N$77 =$D17,         1,        0),    )  ))</f>
        <v>4</v>
      </c>
      <c r="P17" s="1">
        <f t="array" aca="1" ref="P17" ca="1">SUM(  IF($C$12 = "All IT",    IF(P$31:P$77 =$D17,       1,      0),    IF($D$31:$D$77 = $C$12,      IF(P$31:P$77 =$D17,         1,        0),    )  ))</f>
        <v>4</v>
      </c>
      <c r="R17" s="1">
        <f t="array" aca="1" ref="R17" ca="1">SUM(  IF($C$12 = "All IT",    IF(R$31:R$77 =$D17,       1,      0),    IF($D$31:$D$77 = $C$12,      IF(R$31:R$77 =$D17,         1,        0),    )  ))</f>
        <v>6</v>
      </c>
      <c r="T17" s="1">
        <f t="array" aca="1" ref="T17" ca="1">SUM(  IF($C$12 = "All IT",    IF(T$31:T$77 =$D17,       1,      0),    IF($D$31:$D$77 = $C$12,      IF(T$31:T$77 =$D17,         1,        0),    )  ))</f>
        <v>4</v>
      </c>
      <c r="V17" s="1">
        <f t="array" aca="1" ref="V17" ca="1">SUM(  IF($C$12 = "All IT",    IF(V$31:V$77 =$D17,       1,      0),    IF($D$31:$D$77 = $C$12,      IF(V$31:V$77 =$D17,         1,        0),    )  ))</f>
        <v>3</v>
      </c>
      <c r="X17" s="1">
        <f t="array" aca="1" ref="X17" ca="1">SUM(  IF($C$12 = "All IT",    IF(X$31:X$77 =$D17,       1,      0),    IF($D$31:$D$77 = $C$12,      IF(X$31:X$77 =$D17,         1,        0),    )  ))</f>
        <v>3</v>
      </c>
      <c r="Z17" s="1">
        <f t="array" aca="1" ref="Z17" ca="1">SUM(  IF($C$12 = "All IT",    IF(Z$31:Z$77 =$D17,       1,      0),    IF($D$31:$D$77 = $C$12,      IF(Z$31:Z$77 =$D17,         1,        0),    )  ))</f>
        <v>4</v>
      </c>
      <c r="AB17" s="1">
        <f t="array" aca="1" ref="AB17" ca="1">SUM(  IF($C$12 = "All IT",    IF(AB$31:AB$77 =$D17,       1,      0),    IF($D$31:$D$77 = $C$12,      IF(AB$31:AB$77 =$D17,         1,        0),    )  ))</f>
        <v>5</v>
      </c>
      <c r="AD17" s="1">
        <f t="array" aca="1" ref="AD17" ca="1">SUM(  IF($C$12 = "All IT",    IF(AD$31:AD$77 =$D17,       1,      0),    IF($D$31:$D$77 = $C$12,      IF(AD$31:AD$77 =$D17,         1,        0),    )  ))</f>
        <v>6</v>
      </c>
      <c r="AF17" s="1">
        <f t="array" aca="1" ref="AF17" ca="1">SUM(  IF($C$12 = "All IT",    IF(AF$31:AF$77 =$D17,       1,      0),    IF($D$31:$D$77 = $C$12,      IF(AF$31:AF$77 =$D17,         1,        0),    )  ))</f>
        <v>5</v>
      </c>
    </row>
    <row r="18" spans="1:35">
      <c r="A18">
        <f ca="1">SUM($F$3:$AI$3)</f>
        <v>16</v>
      </c>
      <c r="B18" s="200" t="s">
        <v>425</v>
      </c>
      <c r="C18">
        <f ca="1">A18</f>
        <v>16</v>
      </c>
      <c r="D18" s="200">
        <v>3</v>
      </c>
      <c r="E18" s="200" t="s">
        <v>3</v>
      </c>
      <c r="F18" s="1">
        <f t="array" aca="1" ref="F18" ca="1">SUM(  IF($C$12 = "All IT",    IF(F$31:F$77 =$D18,       1,      0),    IF($D$31:$D$77 = $C$12,      IF(F$31:F$77 =$D18,         1,        0),    )  ))</f>
        <v>1</v>
      </c>
      <c r="H18" s="1">
        <f t="array" aca="1" ref="H18" ca="1">SUM(  IF($C$12 = "All IT",    IF(H$31:H$77 =$D18,       1,      0),    IF($D$31:$D$77 = $C$12,      IF(H$31:H$77 =$D18,         1,        0),    )  ))</f>
        <v>0</v>
      </c>
      <c r="J18" s="1">
        <f t="array" aca="1" ref="J18" ca="1">SUM(  IF($C$12 = "All IT",    IF(J$31:J$77 =$D18,       1,      0),    IF($D$31:$D$77 = $C$12,      IF(J$31:J$77 =$D18,         1,        0),    )  ))</f>
        <v>0</v>
      </c>
      <c r="L18" s="1">
        <f t="array" aca="1" ref="L18" ca="1">SUM(  IF($C$12 = "All IT",    IF(L$31:L$77 =$D18,       1,      0),    IF($D$31:$D$77 = $C$12,      IF(L$31:L$77 =$D18,         1,        0),    )  ))</f>
        <v>1</v>
      </c>
      <c r="N18" s="1">
        <f t="array" aca="1" ref="N18" ca="1">SUM(  IF($C$12 = "All IT",    IF(N$31:N$77 =$D18,       1,      0),    IF($D$31:$D$77 = $C$12,      IF(N$31:N$77 =$D18,         1,        0),    )  ))</f>
        <v>2</v>
      </c>
      <c r="P18" s="1">
        <f t="array" aca="1" ref="P18" ca="1">SUM(  IF($C$12 = "All IT",    IF(P$31:P$77 =$D18,       1,      0),    IF($D$31:$D$77 = $C$12,      IF(P$31:P$77 =$D18,         1,        0),    )  ))</f>
        <v>1</v>
      </c>
      <c r="R18" s="1">
        <f t="array" aca="1" ref="R18" ca="1">SUM(  IF($C$12 = "All IT",    IF(R$31:R$77 =$D18,       1,      0),    IF($D$31:$D$77 = $C$12,      IF(R$31:R$77 =$D18,         1,        0),    )  ))</f>
        <v>0</v>
      </c>
      <c r="T18" s="1">
        <f t="array" aca="1" ref="T18" ca="1">SUM(  IF($C$12 = "All IT",    IF(T$31:T$77 =$D18,       1,      0),    IF($D$31:$D$77 = $C$12,      IF(T$31:T$77 =$D18,         1,        0),    )  ))</f>
        <v>1</v>
      </c>
      <c r="V18" s="1">
        <f t="array" aca="1" ref="V18" ca="1">SUM(  IF($C$12 = "All IT",    IF(V$31:V$77 =$D18,       1,      0),    IF($D$31:$D$77 = $C$12,      IF(V$31:V$77 =$D18,         1,        0),    )  ))</f>
        <v>0</v>
      </c>
      <c r="X18" s="1">
        <f t="array" aca="1" ref="X18" ca="1">SUM(  IF($C$12 = "All IT",    IF(X$31:X$77 =$D18,       1,      0),    IF($D$31:$D$77 = $C$12,      IF(X$31:X$77 =$D18,         1,        0),    )  ))</f>
        <v>0</v>
      </c>
      <c r="Z18" s="1">
        <f t="array" aca="1" ref="Z18" ca="1">SUM(  IF($C$12 = "All IT",    IF(Z$31:Z$77 =$D18,       1,      0),    IF($D$31:$D$77 = $C$12,      IF(Z$31:Z$77 =$D18,         1,        0),    )  ))</f>
        <v>1</v>
      </c>
      <c r="AB18" s="1">
        <f t="array" aca="1" ref="AB18" ca="1">SUM(  IF($C$12 = "All IT",    IF(AB$31:AB$77 =$D18,       1,      0),    IF($D$31:$D$77 = $C$12,      IF(AB$31:AB$77 =$D18,         1,        0),    )  ))</f>
        <v>0</v>
      </c>
      <c r="AD18" s="1">
        <f t="array" aca="1" ref="AD18" ca="1">SUM(  IF($C$12 = "All IT",    IF(AD$31:AD$77 =$D18,       1,      0),    IF($D$31:$D$77 = $C$12,      IF(AD$31:AD$77 =$D18,         1,        0),    )  ))</f>
        <v>0</v>
      </c>
      <c r="AF18" s="1">
        <f t="array" aca="1" ref="AF18" ca="1">SUM(  IF($C$12 = "All IT",    IF(AF$31:AF$77 =$D18,       1,      0),    IF($D$31:$D$77 = $C$12,      IF(AF$31:AF$77 =$D18,         1,        0),    )  ))</f>
        <v>0</v>
      </c>
    </row>
    <row r="19" spans="1:35">
      <c r="D19" s="200">
        <v>2</v>
      </c>
      <c r="E19" s="200" t="s">
        <v>4</v>
      </c>
      <c r="F19" s="1">
        <f t="array" aca="1" ref="F19" ca="1">SUM(  IF($C$12 = "All IT",    IF(F$31:F$77 =$D19,       1,      0),    IF($D$31:$D$77 = $C$12,      IF(F$31:F$77 =$D19,         1,        0),    )  ))</f>
        <v>1</v>
      </c>
      <c r="H19" s="1">
        <f t="array" aca="1" ref="H19" ca="1">SUM(  IF($C$12 = "All IT",    IF(H$31:H$77 =$D19,       1,      0),    IF($D$31:$D$77 = $C$12,      IF(H$31:H$77 =$D19,         1,        0),    )  ))</f>
        <v>0</v>
      </c>
      <c r="J19" s="1">
        <f t="array" aca="1" ref="J19" ca="1">SUM(  IF($C$12 = "All IT",    IF(J$31:J$77 =$D19,       1,      0),    IF($D$31:$D$77 = $C$12,      IF(J$31:J$77 =$D19,         1,        0),    )  ))</f>
        <v>0</v>
      </c>
      <c r="L19" s="1">
        <f t="array" aca="1" ref="L19" ca="1">SUM(  IF($C$12 = "All IT",    IF(L$31:L$77 =$D19,       1,      0),    IF($D$31:$D$77 = $C$12,      IF(L$31:L$77 =$D19,         1,        0),    )  ))</f>
        <v>1</v>
      </c>
      <c r="N19" s="1">
        <f t="array" aca="1" ref="N19" ca="1">SUM(  IF($C$12 = "All IT",    IF(N$31:N$77 =$D19,       1,      0),    IF($D$31:$D$77 = $C$12,      IF(N$31:N$77 =$D19,         1,        0),    )  ))</f>
        <v>0</v>
      </c>
      <c r="P19" s="1">
        <f t="array" aca="1" ref="P19" ca="1">SUM(  IF($C$12 = "All IT",    IF(P$31:P$77 =$D19,       1,      0),    IF($D$31:$D$77 = $C$12,      IF(P$31:P$77 =$D19,         1,        0),    )  ))</f>
        <v>1</v>
      </c>
      <c r="R19" s="1">
        <f t="array" aca="1" ref="R19" ca="1">SUM(  IF($C$12 = "All IT",    IF(R$31:R$77 =$D19,       1,      0),    IF($D$31:$D$77 = $C$12,      IF(R$31:R$77 =$D19,         1,        0),    )  ))</f>
        <v>0</v>
      </c>
      <c r="T19" s="1">
        <f t="array" aca="1" ref="T19" ca="1">SUM(  IF($C$12 = "All IT",    IF(T$31:T$77 =$D19,       1,      0),    IF($D$31:$D$77 = $C$12,      IF(T$31:T$77 =$D19,         1,        0),    )  ))</f>
        <v>0</v>
      </c>
      <c r="V19" s="1">
        <f t="array" aca="1" ref="V19" ca="1">SUM(  IF($C$12 = "All IT",    IF(V$31:V$77 =$D19,       1,      0),    IF($D$31:$D$77 = $C$12,      IF(V$31:V$77 =$D19,         1,        0),    )  ))</f>
        <v>0</v>
      </c>
      <c r="X19" s="1">
        <f t="array" aca="1" ref="X19" ca="1">SUM(  IF($C$12 = "All IT",    IF(X$31:X$77 =$D19,       1,      0),    IF($D$31:$D$77 = $C$12,      IF(X$31:X$77 =$D19,         1,        0),    )  ))</f>
        <v>0</v>
      </c>
      <c r="Z19" s="1">
        <f t="array" aca="1" ref="Z19" ca="1">SUM(  IF($C$12 = "All IT",    IF(Z$31:Z$77 =$D19,       1,      0),    IF($D$31:$D$77 = $C$12,      IF(Z$31:Z$77 =$D19,         1,        0),    )  ))</f>
        <v>0</v>
      </c>
      <c r="AB19" s="1">
        <f t="array" aca="1" ref="AB19" ca="1">SUM(  IF($C$12 = "All IT",    IF(AB$31:AB$77 =$D19,       1,      0),    IF($D$31:$D$77 = $C$12,      IF(AB$31:AB$77 =$D19,         1,        0),    )  ))</f>
        <v>0</v>
      </c>
      <c r="AD19" s="1">
        <f t="array" aca="1" ref="AD19" ca="1">SUM(  IF($C$12 = "All IT",    IF(AD$31:AD$77 =$D19,       1,      0),    IF($D$31:$D$77 = $C$12,      IF(AD$31:AD$77 =$D19,         1,        0),    )  ))</f>
        <v>0</v>
      </c>
      <c r="AF19" s="1">
        <f t="array" aca="1" ref="AF19" ca="1">SUM(  IF($C$12 = "All IT",    IF(AF$31:AF$77 =$D19,       1,      0),    IF($D$31:$D$77 = $C$12,      IF(AF$31:AF$77 =$D19,         1,        0),    )  ))</f>
        <v>0</v>
      </c>
    </row>
    <row r="20" spans="1:35">
      <c r="D20" s="200">
        <v>1</v>
      </c>
      <c r="E20" s="200" t="s">
        <v>428</v>
      </c>
      <c r="F20" s="1">
        <f t="array" aca="1" ref="F20" ca="1">SUM(  IF($C$12 = "All IT",    IF(F$31:F$77 =$D20,       1,      0),    IF($D$31:$D$77 = $C$12,      IF(F$31:F$77 =$D20,         1,        0),    )  ))</f>
        <v>0</v>
      </c>
      <c r="H20" s="1">
        <f t="array" aca="1" ref="H20" ca="1">SUM(  IF($C$12 = "All IT",    IF(H$31:H$77 =$D20,       1,      0),    IF($D$31:$D$77 = $C$12,      IF(H$31:H$77 =$D20,         1,        0),    )  ))</f>
        <v>0</v>
      </c>
      <c r="J20" s="1">
        <f t="array" aca="1" ref="J20" ca="1">SUM(  IF($C$12 = "All IT",    IF(J$31:J$77 =$D20,       1,      0),    IF($D$31:$D$77 = $C$12,      IF(J$31:J$77 =$D20,         1,        0),    )  ))</f>
        <v>0</v>
      </c>
      <c r="L20" s="1">
        <f t="array" aca="1" ref="L20" ca="1">SUM(  IF($C$12 = "All IT",    IF(L$31:L$77 =$D20,       1,      0),    IF($D$31:$D$77 = $C$12,      IF(L$31:L$77 =$D20,         1,        0),    )  ))</f>
        <v>0</v>
      </c>
      <c r="N20" s="1">
        <f t="array" aca="1" ref="N20" ca="1">SUM(  IF($C$12 = "All IT",    IF(N$31:N$77 =$D20,       1,      0),    IF($D$31:$D$77 = $C$12,      IF(N$31:N$77 =$D20,         1,        0),    )  ))</f>
        <v>0</v>
      </c>
      <c r="P20" s="1">
        <f t="array" aca="1" ref="P20" ca="1">SUM(  IF($C$12 = "All IT",    IF(P$31:P$77 =$D20,       1,      0),    IF($D$31:$D$77 = $C$12,      IF(P$31:P$77 =$D20,         1,        0),    )  ))</f>
        <v>0</v>
      </c>
      <c r="R20" s="1">
        <f t="array" aca="1" ref="R20" ca="1">SUM(  IF($C$12 = "All IT",    IF(R$31:R$77 =$D20,       1,      0),    IF($D$31:$D$77 = $C$12,      IF(R$31:R$77 =$D20,         1,        0),    )  ))</f>
        <v>0</v>
      </c>
      <c r="T20" s="1">
        <f t="array" aca="1" ref="T20" ca="1">SUM(  IF($C$12 = "All IT",    IF(T$31:T$77 =$D20,       1,      0),    IF($D$31:$D$77 = $C$12,      IF(T$31:T$77 =$D20,         1,        0),    )  ))</f>
        <v>0</v>
      </c>
      <c r="V20" s="1">
        <f t="array" aca="1" ref="V20" ca="1">SUM(  IF($C$12 = "All IT",    IF(V$31:V$77 =$D20,       1,      0),    IF($D$31:$D$77 = $C$12,      IF(V$31:V$77 =$D20,         1,        0),    )  ))</f>
        <v>0</v>
      </c>
      <c r="X20" s="1">
        <f t="array" aca="1" ref="X20" ca="1">SUM(  IF($C$12 = "All IT",    IF(X$31:X$77 =$D20,       1,      0),    IF($D$31:$D$77 = $C$12,      IF(X$31:X$77 =$D20,         1,        0),    )  ))</f>
        <v>1</v>
      </c>
      <c r="Z20" s="1">
        <f t="array" aca="1" ref="Z20" ca="1">SUM(  IF($C$12 = "All IT",    IF(Z$31:Z$77 =$D20,       1,      0),    IF($D$31:$D$77 = $C$12,      IF(Z$31:Z$77 =$D20,         1,        0),    )  ))</f>
        <v>0</v>
      </c>
      <c r="AB20" s="1">
        <f t="array" aca="1" ref="AB20" ca="1">SUM(  IF($C$12 = "All IT",    IF(AB$31:AB$77 =$D20,       1,      0),    IF($D$31:$D$77 = $C$12,      IF(AB$31:AB$77 =$D20,         1,        0),    )  ))</f>
        <v>0</v>
      </c>
      <c r="AD20" s="1">
        <f t="array" aca="1" ref="AD20" ca="1">SUM(  IF($C$12 = "All IT",    IF(AD$31:AD$77 =$D20,       1,      0),    IF($D$31:$D$77 = $C$12,      IF(AD$31:AD$77 =$D20,         1,        0),    )  ))</f>
        <v>0</v>
      </c>
      <c r="AF20" s="1">
        <f t="array" aca="1" ref="AF20" ca="1">SUM(  IF($C$12 = "All IT",    IF(AF$31:AF$77 =$D20,       1,      0),    IF($D$31:$D$77 = $C$12,      IF(AF$31:AF$77 =$D20,         1,        0),    )  ))</f>
        <v>0</v>
      </c>
    </row>
    <row r="21" spans="1:35">
      <c r="D21" s="200">
        <v>6</v>
      </c>
      <c r="E21" s="200" t="s">
        <v>6</v>
      </c>
      <c r="F21" s="1">
        <f t="array" aca="1" ref="F21" ca="1">SUM(  IF($C$12 = "All IT",    IF(F$31:F$77 =$D21,       1,      0),    IF($D$31:$D$77 = $C$12,      IF(F$31:F$77 =$D21,         1,        0),    )  ))</f>
        <v>1</v>
      </c>
      <c r="H21" s="1">
        <f t="array" aca="1" ref="H21" ca="1">SUM(  IF($C$12 = "All IT",    IF(H$31:H$77 =$D21,       1,      0),    IF($D$31:$D$77 = $C$12,      IF(H$31:H$77 =$D21,         1,        0),    )  ))</f>
        <v>1</v>
      </c>
      <c r="J21" s="1">
        <f t="array" aca="1" ref="J21" ca="1">SUM(  IF($C$12 = "All IT",    IF(J$31:J$77 =$D21,       1,      0),    IF($D$31:$D$77 = $C$12,      IF(J$31:J$77 =$D21,         1,        0),    )  ))</f>
        <v>1</v>
      </c>
      <c r="L21" s="1">
        <f t="array" aca="1" ref="L21" ca="1">SUM(  IF($C$12 = "All IT",    IF(L$31:L$77 =$D21,       1,      0),    IF($D$31:$D$77 = $C$12,      IF(L$31:L$77 =$D21,         1,        0),    )  ))</f>
        <v>0</v>
      </c>
      <c r="N21" s="1">
        <f t="array" aca="1" ref="N21" ca="1">SUM(  IF($C$12 = "All IT",    IF(N$31:N$77 =$D21,       1,      0),    IF($D$31:$D$77 = $C$12,      IF(N$31:N$77 =$D21,         1,        0),    )  ))</f>
        <v>0</v>
      </c>
      <c r="P21" s="1">
        <f t="array" aca="1" ref="P21" ca="1">SUM(  IF($C$12 = "All IT",    IF(P$31:P$77 =$D21,       1,      0),    IF($D$31:$D$77 = $C$12,      IF(P$31:P$77 =$D21,         1,        0),    )  ))</f>
        <v>0</v>
      </c>
      <c r="R21" s="1">
        <f t="array" aca="1" ref="R21" ca="1">SUM(  IF($C$12 = "All IT",    IF(R$31:R$77 =$D21,       1,      0),    IF($D$31:$D$77 = $C$12,      IF(R$31:R$77 =$D21,         1,        0),    )  ))</f>
        <v>0</v>
      </c>
      <c r="T21" s="1">
        <f t="array" aca="1" ref="T21" ca="1">SUM(  IF($C$12 = "All IT",    IF(T$31:T$77 =$D21,       1,      0),    IF($D$31:$D$77 = $C$12,      IF(T$31:T$77 =$D21,         1,        0),    )  ))</f>
        <v>0</v>
      </c>
      <c r="V21" s="1">
        <f t="array" aca="1" ref="V21" ca="1">SUM(  IF($C$12 = "All IT",    IF(V$31:V$77 =$D21,       1,      0),    IF($D$31:$D$77 = $C$12,      IF(V$31:V$77 =$D21,         1,        0),    )  ))</f>
        <v>0</v>
      </c>
      <c r="X21" s="1">
        <f t="array" aca="1" ref="X21" ca="1">SUM(  IF($C$12 = "All IT",    IF(X$31:X$77 =$D21,       1,      0),    IF($D$31:$D$77 = $C$12,      IF(X$31:X$77 =$D21,         1,        0),    )  ))</f>
        <v>1</v>
      </c>
      <c r="Z21" s="1">
        <f t="array" aca="1" ref="Z21" ca="1">SUM(  IF($C$12 = "All IT",    IF(Z$31:Z$77 =$D21,       1,      0),    IF($D$31:$D$77 = $C$12,      IF(Z$31:Z$77 =$D21,         1,        0),    )  ))</f>
        <v>0</v>
      </c>
      <c r="AB21" s="1">
        <f t="array" aca="1" ref="AB21" ca="1">SUM(  IF($C$12 = "All IT",    IF(AB$31:AB$77 =$D21,       1,      0),    IF($D$31:$D$77 = $C$12,      IF(AB$31:AB$77 =$D21,         1,        0),    )  ))</f>
        <v>0</v>
      </c>
      <c r="AD21" s="1">
        <f t="array" aca="1" ref="AD21" ca="1">SUM(  IF($C$12 = "All IT",    IF(AD$31:AD$77 =$D21,       1,      0),    IF($D$31:$D$77 = $C$12,      IF(AD$31:AD$77 =$D21,         1,        0),    )  ))</f>
        <v>0</v>
      </c>
      <c r="AF21" s="1">
        <f t="array" aca="1" ref="AF21" ca="1">SUM(  IF($C$12 = "All IT",    IF(AF$31:AF$77 =$D21,       1,      0),    IF($D$31:$D$77 = $C$12,      IF(AF$31:AF$77 =$D21,         1,        0),    )  ))</f>
        <v>0</v>
      </c>
    </row>
    <row r="22" spans="1:35">
      <c r="D22" s="200">
        <v>0</v>
      </c>
      <c r="E22" s="200" t="s">
        <v>19</v>
      </c>
      <c r="F22" s="1">
        <f t="array" aca="1" ref="F22" ca="1">SUM(  IF($C$12 = "All IT",    IF(F$31:F$77 =$D22,       1,      0),    IF($D$31:$D$77 = $C$12,      IF(F$31:F$77 =$D22,         1,        0),    )  ))</f>
        <v>0</v>
      </c>
      <c r="H22" s="1">
        <f t="array" aca="1" ref="H22" ca="1">SUM(  IF($C$12 = "All IT",    IF(H$31:H$77 =$D22,       1,      0),    IF($D$31:$D$77 = $C$12,      IF(H$31:H$77 =$D22,         1,        0),    )  ))</f>
        <v>0</v>
      </c>
      <c r="J22" s="1">
        <f t="array" aca="1" ref="J22" ca="1">SUM(  IF($C$12 = "All IT",    IF(J$31:J$77 =$D22,       1,      0),    IF($D$31:$D$77 = $C$12,      IF(J$31:J$77 =$D22,         1,        0),    )  ))</f>
        <v>0</v>
      </c>
      <c r="L22" s="1">
        <f t="array" aca="1" ref="L22" ca="1">SUM(  IF($C$12 = "All IT",    IF(L$31:L$77 =$D22,       1,      0),    IF($D$31:$D$77 = $C$12,      IF(L$31:L$77 =$D22,         1,        0),    )  ))</f>
        <v>0</v>
      </c>
      <c r="N22" s="1">
        <f t="array" aca="1" ref="N22" ca="1">SUM(  IF($C$12 = "All IT",    IF(N$31:N$77 =$D22,       1,      0),    IF($D$31:$D$77 = $C$12,      IF(N$31:N$77 =$D22,         1,        0),    )  ))</f>
        <v>0</v>
      </c>
      <c r="P22" s="1">
        <f t="array" aca="1" ref="P22" ca="1">SUM(  IF($C$12 = "All IT",    IF(P$31:P$77 =$D22,       1,      0),    IF($D$31:$D$77 = $C$12,      IF(P$31:P$77 =$D22,         1,        0),    )  ))</f>
        <v>0</v>
      </c>
      <c r="R22" s="1">
        <f t="array" aca="1" ref="R22" ca="1">SUM(  IF($C$12 = "All IT",    IF(R$31:R$77 =$D22,       1,      0),    IF($D$31:$D$77 = $C$12,      IF(R$31:R$77 =$D22,         1,        0),    )  ))</f>
        <v>0</v>
      </c>
      <c r="T22" s="1">
        <f t="array" aca="1" ref="T22" ca="1">SUM(  IF($C$12 = "All IT",    IF(T$31:T$77 =$D22,       1,      0),    IF($D$31:$D$77 = $C$12,      IF(T$31:T$77 =$D22,         1,        0),    )  ))</f>
        <v>0</v>
      </c>
      <c r="V22" s="1">
        <f t="array" aca="1" ref="V22" ca="1">SUM(  IF($C$12 = "All IT",    IF(V$31:V$77 =$D22,       1,      0),    IF($D$31:$D$77 = $C$12,      IF(V$31:V$77 =$D22,         1,        0),    )  ))</f>
        <v>0</v>
      </c>
      <c r="X22" s="1">
        <f t="array" aca="1" ref="X22" ca="1">SUM(  IF($C$12 = "All IT",    IF(X$31:X$77 =$D22,       1,      0),    IF($D$31:$D$77 = $C$12,      IF(X$31:X$77 =$D22,         1,        0),    )  ))</f>
        <v>0</v>
      </c>
      <c r="Z22" s="1">
        <f t="array" aca="1" ref="Z22" ca="1">SUM(  IF($C$12 = "All IT",    IF(Z$31:Z$77 =$D22,       1,      0),    IF($D$31:$D$77 = $C$12,      IF(Z$31:Z$77 =$D22,         1,        0),    )  ))</f>
        <v>0</v>
      </c>
      <c r="AB22" s="1">
        <f t="array" aca="1" ref="AB22" ca="1">SUM(  IF($C$12 = "All IT",    IF(AB$31:AB$77 =$D22,       1,      0),    IF($D$31:$D$77 = $C$12,      IF(AB$31:AB$77 =$D22,         1,        0),    )  ))</f>
        <v>0</v>
      </c>
      <c r="AD22" s="1">
        <f t="array" aca="1" ref="AD22" ca="1">SUM(  IF($C$12 = "All IT",    IF(AD$31:AD$77 =$D22,       1,      0),    IF($D$31:$D$77 = $C$12,      IF(AD$31:AD$77 =$D22,         1,        0),    )  ))</f>
        <v>0</v>
      </c>
      <c r="AF22" s="1">
        <f t="array" aca="1" ref="AF22" ca="1">SUM(  IF($C$12 = "All IT",    IF(AF$31:AF$77 =$D22,       1,      0),    IF($D$31:$D$77 = $C$12,      IF(AF$31:AF$77 =$D22,         1,        0),    )  ))</f>
        <v>0</v>
      </c>
    </row>
    <row r="23" spans="1:35">
      <c r="B23" s="200" t="s">
        <v>426</v>
      </c>
      <c r="C23">
        <f t="array" aca="1" ref="C23" ca="1">IF($C$12="All IT",$C$14-$C$13+1,SUM(IF(INDIRECT("R"&amp;$C$13&amp;"C4:R"&amp;$C$14&amp;"C4",FALSE) = $C$12,1,0)))</f>
        <v>8</v>
      </c>
      <c r="F23" s="1">
        <f ca="1">SUM(F16:F22)</f>
        <v>8</v>
      </c>
      <c r="H23" s="1">
        <f ca="1">SUM(F16:F22)</f>
        <v>8</v>
      </c>
      <c r="J23" s="1">
        <f ca="1">SUM(F16:F22)</f>
        <v>8</v>
      </c>
      <c r="L23" s="1">
        <f ca="1">SUM(F16:F22)</f>
        <v>8</v>
      </c>
      <c r="N23" s="1">
        <f ca="1">SUM(F16:F22)</f>
        <v>8</v>
      </c>
      <c r="P23" s="1">
        <f ca="1">SUM(F16:F22)</f>
        <v>8</v>
      </c>
      <c r="R23" s="1">
        <f ca="1">SUM(F16:F22)</f>
        <v>8</v>
      </c>
      <c r="T23" s="1">
        <f ca="1">SUM(F16:F22)</f>
        <v>8</v>
      </c>
      <c r="V23" s="1">
        <f ca="1">SUM(F16:F22)</f>
        <v>8</v>
      </c>
      <c r="X23" s="1">
        <f ca="1">SUM(F16:F22)</f>
        <v>8</v>
      </c>
      <c r="Z23" s="1">
        <f ca="1">SUM(F16:F22)</f>
        <v>8</v>
      </c>
      <c r="AB23" s="1">
        <f ca="1">SUM(F16:F22)</f>
        <v>8</v>
      </c>
      <c r="AD23" s="1">
        <f ca="1">SUM(F16:F22)</f>
        <v>8</v>
      </c>
      <c r="AF23" s="1">
        <f ca="1">SUM(F16:F22)</f>
        <v>8</v>
      </c>
    </row>
    <row r="24" spans="1:35">
      <c r="B24" s="480" t="s">
        <v>1139</v>
      </c>
      <c r="C24" s="37">
        <f>AVERAGE($F24, $H24, $J24, $L24, $N24, $P24, $R24, $T24, $V24, $X24, $Z24, $AB24, $AD24, $AF24)</f>
        <v>4.0439617831414099</v>
      </c>
      <c r="F24" s="38">
        <f t="array" ref="F24">AVERAGE(   IF(F$31:F$77 &lt; 6,       F$31:F$77,       ""    ))</f>
        <v>4.0434782608695654</v>
      </c>
      <c r="H24" s="38">
        <f t="array" ref="H24">AVERAGE(   IF(H$31:H$77 &lt; 6,       H$31:H$77,       ""    ))</f>
        <v>4.0465116279069768</v>
      </c>
      <c r="J24" s="38">
        <f t="array" ref="J24">AVERAGE(   IF(J$31:J$77 &lt; 6,       J$31:J$77,       ""    ))</f>
        <v>4.0869565217391308</v>
      </c>
      <c r="L24" s="38">
        <f t="array" ref="L24">AVERAGE(   IF(L$31:L$77 &lt; 6,       L$31:L$77,       ""    ))</f>
        <v>3.8181818181818183</v>
      </c>
      <c r="N24" s="38">
        <f t="array" ref="N24">AVERAGE(   IF(N$31:N$77 &lt; 6,       N$31:N$77,       ""    ))</f>
        <v>3.8444444444444446</v>
      </c>
      <c r="P24" s="38">
        <f t="array" ref="P24">AVERAGE(   IF(P$31:P$77 &lt; 6,       P$31:P$77,       ""    ))</f>
        <v>3.8936170212765959</v>
      </c>
      <c r="R24" s="38">
        <f t="array" ref="R24">AVERAGE(   IF(R$31:R$77 &lt; 6,       R$31:R$77,       ""    ))</f>
        <v>4.1463414634146343</v>
      </c>
      <c r="T24" s="38">
        <f t="array" ref="T24">AVERAGE(   IF(T$31:T$77 &lt; 6,       T$31:T$77,       ""    ))</f>
        <v>4.0638297872340425</v>
      </c>
      <c r="V24" s="38">
        <f t="array" ref="V24">AVERAGE(   IF(V$31:V$77 &lt; 6,       V$31:V$77,       ""    ))</f>
        <v>4.3478260869565215</v>
      </c>
      <c r="X24" s="38">
        <f t="array" ref="X24">AVERAGE(   IF(X$31:X$77 &lt; 6,       X$31:X$77,       ""    ))</f>
        <v>4.0869565217391308</v>
      </c>
      <c r="Z24" s="38">
        <f t="array" ref="Z24">AVERAGE(   IF(Z$31:Z$77 &lt; 6,       Z$31:Z$77,       ""    ))</f>
        <v>4.1702127659574471</v>
      </c>
      <c r="AB24" s="38">
        <f t="array" ref="AB24">AVERAGE(   IF(AB$31:AB$77 &lt; 6,       AB$31:AB$77,       ""    ))</f>
        <v>3.9574468085106385</v>
      </c>
      <c r="AD24" s="38">
        <f t="array" ref="AD24">AVERAGE(   IF(AD$31:AD$77 &lt; 6,       AD$31:AD$77,       ""    ))</f>
        <v>4.0652173913043477</v>
      </c>
      <c r="AF24" s="38">
        <f t="array" ref="AF24">AVERAGE(   IF(AF$31:AF$77 &lt; 6,       AF$31:AF$77,       ""    ))</f>
        <v>4.0444444444444443</v>
      </c>
    </row>
    <row r="25" spans="1:35">
      <c r="B25" s="480" t="s">
        <v>1140</v>
      </c>
      <c r="C25" s="37">
        <f ca="1">AVERAGE($F25, $H25, $J25, $L25, $N25, $P25, $R25, $T25, $V25, $X25, $Z25, $AB25, $AD25, $AF25)</f>
        <v>0.67017568455250986</v>
      </c>
      <c r="E25" s="200" t="s">
        <v>429</v>
      </c>
      <c r="F25" s="38">
        <f t="array" aca="1" ref="F25" ca="1">STDEVP(  IF($C$12 = "All IT",    IF(F$31:F$77 &lt; 6,       F$31:F$77,       ""    ),    IF($C$12 = $D$31:$D$77,      IF(F$31:F$77 &lt; 6,         F$31:F$77,         ""      )    )  ))</f>
        <v>1.0690449676496976</v>
      </c>
      <c r="H25" s="38">
        <f t="array" aca="1" ref="H25" ca="1">STDEVP(  IF($C$12 = "All IT",    IF(H$31:H$77 &lt; 6,       H$31:H$77,       ""    ),    IF($C$12 = $D$31:$D$77,      IF(H$31:H$77 &lt; 6,         H$31:H$77,         ""      )    )  ))</f>
        <v>0.45175395145262565</v>
      </c>
      <c r="J25" s="38">
        <f t="array" aca="1" ref="J25" ca="1">STDEVP(  IF($C$12 = "All IT",    IF(J$31:J$77 &lt; 6,       J$31:J$77,       ""    ),    IF($C$12 = $D$31:$D$77,      IF(J$31:J$77 &lt; 6,         J$31:J$77,         ""      )    )  ))</f>
        <v>0.3499271061118826</v>
      </c>
      <c r="L25" s="38">
        <f t="array" aca="1" ref="L25" ca="1">STDEVP(  IF($C$12 = "All IT",    IF(L$31:L$77 &lt; 6,       L$31:L$77,       ""    ),    IF($C$12 = $D$31:$D$77,      IF(L$31:L$77 &lt; 6,         L$31:L$77,         ""      )    )  ))</f>
        <v>0.92702481088695787</v>
      </c>
      <c r="N25" s="38">
        <f t="array" aca="1" ref="N25" ca="1">STDEVP(  IF($C$12 = "All IT",    IF(N$31:N$77 &lt; 6,       N$31:N$77,       ""    ),    IF($C$12 = $D$31:$D$77,      IF(N$31:N$77 &lt; 6,         N$31:N$77,         ""      )    )  ))</f>
        <v>0.70710678118654757</v>
      </c>
      <c r="P25" s="38">
        <f t="array" aca="1" ref="P25" ca="1">STDEVP(  IF($C$12 = "All IT",    IF(P$31:P$77 &lt; 6,       P$31:P$77,       ""    ),    IF($C$12 = $D$31:$D$77,      IF(P$31:P$77 &lt; 6,         P$31:P$77,         ""      )    )  ))</f>
        <v>0.92702481088695787</v>
      </c>
      <c r="R25" s="38">
        <f t="array" aca="1" ref="R25" ca="1">STDEVP(  IF($C$12 = "All IT",    IF(R$31:R$77 &lt; 6,       R$31:R$77,       ""    ),    IF($C$12 = $D$31:$D$77,      IF(R$31:R$77 &lt; 6,         R$31:R$77,         ""      )    )  ))</f>
        <v>0.4330127018922193</v>
      </c>
      <c r="T25" s="38">
        <f t="array" aca="1" ref="T25" ca="1">STDEVP(  IF($C$12 = "All IT",    IF(T$31:T$77 &lt; 6,       T$31:T$77,       ""    ),    IF($C$12 = $D$31:$D$77,      IF(T$31:T$77 &lt; 6,         T$31:T$77,         ""      )    )  ))</f>
        <v>0.66143782776614768</v>
      </c>
      <c r="V25" s="38">
        <f t="array" aca="1" ref="V25" ca="1">STDEVP(  IF($C$12 = "All IT",    IF(V$31:V$77 &lt; 6,       V$31:V$77,       ""    ),    IF($C$12 = $D$31:$D$77,      IF(V$31:V$77 &lt; 6,         V$31:V$77,         ""      )    )  ))</f>
        <v>0.48412291827592713</v>
      </c>
      <c r="X25" s="38">
        <f t="array" aca="1" ref="X25" ca="1">STDEVP(  IF($C$12 = "All IT",    IF(X$31:X$77 &lt; 6,       X$31:X$77,       ""    ),    IF($C$12 = $D$31:$D$77,      IF(X$31:X$77 &lt; 6,         X$31:X$77,         ""      )    )  ))</f>
        <v>1.3093073414159542</v>
      </c>
      <c r="Z25" s="38">
        <f t="array" aca="1" ref="Z25" ca="1">STDEVP(  IF($C$12 = "All IT",    IF(Z$31:Z$77 &lt; 6,       Z$31:Z$77,       ""    ),    IF($C$12 = $D$31:$D$77,      IF(Z$31:Z$77 &lt; 6,         Z$31:Z$77,         ""      )    )  ))</f>
        <v>0.66143782776614768</v>
      </c>
      <c r="AB25" s="38">
        <f t="array" aca="1" ref="AB25" ca="1">STDEVP(  IF($C$12 = "All IT",    IF(AB$31:AB$77 &lt; 6,       AB$31:AB$77,       ""    ),    IF($C$12 = $D$31:$D$77,      IF(AB$31:AB$77 &lt; 6,         AB$31:AB$77,         ""      )    )  ))</f>
        <v>0.48412291827592713</v>
      </c>
      <c r="AD25" s="38">
        <f t="array" aca="1" ref="AD25" ca="1">STDEVP(  IF($C$12 = "All IT",    IF(AD$31:AD$77 &lt; 6,       AD$31:AD$77,       ""    ),    IF($C$12 = $D$31:$D$77,      IF(AD$31:AD$77 &lt; 6,         AD$31:AD$77,         ""      )    )  ))</f>
        <v>0.4330127018922193</v>
      </c>
      <c r="AF25" s="38">
        <f t="array" aca="1" ref="AF25" ca="1">STDEVP(  IF($C$12 = "All IT",    IF(AF$31:AF$77 &lt; 6,       AF$31:AF$77,       ""    ),    IF($C$12 = $D$31:$D$77,      IF(AF$31:AF$77 &lt; 6,         AF$31:AF$77,         ""      )    )  ))</f>
        <v>0.48412291827592713</v>
      </c>
    </row>
    <row r="26" spans="1:35">
      <c r="B26" s="480" t="s">
        <v>1155</v>
      </c>
      <c r="C26" s="37">
        <f ca="1">AVERAGE($F26, $H26, $J26, $L26, $N26, $P26, $R26, $T26, $V26, $X26, $Z26, $AB26, $AD26, $AF26)</f>
        <v>4.1823979591836737</v>
      </c>
      <c r="E26" s="200" t="s">
        <v>430</v>
      </c>
      <c r="F26" s="38">
        <f t="array" aca="1" ref="F26" ca="1">AVERAGE(  IF($C$12 = "All IT",    IF(F$31:F$77 &lt; 6,       F$31:F$77,       ""    ),    IF($C$12 = $D$31:$D$77,      IF(F$31:F$77 &lt; 6,         F$31:F$77,         ""      )    )  ))</f>
        <v>4</v>
      </c>
      <c r="H26" s="38">
        <f t="array" aca="1" ref="H26" ca="1">AVERAGE(  IF($C$12 = "All IT",    IF(H$31:H$77 &lt; 6,       H$31:H$77,       ""    ),    IF($C$12 = $D$31:$D$77,      IF(H$31:H$77 &lt; 6,         H$31:H$77,         ""      )    )  ))</f>
        <v>4.2857142857142856</v>
      </c>
      <c r="J26" s="38">
        <f t="array" aca="1" ref="J26" ca="1">AVERAGE(  IF($C$12 = "All IT",    IF(J$31:J$77 &lt; 6,       J$31:J$77,       ""    ),    IF($C$12 = $D$31:$D$77,      IF(J$31:J$77 &lt; 6,         J$31:J$77,         ""      )    )  ))</f>
        <v>4.1428571428571432</v>
      </c>
      <c r="L26" s="38">
        <f t="array" aca="1" ref="L26" ca="1">AVERAGE(  IF($C$12 = "All IT",    IF(L$31:L$77 &lt; 6,       L$31:L$77,       ""    ),    IF($C$12 = $D$31:$D$77,      IF(L$31:L$77 &lt; 6,         L$31:L$77,         ""      )    )  ))</f>
        <v>3.875</v>
      </c>
      <c r="N26" s="38">
        <f t="array" aca="1" ref="N26" ca="1">AVERAGE(  IF($C$12 = "All IT",    IF(N$31:N$77 &lt; 6,       N$31:N$77,       ""    ),    IF($C$12 = $D$31:$D$77,      IF(N$31:N$77 &lt; 6,         N$31:N$77,         ""      )    )  ))</f>
        <v>4</v>
      </c>
      <c r="P26" s="38">
        <f t="array" aca="1" ref="P26" ca="1">AVERAGE(  IF($C$12 = "All IT",    IF(P$31:P$77 &lt; 6,       P$31:P$77,       ""    ),    IF($C$12 = $D$31:$D$77,      IF(P$31:P$77 &lt; 6,         P$31:P$77,         ""      )    )  ))</f>
        <v>3.875</v>
      </c>
      <c r="R26" s="38">
        <f t="array" aca="1" ref="R26" ca="1">AVERAGE(  IF($C$12 = "All IT",    IF(R$31:R$77 &lt; 6,       R$31:R$77,       ""    ),    IF($C$12 = $D$31:$D$77,      IF(R$31:R$77 &lt; 6,         R$31:R$77,         ""      )    )  ))</f>
        <v>4.25</v>
      </c>
      <c r="T26" s="38">
        <f t="array" aca="1" ref="T26" ca="1">AVERAGE(  IF($C$12 = "All IT",    IF(T$31:T$77 &lt; 6,       T$31:T$77,       ""    ),    IF($C$12 = $D$31:$D$77,      IF(T$31:T$77 &lt; 6,         T$31:T$77,         ""      )    )  ))</f>
        <v>4.25</v>
      </c>
      <c r="V26" s="38">
        <f t="array" aca="1" ref="V26" ca="1">AVERAGE(  IF($C$12 = "All IT",    IF(V$31:V$77 &lt; 6,       V$31:V$77,       ""    ),    IF($C$12 = $D$31:$D$77,      IF(V$31:V$77 &lt; 6,         V$31:V$77,         ""      )    )  ))</f>
        <v>4.625</v>
      </c>
      <c r="X26" s="38">
        <f t="array" aca="1" ref="X26" ca="1">AVERAGE(  IF($C$12 = "All IT",    IF(X$31:X$77 &lt; 6,       X$31:X$77,       ""    ),    IF($C$12 = $D$31:$D$77,      IF(X$31:X$77 &lt; 6,         X$31:X$77,         ""      )    )  ))</f>
        <v>4</v>
      </c>
      <c r="Z26" s="38">
        <f t="array" aca="1" ref="Z26" ca="1">AVERAGE(  IF($C$12 = "All IT",    IF(Z$31:Z$77 &lt; 6,       Z$31:Z$77,       ""    ),    IF($C$12 = $D$31:$D$77,      IF(Z$31:Z$77 &lt; 6,         Z$31:Z$77,         ""      )    )  ))</f>
        <v>4.25</v>
      </c>
      <c r="AB26" s="38">
        <f t="array" aca="1" ref="AB26" ca="1">AVERAGE(  IF($C$12 = "All IT",    IF(AB$31:AB$77 &lt; 6,       AB$31:AB$77,       ""    ),    IF($C$12 = $D$31:$D$77,      IF(AB$31:AB$77 &lt; 6,         AB$31:AB$77,         ""      )    )  ))</f>
        <v>4.375</v>
      </c>
      <c r="AD26" s="38">
        <f t="array" aca="1" ref="AD26" ca="1">AVERAGE(  IF($C$12 = "All IT",    IF(AD$31:AD$77 &lt; 6,       AD$31:AD$77,       ""    ),    IF($C$12 = $D$31:$D$77,      IF(AD$31:AD$77 &lt; 6,         AD$31:AD$77,         ""      )    )  ))</f>
        <v>4.25</v>
      </c>
      <c r="AF26" s="38">
        <f t="array" aca="1" ref="AF26" ca="1">AVERAGE(  IF($C$12 = "All IT",    IF(AF$31:AF$77 &lt; 6,       AF$31:AF$77,       ""    ),    IF($C$12 = $D$31:$D$77,      IF(AF$31:AF$77 &lt; 6,         AF$31:AF$77,         ""      )    )  ))</f>
        <v>4.375</v>
      </c>
    </row>
    <row r="27" spans="1:35">
      <c r="E27" s="200" t="s">
        <v>431</v>
      </c>
    </row>
    <row r="28" spans="1:35">
      <c r="E28" s="200" t="s">
        <v>432</v>
      </c>
      <c r="F28" s="645" t="str">
        <f ca="1">LOOKUP(F$30, INDIRECT("'" &amp; $C$6 &amp; "'!" &amp; INDIRECT("'" &amp; $C$6 &amp; "'!" &amp; $C$7)))</f>
        <v>IT took appropriate time to understand my problem or need before solving or meeting it.</v>
      </c>
      <c r="G28" s="645"/>
      <c r="H28" s="645" t="str">
        <f ca="1">LOOKUP(H$30, INDIRECT("'" &amp; $C$6 &amp; "'!" &amp; INDIRECT("'" &amp; $C$6 &amp; "'!" &amp; $C$7)))</f>
        <v>I had adequate opportunity to review the work effort at the end of Analyze and Design stage, and was given an opportunity to accept, change, or reject it.</v>
      </c>
      <c r="I28" s="645"/>
      <c r="J28" s="645" t="str">
        <f ca="1">LOOKUP(J$30, INDIRECT("'" &amp; $C$6 &amp; "'!" &amp; INDIRECT("'" &amp; $C$6 &amp; "'!" &amp; $C$7)))</f>
        <v>The quality of the solutions delivered by IT met my expectations.</v>
      </c>
      <c r="K28" s="645"/>
      <c r="L28" s="645" t="str">
        <f ca="1">LOOKUP(L$30, INDIRECT("'" &amp; $C$6 &amp; "'!" &amp; INDIRECT("'" &amp; $C$6 &amp; "'!" &amp; $C$7)))</f>
        <v>Overall, I feel the LDM processes are effective in helping IT to deliver solutions.</v>
      </c>
      <c r="M28" s="645"/>
      <c r="N28" s="645" t="str">
        <f ca="1">LOOKUP(N$30, INDIRECT("'" &amp; $C$6 &amp; "'!" &amp; INDIRECT("'" &amp; $C$6 &amp; "'!" &amp; $C$7)))</f>
        <v>Overall, I feel IT effectively used the LDM processes to deliver solutions.</v>
      </c>
      <c r="O28" s="645"/>
      <c r="P28" s="645" t="str">
        <f ca="1">LOOKUP(P$30, INDIRECT("'" &amp; $C$6 &amp; "'!" &amp; INDIRECT("'" &amp; $C$6 &amp; "'!" &amp; $C$7)))</f>
        <v>I am satisfied with the speed and efficiency that issues were resolved by IT.</v>
      </c>
      <c r="Q28" s="645"/>
      <c r="R28" s="645" t="str">
        <f ca="1">LOOKUP(R$30, INDIRECT("'" &amp; $C$6 &amp; "'!" &amp; INDIRECT("'" &amp; $C$6 &amp; "'!" &amp; $C$7)))</f>
        <v>I am satisfied with the speed and efficiency that outages (times when production is down) were resolved.</v>
      </c>
      <c r="S28" s="645"/>
      <c r="T28" s="645" t="str">
        <f ca="1">LOOKUP(T$30, INDIRECT("'" &amp; $C$6 &amp; "'!" &amp; INDIRECT("'" &amp; $C$6 &amp; "'!" &amp; $C$7)))</f>
        <v>IT performed adequate research and performed effective and timely follow up when requested.</v>
      </c>
      <c r="U28" s="645"/>
      <c r="V28" s="645" t="str">
        <f ca="1">LOOKUP(V$30, INDIRECT("'" &amp; $C$6 &amp; "'!" &amp; INDIRECT("'" &amp; $C$6 &amp; "'!" &amp; $C$7)))</f>
        <v>IT staff provided support in a professional and courteous manner and considered input and suggestions from others.</v>
      </c>
      <c r="W28" s="645"/>
      <c r="X28" s="645" t="str">
        <f ca="1">LOOKUP(X$30, INDIRECT("'" &amp; $C$6 &amp; "'!" &amp; INDIRECT("'" &amp; $C$6 &amp; "'!" &amp; $C$7)))</f>
        <v>IT staff members are knowledgeable about my business and the applications I depend on, and they understood the impact issues can have on my business.</v>
      </c>
      <c r="Y28" s="645"/>
      <c r="Z28" s="645" t="str">
        <f ca="1">LOOKUP(Z$30, INDIRECT("'" &amp; $C$6 &amp; "'!" &amp; INDIRECT("'" &amp; $C$6 &amp; "'!" &amp; $C$7)))</f>
        <v>Overall, IT communicated adequate, clear, timely and useful information to me.</v>
      </c>
      <c r="AA28" s="645"/>
      <c r="AB28" s="645" t="str">
        <f ca="1">LOOKUP(AB$30, INDIRECT("'" &amp; $C$6 &amp; "'!" &amp; INDIRECT("'" &amp; $C$6 &amp; "'!" &amp; $C$7)))</f>
        <v>Overall, IT did a good job managing their resources and ensuring follow-through on commitments.</v>
      </c>
      <c r="AC28" s="645"/>
      <c r="AD28" s="645" t="str">
        <f ca="1">LOOKUP(AD$30, INDIRECT("'" &amp; $C$6 &amp; "'!" &amp; INDIRECT("'" &amp; $C$6 &amp; "'!" &amp; $C$7)))</f>
        <v>Overall, I am satisfied with IT staff's support of production applications.</v>
      </c>
      <c r="AE28" s="645"/>
      <c r="AF28" s="645" t="str">
        <f ca="1">LOOKUP(AF$30, INDIRECT("'" &amp; $C$6 &amp; "'!" &amp; INDIRECT("'" &amp; $C$6 &amp; "'!" &amp; $C$7)))</f>
        <v>IT properly managed deployments, including deployments that were dependent on other App Team deployments.</v>
      </c>
      <c r="AG28" s="645"/>
      <c r="AH28" s="1" t="str">
        <f ca="1">LOOKUP(AH$30, INDIRECT("'" &amp; $C$6 &amp; "'!" &amp; INDIRECT("'" &amp; $C$6 &amp; "'!" &amp; $C$7)))</f>
        <v>Please describe any other expectations of IT that you would like to express:</v>
      </c>
      <c r="AI28" s="1" t="str">
        <f ca="1">LOOKUP(AI$30, INDIRECT("'" &amp; $C$6 &amp; "'!" &amp; INDIRECT("'" &amp; $C$6 &amp; "'!" &amp; $C$7)))</f>
        <v>Please provide any additional comments you have:</v>
      </c>
    </row>
    <row r="29" spans="1:35">
      <c r="E29" s="200" t="s">
        <v>433</v>
      </c>
      <c r="G29" s="1" t="str">
        <f ca="1">LOOKUP(G$30, INDIRECT("'" &amp; $C$6 &amp; "'!" &amp; INDIRECT("'" &amp; $C$6 &amp; "'!" &amp; $C$7)))</f>
        <v>Did you have any other expectations:</v>
      </c>
      <c r="I29" s="1" t="str">
        <f ca="1">LOOKUP(I$30, INDIRECT("'" &amp; $C$6 &amp; "'!" &amp; INDIRECT("'" &amp; $C$6 &amp; "'!" &amp; $C$7)))</f>
        <v>If you disagree, please describe what you would've liked to have happen:</v>
      </c>
      <c r="K29" s="1" t="str">
        <f ca="1">LOOKUP(K$30, INDIRECT("'" &amp; $C$6 &amp; "'!" &amp; INDIRECT("'" &amp; $C$6 &amp; "'!" &amp; $C$7)))</f>
        <v>If you disagree, please describe what you expected:</v>
      </c>
      <c r="M29" s="1" t="str">
        <f ca="1">LOOKUP(M$30, INDIRECT("'" &amp; $C$6 &amp; "'!" &amp; INDIRECT("'" &amp; $C$6 &amp; "'!" &amp; $C$7)))</f>
        <v>If you disagree, please describe what you would like to see changed:</v>
      </c>
      <c r="O29" s="1" t="str">
        <f ca="1">LOOKUP(O$30, INDIRECT("'" &amp; $C$6 &amp; "'!" &amp; INDIRECT("'" &amp; $C$6 &amp; "'!" &amp; $C$7)))</f>
        <v>Please provide any comments:</v>
      </c>
      <c r="Q29" s="1" t="str">
        <f ca="1">LOOKUP(Q$30, INDIRECT("'" &amp; $C$6 &amp; "'!" &amp; INDIRECT("'" &amp; $C$6 &amp; "'!" &amp; $C$7)))</f>
        <v>Please provide any comments:</v>
      </c>
      <c r="S29" s="1" t="str">
        <f ca="1">LOOKUP(S$30, INDIRECT("'" &amp; $C$6 &amp; "'!" &amp; INDIRECT("'" &amp; $C$6 &amp; "'!" &amp; $C$7)))</f>
        <v>Please provide any comments:</v>
      </c>
      <c r="U29" s="1" t="str">
        <f ca="1">LOOKUP(U$30, INDIRECT("'" &amp; $C$6 &amp; "'!" &amp; INDIRECT("'" &amp; $C$6 &amp; "'!" &amp; $C$7)))</f>
        <v>If you disagree, please describe what you would have liked to have happen:</v>
      </c>
      <c r="W29" s="1" t="str">
        <f ca="1">LOOKUP(W$30, INDIRECT("'" &amp; $C$6 &amp; "'!" &amp; INDIRECT("'" &amp; $C$6 &amp; "'!" &amp; $C$7)))</f>
        <v>If you disagree, please describe:</v>
      </c>
      <c r="Y29" s="1" t="str">
        <f ca="1">LOOKUP(Y$30, INDIRECT("'" &amp; $C$6 &amp; "'!" &amp; INDIRECT("'" &amp; $C$6 &amp; "'!" &amp; $C$7)))</f>
        <v>If you disagree, please describe what you would like to see changed:</v>
      </c>
      <c r="AA29" s="1" t="str">
        <f ca="1">LOOKUP(AA$30, INDIRECT("'" &amp; $C$6 &amp; "'!" &amp; INDIRECT("'" &amp; $C$6 &amp; "'!" &amp; $C$7)))</f>
        <v>If you disagree, please describe:</v>
      </c>
      <c r="AC29" s="1" t="str">
        <f ca="1">LOOKUP(AC$30, INDIRECT("'" &amp; $C$6 &amp; "'!" &amp; INDIRECT("'" &amp; $C$6 &amp; "'!" &amp; $C$7)))</f>
        <v>If you disagree, please describe:</v>
      </c>
      <c r="AE29" s="1" t="str">
        <f ca="1">LOOKUP(AE$30, INDIRECT("'" &amp; $C$6 &amp; "'!" &amp; INDIRECT("'" &amp; $C$6 &amp; "'!" &amp; $C$7)))</f>
        <v>Please describe:</v>
      </c>
      <c r="AG29" s="1" t="str">
        <f ca="1">LOOKUP(AG$30, INDIRECT("'" &amp; $C$6 &amp; "'!" &amp; INDIRECT("'" &amp; $C$6 &amp; "'!" &amp; $C$7)))</f>
        <v>If you disagree, please describe:</v>
      </c>
    </row>
    <row r="30" spans="1:35">
      <c r="A30" s="200" t="s">
        <v>195</v>
      </c>
      <c r="B30" s="200" t="s">
        <v>124</v>
      </c>
      <c r="C30" s="200" t="s">
        <v>695</v>
      </c>
      <c r="D30" s="200" t="s">
        <v>29</v>
      </c>
      <c r="E30" s="200" t="s">
        <v>697</v>
      </c>
      <c r="F30" s="1" t="s">
        <v>127</v>
      </c>
      <c r="G30" s="1" t="s">
        <v>129</v>
      </c>
      <c r="H30" s="1" t="s">
        <v>131</v>
      </c>
      <c r="I30" s="1" t="s">
        <v>132</v>
      </c>
      <c r="J30" s="1" t="s">
        <v>134</v>
      </c>
      <c r="K30" s="1" t="s">
        <v>136</v>
      </c>
      <c r="L30" s="1" t="s">
        <v>138</v>
      </c>
      <c r="M30" s="1" t="s">
        <v>139</v>
      </c>
      <c r="N30" s="1" t="s">
        <v>141</v>
      </c>
      <c r="O30" s="1" t="s">
        <v>143</v>
      </c>
      <c r="P30" s="1" t="s">
        <v>145</v>
      </c>
      <c r="Q30" s="1" t="s">
        <v>147</v>
      </c>
      <c r="R30" s="1" t="s">
        <v>149</v>
      </c>
      <c r="S30" s="1" t="s">
        <v>151</v>
      </c>
      <c r="T30" s="1" t="s">
        <v>152</v>
      </c>
      <c r="U30" s="1" t="s">
        <v>154</v>
      </c>
      <c r="V30" s="1" t="s">
        <v>155</v>
      </c>
      <c r="W30" s="1" t="s">
        <v>157</v>
      </c>
      <c r="X30" s="1" t="s">
        <v>158</v>
      </c>
      <c r="Y30" s="1" t="s">
        <v>160</v>
      </c>
      <c r="Z30" s="1" t="s">
        <v>161</v>
      </c>
      <c r="AA30" s="1" t="s">
        <v>163</v>
      </c>
      <c r="AB30" s="1" t="s">
        <v>165</v>
      </c>
      <c r="AC30" s="1" t="s">
        <v>167</v>
      </c>
      <c r="AD30" s="1" t="s">
        <v>168</v>
      </c>
      <c r="AE30" s="1" t="s">
        <v>170</v>
      </c>
      <c r="AF30" s="1" t="s">
        <v>171</v>
      </c>
      <c r="AG30" s="1" t="s">
        <v>173</v>
      </c>
      <c r="AH30" s="1" t="s">
        <v>175</v>
      </c>
      <c r="AI30" s="1" t="s">
        <v>178</v>
      </c>
    </row>
    <row r="31" spans="1:35">
      <c r="A31" s="36">
        <v>1</v>
      </c>
      <c r="B31" s="36">
        <v>1</v>
      </c>
      <c r="C31" s="36" t="s">
        <v>721</v>
      </c>
      <c r="D31" s="36" t="str">
        <f t="shared" ref="D31:D77" ca="1" si="4">LOOKUP(E31,INDIRECT(Team_Name_Lookup))</f>
        <v>Viewpoint</v>
      </c>
      <c r="E31" s="36">
        <v>7</v>
      </c>
      <c r="F31" s="39">
        <v>4</v>
      </c>
      <c r="G31" s="39"/>
      <c r="H31" s="39">
        <v>4</v>
      </c>
      <c r="I31" s="39"/>
      <c r="J31" s="39">
        <v>4</v>
      </c>
      <c r="K31" s="39"/>
      <c r="L31" s="39">
        <v>4</v>
      </c>
      <c r="M31" s="39"/>
      <c r="N31" s="39">
        <v>4</v>
      </c>
      <c r="O31" s="39"/>
      <c r="P31" s="39">
        <v>4</v>
      </c>
      <c r="Q31" s="39"/>
      <c r="R31" s="39">
        <v>4</v>
      </c>
      <c r="S31" s="39"/>
      <c r="T31" s="39">
        <v>4</v>
      </c>
      <c r="U31" s="39"/>
      <c r="V31" s="39">
        <v>4</v>
      </c>
      <c r="W31" s="39"/>
      <c r="X31" s="39">
        <v>5</v>
      </c>
      <c r="Y31" s="39"/>
      <c r="Z31" s="39">
        <v>4</v>
      </c>
      <c r="AA31" s="39"/>
      <c r="AB31" s="39">
        <v>4</v>
      </c>
      <c r="AC31" s="39"/>
      <c r="AD31" s="39">
        <v>4</v>
      </c>
      <c r="AE31" s="39"/>
      <c r="AF31" s="39">
        <v>4</v>
      </c>
      <c r="AG31" s="39"/>
      <c r="AH31" s="39"/>
      <c r="AI31" s="39"/>
    </row>
    <row r="32" spans="1:35">
      <c r="A32" s="200">
        <v>2</v>
      </c>
      <c r="B32" s="200">
        <v>1</v>
      </c>
      <c r="C32" s="200" t="s">
        <v>722</v>
      </c>
      <c r="D32" s="200" t="str">
        <f t="shared" ca="1" si="4"/>
        <v>Viewpoint</v>
      </c>
      <c r="E32" s="200">
        <v>7</v>
      </c>
      <c r="F32" s="1">
        <v>4</v>
      </c>
      <c r="H32" s="1">
        <v>4</v>
      </c>
      <c r="J32" s="1">
        <v>4</v>
      </c>
      <c r="L32" s="1">
        <v>4</v>
      </c>
      <c r="N32" s="1">
        <v>4</v>
      </c>
      <c r="P32" s="1">
        <v>3</v>
      </c>
      <c r="Q32" s="1" t="s">
        <v>723</v>
      </c>
      <c r="R32" s="1">
        <v>4</v>
      </c>
      <c r="T32" s="1">
        <v>4</v>
      </c>
      <c r="V32" s="1">
        <v>4</v>
      </c>
      <c r="X32" s="1">
        <v>4</v>
      </c>
      <c r="Z32" s="1">
        <v>4</v>
      </c>
      <c r="AB32" s="1">
        <v>4</v>
      </c>
      <c r="AD32" s="1">
        <v>4</v>
      </c>
      <c r="AF32" s="1">
        <v>4</v>
      </c>
    </row>
    <row r="33" spans="1:35" ht="25.5">
      <c r="A33" s="200">
        <v>3</v>
      </c>
      <c r="B33" s="200">
        <v>1</v>
      </c>
      <c r="C33" s="200" t="s">
        <v>724</v>
      </c>
      <c r="D33" s="200" t="str">
        <f t="shared" ca="1" si="4"/>
        <v>Viewpoint</v>
      </c>
      <c r="E33" s="200">
        <v>7</v>
      </c>
      <c r="F33" s="1">
        <v>3</v>
      </c>
      <c r="G33" s="1" t="s">
        <v>725</v>
      </c>
      <c r="H33" s="1">
        <v>4</v>
      </c>
      <c r="J33" s="1">
        <v>4</v>
      </c>
      <c r="L33" s="1">
        <v>4</v>
      </c>
      <c r="N33" s="1">
        <v>4</v>
      </c>
      <c r="P33" s="1">
        <v>4</v>
      </c>
      <c r="Q33" s="1" t="s">
        <v>726</v>
      </c>
      <c r="R33" s="1">
        <v>4</v>
      </c>
      <c r="S33" s="1" t="s">
        <v>727</v>
      </c>
      <c r="T33" s="1">
        <v>3</v>
      </c>
      <c r="V33" s="1">
        <v>5</v>
      </c>
      <c r="X33" s="1">
        <v>4</v>
      </c>
      <c r="Z33" s="1">
        <v>4</v>
      </c>
      <c r="AB33" s="1">
        <v>4</v>
      </c>
      <c r="AD33" s="1">
        <v>4</v>
      </c>
      <c r="AF33" s="1">
        <v>4</v>
      </c>
      <c r="AI33" s="1" t="s">
        <v>728</v>
      </c>
    </row>
    <row r="34" spans="1:35">
      <c r="A34" s="200">
        <v>4</v>
      </c>
      <c r="B34" s="200">
        <v>1</v>
      </c>
      <c r="C34" s="200" t="s">
        <v>729</v>
      </c>
      <c r="D34" s="200" t="str">
        <f t="shared" ca="1" si="4"/>
        <v>Viewpoint</v>
      </c>
      <c r="E34" s="200">
        <v>7</v>
      </c>
      <c r="F34" s="1">
        <v>6</v>
      </c>
      <c r="H34" s="1">
        <v>5</v>
      </c>
      <c r="J34" s="1">
        <v>5</v>
      </c>
      <c r="L34" s="1">
        <v>5</v>
      </c>
      <c r="N34" s="1">
        <v>5</v>
      </c>
      <c r="P34" s="1">
        <v>5</v>
      </c>
      <c r="R34" s="1">
        <v>5</v>
      </c>
      <c r="T34" s="1">
        <v>5</v>
      </c>
      <c r="V34" s="1">
        <v>5</v>
      </c>
      <c r="X34" s="1">
        <v>6</v>
      </c>
      <c r="Z34" s="1">
        <v>5</v>
      </c>
      <c r="AB34" s="1">
        <v>5</v>
      </c>
      <c r="AD34" s="1">
        <v>5</v>
      </c>
      <c r="AF34" s="1">
        <v>5</v>
      </c>
    </row>
    <row r="35" spans="1:35">
      <c r="A35" s="200">
        <v>5</v>
      </c>
      <c r="B35" s="200">
        <v>1</v>
      </c>
      <c r="C35" s="200" t="s">
        <v>730</v>
      </c>
      <c r="D35" s="200" t="str">
        <f t="shared" ca="1" si="4"/>
        <v>IT Finance</v>
      </c>
      <c r="E35" s="200">
        <v>4</v>
      </c>
      <c r="F35" s="1">
        <v>4</v>
      </c>
      <c r="H35" s="1">
        <v>4</v>
      </c>
      <c r="J35" s="1">
        <v>4</v>
      </c>
      <c r="L35" s="1">
        <v>4</v>
      </c>
      <c r="N35" s="1">
        <v>4</v>
      </c>
      <c r="P35" s="1">
        <v>4</v>
      </c>
      <c r="R35" s="1">
        <v>4</v>
      </c>
      <c r="T35" s="1">
        <v>4</v>
      </c>
      <c r="V35" s="1">
        <v>4</v>
      </c>
      <c r="X35" s="1">
        <v>4</v>
      </c>
      <c r="Z35" s="1">
        <v>4</v>
      </c>
      <c r="AB35" s="1">
        <v>4</v>
      </c>
      <c r="AD35" s="1">
        <v>4</v>
      </c>
      <c r="AF35" s="1">
        <v>4</v>
      </c>
    </row>
    <row r="36" spans="1:35">
      <c r="A36" s="200">
        <v>6</v>
      </c>
      <c r="B36" s="200">
        <v>1</v>
      </c>
      <c r="C36" s="200" t="s">
        <v>731</v>
      </c>
      <c r="D36" s="200" t="str">
        <f t="shared" ca="1" si="4"/>
        <v>IT Producer</v>
      </c>
      <c r="E36" s="200">
        <v>6</v>
      </c>
      <c r="F36" s="1">
        <v>4</v>
      </c>
      <c r="H36" s="1">
        <v>6</v>
      </c>
      <c r="J36" s="1">
        <v>4</v>
      </c>
      <c r="L36" s="1">
        <v>4</v>
      </c>
      <c r="N36" s="1">
        <v>4</v>
      </c>
      <c r="P36" s="1">
        <v>4</v>
      </c>
      <c r="R36" s="1">
        <v>4</v>
      </c>
      <c r="T36" s="1">
        <v>4</v>
      </c>
      <c r="V36" s="1">
        <v>5</v>
      </c>
      <c r="X36" s="1">
        <v>5</v>
      </c>
      <c r="Z36" s="1">
        <v>5</v>
      </c>
      <c r="AB36" s="1">
        <v>4</v>
      </c>
      <c r="AD36" s="1">
        <v>4</v>
      </c>
      <c r="AF36" s="1">
        <v>4</v>
      </c>
    </row>
    <row r="37" spans="1:35">
      <c r="A37" s="200">
        <v>7</v>
      </c>
      <c r="B37" s="200">
        <v>1</v>
      </c>
      <c r="C37" s="200" t="s">
        <v>731</v>
      </c>
      <c r="D37" s="200" t="str">
        <f t="shared" ca="1" si="4"/>
        <v>IT Producer</v>
      </c>
      <c r="E37" s="200">
        <v>6</v>
      </c>
      <c r="F37" s="1">
        <v>4</v>
      </c>
      <c r="H37" s="1">
        <v>6</v>
      </c>
      <c r="J37" s="1">
        <v>4</v>
      </c>
      <c r="L37" s="1">
        <v>4</v>
      </c>
      <c r="N37" s="1">
        <v>4</v>
      </c>
      <c r="P37" s="1">
        <v>4</v>
      </c>
      <c r="R37" s="1">
        <v>4</v>
      </c>
      <c r="T37" s="1">
        <v>4</v>
      </c>
      <c r="V37" s="1">
        <v>5</v>
      </c>
      <c r="X37" s="1">
        <v>5</v>
      </c>
      <c r="Z37" s="1">
        <v>4</v>
      </c>
      <c r="AB37" s="1">
        <v>4</v>
      </c>
      <c r="AD37" s="1">
        <v>4</v>
      </c>
      <c r="AF37" s="1">
        <v>4</v>
      </c>
    </row>
    <row r="38" spans="1:35">
      <c r="A38" s="200">
        <v>8</v>
      </c>
      <c r="B38" s="200">
        <v>1</v>
      </c>
      <c r="C38" s="200" t="s">
        <v>732</v>
      </c>
      <c r="D38" s="200" t="str">
        <f t="shared" ca="1" si="4"/>
        <v>Viewpoint</v>
      </c>
      <c r="E38" s="200">
        <v>7</v>
      </c>
      <c r="F38" s="1">
        <v>5</v>
      </c>
      <c r="H38" s="1">
        <v>6</v>
      </c>
      <c r="J38" s="1">
        <v>6</v>
      </c>
      <c r="L38" s="1">
        <v>3</v>
      </c>
      <c r="N38" s="1">
        <v>3</v>
      </c>
      <c r="P38" s="1">
        <v>5</v>
      </c>
      <c r="R38" s="1">
        <v>5</v>
      </c>
      <c r="T38" s="1">
        <v>5</v>
      </c>
      <c r="V38" s="1">
        <v>5</v>
      </c>
      <c r="X38" s="1">
        <v>5</v>
      </c>
      <c r="Z38" s="1">
        <v>5</v>
      </c>
      <c r="AB38" s="1">
        <v>5</v>
      </c>
      <c r="AD38" s="1">
        <v>4</v>
      </c>
      <c r="AF38" s="1">
        <v>5</v>
      </c>
    </row>
    <row r="39" spans="1:35">
      <c r="A39" s="200">
        <v>9</v>
      </c>
      <c r="B39" s="200">
        <v>1</v>
      </c>
      <c r="C39" s="200" t="s">
        <v>733</v>
      </c>
      <c r="D39" s="200" t="str">
        <f t="shared" ca="1" si="4"/>
        <v>IT Finance</v>
      </c>
      <c r="E39" s="200">
        <v>4</v>
      </c>
      <c r="F39" s="1">
        <v>4</v>
      </c>
      <c r="H39" s="1">
        <v>4</v>
      </c>
      <c r="J39" s="1">
        <v>4</v>
      </c>
      <c r="L39" s="1">
        <v>6</v>
      </c>
      <c r="N39" s="1">
        <v>6</v>
      </c>
      <c r="P39" s="1">
        <v>4</v>
      </c>
      <c r="R39" s="1">
        <v>4</v>
      </c>
      <c r="T39" s="1">
        <v>4</v>
      </c>
      <c r="V39" s="1">
        <v>4</v>
      </c>
      <c r="X39" s="1">
        <v>4</v>
      </c>
      <c r="Z39" s="1">
        <v>4</v>
      </c>
      <c r="AB39" s="1">
        <v>4</v>
      </c>
      <c r="AD39" s="1">
        <v>4</v>
      </c>
      <c r="AF39" s="1">
        <v>4</v>
      </c>
    </row>
    <row r="40" spans="1:35">
      <c r="A40" s="200">
        <v>10</v>
      </c>
      <c r="B40" s="200">
        <v>1</v>
      </c>
      <c r="C40" s="200" t="s">
        <v>734</v>
      </c>
      <c r="D40" s="200" t="str">
        <f t="shared" ca="1" si="4"/>
        <v>Viewpoint</v>
      </c>
      <c r="E40" s="200">
        <v>7</v>
      </c>
      <c r="F40" s="1">
        <v>5</v>
      </c>
      <c r="H40" s="1">
        <v>4</v>
      </c>
      <c r="J40" s="1">
        <v>4</v>
      </c>
      <c r="L40" s="1">
        <v>4</v>
      </c>
      <c r="N40" s="1">
        <v>4</v>
      </c>
      <c r="P40" s="1">
        <v>4</v>
      </c>
      <c r="R40" s="1">
        <v>4</v>
      </c>
      <c r="T40" s="1">
        <v>4</v>
      </c>
      <c r="V40" s="1">
        <v>5</v>
      </c>
      <c r="X40" s="1">
        <v>4</v>
      </c>
      <c r="Z40" s="1">
        <v>4</v>
      </c>
      <c r="AB40" s="1">
        <v>4</v>
      </c>
      <c r="AD40" s="1">
        <v>4</v>
      </c>
      <c r="AF40" s="1">
        <v>5</v>
      </c>
    </row>
    <row r="41" spans="1:35" ht="51">
      <c r="A41" s="200">
        <v>11</v>
      </c>
      <c r="B41" s="200">
        <v>1</v>
      </c>
      <c r="C41" s="200" t="s">
        <v>735</v>
      </c>
      <c r="D41" s="200" t="str">
        <f t="shared" ca="1" si="4"/>
        <v>eBusiness</v>
      </c>
      <c r="E41" s="200">
        <v>2</v>
      </c>
      <c r="F41" s="1">
        <v>5</v>
      </c>
      <c r="G41" s="1" t="s">
        <v>736</v>
      </c>
      <c r="H41" s="1">
        <v>5</v>
      </c>
      <c r="J41" s="1">
        <v>4</v>
      </c>
      <c r="L41" s="1">
        <v>3</v>
      </c>
      <c r="M41" s="1" t="s">
        <v>737</v>
      </c>
      <c r="N41" s="1">
        <v>3</v>
      </c>
      <c r="O41" s="1" t="s">
        <v>737</v>
      </c>
      <c r="P41" s="1">
        <v>3</v>
      </c>
      <c r="Q41" s="1" t="s">
        <v>738</v>
      </c>
      <c r="R41" s="1">
        <v>4</v>
      </c>
      <c r="T41" s="1">
        <v>4</v>
      </c>
      <c r="V41" s="1">
        <v>5</v>
      </c>
      <c r="X41" s="1">
        <v>5</v>
      </c>
      <c r="Z41" s="1">
        <v>5</v>
      </c>
      <c r="AB41" s="1">
        <v>4</v>
      </c>
      <c r="AD41" s="1">
        <v>4</v>
      </c>
      <c r="AF41" s="1">
        <v>6</v>
      </c>
      <c r="AI41" s="1" t="s">
        <v>739</v>
      </c>
    </row>
    <row r="42" spans="1:35" ht="38.25">
      <c r="A42" s="200">
        <v>12</v>
      </c>
      <c r="B42" s="200">
        <v>1</v>
      </c>
      <c r="C42" s="200" t="s">
        <v>740</v>
      </c>
      <c r="D42" s="200" t="str">
        <f t="shared" ca="1" si="4"/>
        <v>IT Service</v>
      </c>
      <c r="E42" s="200">
        <v>9</v>
      </c>
      <c r="F42" s="1">
        <v>5</v>
      </c>
      <c r="G42" s="1" t="s">
        <v>741</v>
      </c>
      <c r="H42" s="1">
        <v>5</v>
      </c>
      <c r="J42" s="1">
        <v>5</v>
      </c>
      <c r="L42" s="1">
        <v>5</v>
      </c>
      <c r="N42" s="1">
        <v>5</v>
      </c>
      <c r="O42" s="1" t="s">
        <v>742</v>
      </c>
      <c r="P42" s="1">
        <v>5</v>
      </c>
      <c r="Q42" s="1" t="s">
        <v>743</v>
      </c>
      <c r="R42" s="1">
        <v>5</v>
      </c>
      <c r="T42" s="1">
        <v>5</v>
      </c>
      <c r="V42" s="1">
        <v>5</v>
      </c>
      <c r="X42" s="1">
        <v>5</v>
      </c>
      <c r="Z42" s="1">
        <v>5</v>
      </c>
      <c r="AB42" s="1">
        <v>5</v>
      </c>
      <c r="AD42" s="1">
        <v>5</v>
      </c>
      <c r="AF42" s="1">
        <v>5</v>
      </c>
      <c r="AH42" s="1" t="s">
        <v>744</v>
      </c>
      <c r="AI42" s="1" t="s">
        <v>745</v>
      </c>
    </row>
    <row r="43" spans="1:35" ht="25.5">
      <c r="A43" s="200">
        <v>13</v>
      </c>
      <c r="B43" s="200">
        <v>1</v>
      </c>
      <c r="C43" s="200" t="s">
        <v>746</v>
      </c>
      <c r="D43" s="200" t="str">
        <f t="shared" ca="1" si="4"/>
        <v>SSI</v>
      </c>
      <c r="E43" s="200">
        <v>13</v>
      </c>
      <c r="F43" s="1">
        <v>5</v>
      </c>
      <c r="H43" s="1">
        <v>5</v>
      </c>
      <c r="J43" s="1">
        <v>5</v>
      </c>
      <c r="L43" s="1">
        <v>5</v>
      </c>
      <c r="N43" s="1">
        <v>5</v>
      </c>
      <c r="P43" s="1">
        <v>5</v>
      </c>
      <c r="R43" s="1">
        <v>6</v>
      </c>
      <c r="T43" s="1">
        <v>5</v>
      </c>
      <c r="V43" s="1">
        <v>5</v>
      </c>
      <c r="X43" s="1">
        <v>5</v>
      </c>
      <c r="Z43" s="1">
        <v>5</v>
      </c>
      <c r="AB43" s="1">
        <v>5</v>
      </c>
      <c r="AD43" s="1">
        <v>5</v>
      </c>
      <c r="AF43" s="1">
        <v>5</v>
      </c>
      <c r="AI43" s="1" t="s">
        <v>747</v>
      </c>
    </row>
    <row r="44" spans="1:35" ht="51">
      <c r="A44" s="200">
        <v>14</v>
      </c>
      <c r="B44" s="200">
        <v>1</v>
      </c>
      <c r="C44" s="200" t="s">
        <v>746</v>
      </c>
      <c r="D44" s="200" t="str">
        <f t="shared" ca="1" si="4"/>
        <v>IT Sales</v>
      </c>
      <c r="E44" s="200">
        <v>8</v>
      </c>
      <c r="F44" s="1">
        <v>5</v>
      </c>
      <c r="H44" s="1">
        <v>5</v>
      </c>
      <c r="J44" s="1">
        <v>5</v>
      </c>
      <c r="L44" s="1">
        <v>5</v>
      </c>
      <c r="N44" s="1">
        <v>5</v>
      </c>
      <c r="P44" s="1">
        <v>5</v>
      </c>
      <c r="R44" s="1">
        <v>6</v>
      </c>
      <c r="T44" s="1">
        <v>5</v>
      </c>
      <c r="V44" s="1">
        <v>5</v>
      </c>
      <c r="X44" s="1">
        <v>5</v>
      </c>
      <c r="Z44" s="1">
        <v>5</v>
      </c>
      <c r="AB44" s="1">
        <v>5</v>
      </c>
      <c r="AD44" s="1">
        <v>5</v>
      </c>
      <c r="AF44" s="1">
        <v>5</v>
      </c>
      <c r="AH44" s="1" t="s">
        <v>748</v>
      </c>
    </row>
    <row r="45" spans="1:35">
      <c r="A45" s="200">
        <v>15</v>
      </c>
      <c r="B45" s="200">
        <v>1</v>
      </c>
      <c r="C45" s="200" t="s">
        <v>749</v>
      </c>
      <c r="D45" s="200" t="str">
        <f t="shared" ca="1" si="4"/>
        <v>SSI</v>
      </c>
      <c r="E45" s="200">
        <v>13</v>
      </c>
      <c r="F45" s="1">
        <v>4</v>
      </c>
      <c r="H45" s="1">
        <v>4</v>
      </c>
      <c r="J45" s="1">
        <v>4</v>
      </c>
      <c r="L45" s="1">
        <v>3</v>
      </c>
      <c r="N45" s="1">
        <v>3</v>
      </c>
      <c r="P45" s="1">
        <v>3</v>
      </c>
      <c r="R45" s="1">
        <v>3</v>
      </c>
      <c r="T45" s="1">
        <v>4</v>
      </c>
      <c r="V45" s="1">
        <v>4</v>
      </c>
      <c r="X45" s="1">
        <v>4</v>
      </c>
      <c r="Y45" s="1" t="s">
        <v>750</v>
      </c>
      <c r="Z45" s="1">
        <v>4</v>
      </c>
      <c r="AB45" s="1">
        <v>4</v>
      </c>
      <c r="AD45" s="1">
        <v>4</v>
      </c>
      <c r="AF45" s="1">
        <v>4</v>
      </c>
    </row>
    <row r="46" spans="1:35" ht="25.5">
      <c r="A46" s="200">
        <v>16</v>
      </c>
      <c r="B46" s="200">
        <v>1</v>
      </c>
      <c r="C46" s="200" t="s">
        <v>749</v>
      </c>
      <c r="D46" s="200" t="str">
        <f t="shared" ca="1" si="4"/>
        <v>Viewpoint</v>
      </c>
      <c r="E46" s="200">
        <v>7</v>
      </c>
      <c r="F46" s="1">
        <v>2</v>
      </c>
      <c r="G46" s="1" t="s">
        <v>751</v>
      </c>
      <c r="H46" s="1">
        <v>4</v>
      </c>
      <c r="J46" s="1">
        <v>4</v>
      </c>
      <c r="L46" s="1">
        <v>2</v>
      </c>
      <c r="M46" s="1" t="s">
        <v>752</v>
      </c>
      <c r="N46" s="1">
        <v>3</v>
      </c>
      <c r="P46" s="1">
        <v>2</v>
      </c>
      <c r="Q46" s="1" t="s">
        <v>753</v>
      </c>
      <c r="R46" s="1">
        <v>4</v>
      </c>
      <c r="T46" s="1">
        <v>4</v>
      </c>
      <c r="V46" s="1">
        <v>4</v>
      </c>
      <c r="X46" s="1">
        <v>1</v>
      </c>
      <c r="Y46" s="1" t="s">
        <v>754</v>
      </c>
      <c r="Z46" s="1">
        <v>3</v>
      </c>
      <c r="AB46" s="1">
        <v>4</v>
      </c>
      <c r="AD46" s="1">
        <v>4</v>
      </c>
      <c r="AF46" s="1">
        <v>4</v>
      </c>
    </row>
    <row r="47" spans="1:35">
      <c r="A47" s="200">
        <v>17</v>
      </c>
      <c r="B47" s="200">
        <v>1</v>
      </c>
      <c r="C47" s="200" t="s">
        <v>755</v>
      </c>
      <c r="D47" s="200" t="str">
        <f t="shared" ca="1" si="4"/>
        <v>IT Producer</v>
      </c>
      <c r="E47" s="200">
        <v>6</v>
      </c>
      <c r="F47" s="1">
        <v>5</v>
      </c>
      <c r="H47" s="1">
        <v>5</v>
      </c>
      <c r="J47" s="1">
        <v>5</v>
      </c>
      <c r="L47" s="1">
        <v>5</v>
      </c>
      <c r="N47" s="1">
        <v>5</v>
      </c>
      <c r="P47" s="1">
        <v>5</v>
      </c>
      <c r="R47" s="1">
        <v>5</v>
      </c>
      <c r="T47" s="1">
        <v>5</v>
      </c>
      <c r="V47" s="1">
        <v>5</v>
      </c>
      <c r="X47" s="1">
        <v>5</v>
      </c>
      <c r="Z47" s="1">
        <v>5</v>
      </c>
      <c r="AB47" s="1">
        <v>5</v>
      </c>
      <c r="AD47" s="1">
        <v>5</v>
      </c>
      <c r="AF47" s="1">
        <v>5</v>
      </c>
    </row>
    <row r="48" spans="1:35" ht="25.5">
      <c r="A48" s="200">
        <v>18</v>
      </c>
      <c r="B48" s="200">
        <v>1</v>
      </c>
      <c r="C48" s="200" t="s">
        <v>756</v>
      </c>
      <c r="D48" s="200" t="str">
        <f t="shared" ca="1" si="4"/>
        <v>IT Sales</v>
      </c>
      <c r="E48" s="200">
        <v>8</v>
      </c>
      <c r="F48" s="1">
        <v>5</v>
      </c>
      <c r="H48" s="1">
        <v>5</v>
      </c>
      <c r="J48" s="1">
        <v>5</v>
      </c>
      <c r="L48" s="1">
        <v>3</v>
      </c>
      <c r="M48" s="1" t="s">
        <v>757</v>
      </c>
      <c r="N48" s="1">
        <v>4</v>
      </c>
      <c r="O48" s="1" t="s">
        <v>758</v>
      </c>
      <c r="P48" s="1">
        <v>5</v>
      </c>
      <c r="Q48" s="1" t="s">
        <v>759</v>
      </c>
      <c r="R48" s="1">
        <v>5</v>
      </c>
      <c r="T48" s="1">
        <v>5</v>
      </c>
      <c r="V48" s="1">
        <v>5</v>
      </c>
      <c r="X48" s="1">
        <v>5</v>
      </c>
      <c r="Z48" s="1">
        <v>5</v>
      </c>
      <c r="AB48" s="1">
        <v>5</v>
      </c>
      <c r="AD48" s="1">
        <v>5</v>
      </c>
      <c r="AE48" s="1" t="s">
        <v>760</v>
      </c>
      <c r="AF48" s="1">
        <v>5</v>
      </c>
      <c r="AI48" s="1" t="s">
        <v>761</v>
      </c>
    </row>
    <row r="49" spans="1:35">
      <c r="A49" s="200">
        <v>19</v>
      </c>
      <c r="B49" s="200">
        <v>1</v>
      </c>
      <c r="C49" s="200" t="s">
        <v>731</v>
      </c>
      <c r="D49" s="200" t="str">
        <f t="shared" ca="1" si="4"/>
        <v>IT Service</v>
      </c>
      <c r="E49" s="200">
        <v>9</v>
      </c>
      <c r="F49" s="1">
        <v>4</v>
      </c>
      <c r="H49" s="1">
        <v>6</v>
      </c>
      <c r="J49" s="1">
        <v>4</v>
      </c>
      <c r="L49" s="1">
        <v>4</v>
      </c>
      <c r="N49" s="1">
        <v>4</v>
      </c>
      <c r="P49" s="1">
        <v>4</v>
      </c>
      <c r="R49" s="1">
        <v>4</v>
      </c>
      <c r="T49" s="1">
        <v>4</v>
      </c>
      <c r="V49" s="1">
        <v>6</v>
      </c>
      <c r="X49" s="1">
        <v>4</v>
      </c>
      <c r="Z49" s="1">
        <v>4</v>
      </c>
      <c r="AB49" s="1">
        <v>4</v>
      </c>
      <c r="AD49" s="1">
        <v>4</v>
      </c>
      <c r="AF49" s="1">
        <v>6</v>
      </c>
    </row>
    <row r="50" spans="1:35" ht="25.5">
      <c r="A50" s="200">
        <v>20</v>
      </c>
      <c r="B50" s="200">
        <v>1</v>
      </c>
      <c r="C50" s="200" t="s">
        <v>762</v>
      </c>
      <c r="D50" s="200" t="str">
        <f t="shared" ca="1" si="4"/>
        <v>IT Finance</v>
      </c>
      <c r="E50" s="200">
        <v>4</v>
      </c>
      <c r="F50" s="1">
        <v>4</v>
      </c>
      <c r="H50" s="1">
        <v>3</v>
      </c>
      <c r="J50" s="1">
        <v>4</v>
      </c>
      <c r="L50" s="1">
        <v>6</v>
      </c>
      <c r="M50" s="1" t="s">
        <v>763</v>
      </c>
      <c r="N50" s="1">
        <v>3</v>
      </c>
      <c r="O50" s="1" t="s">
        <v>764</v>
      </c>
      <c r="P50" s="1">
        <v>4</v>
      </c>
      <c r="R50" s="1">
        <v>4</v>
      </c>
      <c r="T50" s="1">
        <v>4</v>
      </c>
      <c r="V50" s="1">
        <v>5</v>
      </c>
      <c r="X50" s="1">
        <v>5</v>
      </c>
      <c r="Z50" s="1">
        <v>4</v>
      </c>
      <c r="AB50" s="1">
        <v>4</v>
      </c>
      <c r="AD50" s="1">
        <v>4</v>
      </c>
      <c r="AF50" s="1">
        <v>3</v>
      </c>
    </row>
    <row r="51" spans="1:35">
      <c r="A51" s="200">
        <v>21</v>
      </c>
      <c r="B51" s="200">
        <v>1</v>
      </c>
      <c r="C51" s="200" t="s">
        <v>765</v>
      </c>
      <c r="D51" s="200" t="str">
        <f t="shared" ca="1" si="4"/>
        <v>IT Finance</v>
      </c>
      <c r="E51" s="200">
        <v>4</v>
      </c>
      <c r="F51" s="1">
        <v>4</v>
      </c>
      <c r="G51" s="1" t="s">
        <v>27</v>
      </c>
      <c r="H51" s="1">
        <v>4</v>
      </c>
      <c r="J51" s="1">
        <v>4</v>
      </c>
      <c r="L51" s="1">
        <v>4</v>
      </c>
      <c r="N51" s="1">
        <v>4</v>
      </c>
      <c r="P51" s="1">
        <v>4</v>
      </c>
      <c r="R51" s="1">
        <v>4</v>
      </c>
      <c r="T51" s="1">
        <v>4</v>
      </c>
      <c r="V51" s="1">
        <v>4</v>
      </c>
      <c r="X51" s="1">
        <v>4</v>
      </c>
      <c r="Z51" s="1">
        <v>4</v>
      </c>
      <c r="AB51" s="1">
        <v>4</v>
      </c>
      <c r="AD51" s="1">
        <v>4</v>
      </c>
      <c r="AF51" s="1">
        <v>4</v>
      </c>
    </row>
    <row r="52" spans="1:35" ht="38.25">
      <c r="A52" s="200">
        <v>22</v>
      </c>
      <c r="B52" s="200">
        <v>1</v>
      </c>
      <c r="C52" s="200" t="s">
        <v>766</v>
      </c>
      <c r="D52" s="200" t="str">
        <f t="shared" ca="1" si="4"/>
        <v>IT Service</v>
      </c>
      <c r="E52" s="200">
        <v>9</v>
      </c>
      <c r="F52" s="1">
        <v>4</v>
      </c>
      <c r="H52" s="1">
        <v>4</v>
      </c>
      <c r="J52" s="1">
        <v>4</v>
      </c>
      <c r="L52" s="1">
        <v>4</v>
      </c>
      <c r="N52" s="1">
        <v>4</v>
      </c>
      <c r="P52" s="1">
        <v>4</v>
      </c>
      <c r="R52" s="1">
        <v>4</v>
      </c>
      <c r="T52" s="1">
        <v>4</v>
      </c>
      <c r="V52" s="1">
        <v>4</v>
      </c>
      <c r="X52" s="1">
        <v>3</v>
      </c>
      <c r="Y52" s="1" t="s">
        <v>767</v>
      </c>
      <c r="Z52" s="1">
        <v>4</v>
      </c>
      <c r="AB52" s="1">
        <v>4</v>
      </c>
      <c r="AD52" s="1">
        <v>4</v>
      </c>
      <c r="AF52" s="1">
        <v>4</v>
      </c>
    </row>
    <row r="53" spans="1:35">
      <c r="A53" s="200">
        <v>23</v>
      </c>
      <c r="B53" s="200">
        <v>1</v>
      </c>
      <c r="C53" s="200" t="s">
        <v>766</v>
      </c>
      <c r="D53" s="200" t="str">
        <f t="shared" ca="1" si="4"/>
        <v>IT Producer</v>
      </c>
      <c r="E53" s="200">
        <v>6</v>
      </c>
      <c r="F53" s="1">
        <v>5</v>
      </c>
      <c r="H53" s="1">
        <v>5</v>
      </c>
      <c r="J53" s="1">
        <v>5</v>
      </c>
      <c r="L53" s="1">
        <v>4</v>
      </c>
      <c r="N53" s="1">
        <v>4</v>
      </c>
      <c r="P53" s="1">
        <v>4</v>
      </c>
      <c r="R53" s="1">
        <v>4</v>
      </c>
      <c r="T53" s="1">
        <v>4</v>
      </c>
      <c r="V53" s="1">
        <v>5</v>
      </c>
      <c r="X53" s="1">
        <v>5</v>
      </c>
      <c r="Z53" s="1">
        <v>4</v>
      </c>
      <c r="AB53" s="1">
        <v>4</v>
      </c>
      <c r="AD53" s="1">
        <v>4</v>
      </c>
      <c r="AF53" s="1">
        <v>4</v>
      </c>
    </row>
    <row r="54" spans="1:35">
      <c r="A54" s="200">
        <v>24</v>
      </c>
      <c r="B54" s="200">
        <v>1</v>
      </c>
      <c r="C54" s="200" t="s">
        <v>768</v>
      </c>
      <c r="D54" s="200" t="str">
        <f t="shared" ca="1" si="4"/>
        <v>IT Sales</v>
      </c>
      <c r="E54" s="200">
        <v>8</v>
      </c>
      <c r="F54" s="1">
        <v>4</v>
      </c>
      <c r="H54" s="1">
        <v>4</v>
      </c>
      <c r="J54" s="1">
        <v>4</v>
      </c>
      <c r="L54" s="1">
        <v>3</v>
      </c>
      <c r="N54" s="1">
        <v>3</v>
      </c>
      <c r="P54" s="1">
        <v>3</v>
      </c>
      <c r="R54" s="1">
        <v>6</v>
      </c>
      <c r="T54" s="1">
        <v>4</v>
      </c>
      <c r="V54" s="1">
        <v>4</v>
      </c>
      <c r="X54" s="1">
        <v>4</v>
      </c>
      <c r="Z54" s="1">
        <v>4</v>
      </c>
      <c r="AB54" s="1">
        <v>4</v>
      </c>
      <c r="AD54" s="1">
        <v>3</v>
      </c>
      <c r="AF54" s="1">
        <v>3</v>
      </c>
    </row>
    <row r="55" spans="1:35">
      <c r="A55" s="200">
        <v>25</v>
      </c>
      <c r="B55" s="200">
        <v>1</v>
      </c>
      <c r="C55" s="200" t="s">
        <v>768</v>
      </c>
      <c r="D55" s="200" t="str">
        <f t="shared" ca="1" si="4"/>
        <v>IT Service</v>
      </c>
      <c r="E55" s="200">
        <v>9</v>
      </c>
      <c r="F55" s="1">
        <v>4</v>
      </c>
      <c r="H55" s="1">
        <v>4</v>
      </c>
      <c r="J55" s="1">
        <v>4</v>
      </c>
      <c r="L55" s="1">
        <v>3</v>
      </c>
      <c r="N55" s="1">
        <v>3</v>
      </c>
      <c r="P55" s="1">
        <v>4</v>
      </c>
      <c r="R55" s="1">
        <v>6</v>
      </c>
      <c r="T55" s="1">
        <v>4</v>
      </c>
      <c r="V55" s="1">
        <v>5</v>
      </c>
      <c r="W55" s="1" t="s">
        <v>769</v>
      </c>
      <c r="X55" s="1">
        <v>4</v>
      </c>
      <c r="Z55" s="1">
        <v>4</v>
      </c>
      <c r="AB55" s="1">
        <v>4</v>
      </c>
      <c r="AD55" s="1">
        <v>6</v>
      </c>
      <c r="AF55" s="1">
        <v>4</v>
      </c>
    </row>
    <row r="56" spans="1:35" ht="25.5">
      <c r="A56" s="200">
        <v>26</v>
      </c>
      <c r="B56" s="200">
        <v>1</v>
      </c>
      <c r="C56" s="200" t="s">
        <v>768</v>
      </c>
      <c r="D56" s="200" t="str">
        <f t="shared" ca="1" si="4"/>
        <v>Product Admin</v>
      </c>
      <c r="E56" s="200">
        <v>10</v>
      </c>
      <c r="F56" s="1">
        <v>3</v>
      </c>
      <c r="G56" s="1" t="s">
        <v>770</v>
      </c>
      <c r="H56" s="1">
        <v>4</v>
      </c>
      <c r="J56" s="1">
        <v>4</v>
      </c>
      <c r="L56" s="1">
        <v>3</v>
      </c>
      <c r="N56" s="1">
        <v>3</v>
      </c>
      <c r="P56" s="1">
        <v>3</v>
      </c>
      <c r="R56" s="1">
        <v>6</v>
      </c>
      <c r="T56" s="1">
        <v>5</v>
      </c>
      <c r="V56" s="1">
        <v>4</v>
      </c>
      <c r="X56" s="1">
        <v>4</v>
      </c>
      <c r="Z56" s="1">
        <v>4</v>
      </c>
      <c r="AB56" s="1">
        <v>4</v>
      </c>
      <c r="AD56" s="1">
        <v>3</v>
      </c>
      <c r="AF56" s="1">
        <v>3</v>
      </c>
      <c r="AH56" s="1" t="s">
        <v>771</v>
      </c>
      <c r="AI56" s="1" t="s">
        <v>772</v>
      </c>
    </row>
    <row r="57" spans="1:35">
      <c r="A57" s="200">
        <v>27</v>
      </c>
      <c r="B57" s="200">
        <v>1</v>
      </c>
      <c r="C57" s="200" t="s">
        <v>773</v>
      </c>
      <c r="D57" s="200" t="str">
        <f t="shared" ca="1" si="4"/>
        <v>IT Service</v>
      </c>
      <c r="E57" s="200">
        <v>9</v>
      </c>
      <c r="F57" s="1">
        <v>4</v>
      </c>
      <c r="H57" s="1">
        <v>4</v>
      </c>
      <c r="J57" s="1">
        <v>4</v>
      </c>
      <c r="L57" s="1">
        <v>2</v>
      </c>
      <c r="M57" s="1" t="s">
        <v>774</v>
      </c>
      <c r="N57" s="1">
        <v>4</v>
      </c>
      <c r="P57" s="1">
        <v>4</v>
      </c>
      <c r="Q57" s="1" t="s">
        <v>775</v>
      </c>
      <c r="R57" s="1">
        <v>5</v>
      </c>
      <c r="T57" s="1">
        <v>4</v>
      </c>
      <c r="V57" s="1">
        <v>4</v>
      </c>
      <c r="X57" s="1">
        <v>4</v>
      </c>
      <c r="Z57" s="1">
        <v>4</v>
      </c>
      <c r="AB57" s="1">
        <v>1</v>
      </c>
      <c r="AC57" s="1" t="s">
        <v>776</v>
      </c>
      <c r="AD57" s="1">
        <v>4</v>
      </c>
      <c r="AF57" s="1">
        <v>4</v>
      </c>
      <c r="AI57" s="1" t="s">
        <v>777</v>
      </c>
    </row>
    <row r="58" spans="1:35" ht="38.25">
      <c r="A58" s="200">
        <v>28</v>
      </c>
      <c r="B58" s="200">
        <v>1</v>
      </c>
      <c r="C58" s="200" t="s">
        <v>778</v>
      </c>
      <c r="D58" s="200" t="str">
        <f t="shared" ca="1" si="4"/>
        <v>IT Finance</v>
      </c>
      <c r="E58" s="200">
        <v>4</v>
      </c>
      <c r="F58" s="1">
        <v>5</v>
      </c>
      <c r="H58" s="1">
        <v>5</v>
      </c>
      <c r="J58" s="1">
        <v>5</v>
      </c>
      <c r="L58" s="1">
        <v>4</v>
      </c>
      <c r="N58" s="1">
        <v>3</v>
      </c>
      <c r="P58" s="1">
        <v>5</v>
      </c>
      <c r="Q58" s="1" t="s">
        <v>779</v>
      </c>
      <c r="R58" s="1">
        <v>5</v>
      </c>
      <c r="S58" s="1" t="s">
        <v>780</v>
      </c>
      <c r="T58" s="1">
        <v>5</v>
      </c>
      <c r="V58" s="1">
        <v>5</v>
      </c>
      <c r="X58" s="1">
        <v>5</v>
      </c>
      <c r="Z58" s="1">
        <v>5</v>
      </c>
      <c r="AB58" s="1">
        <v>4</v>
      </c>
      <c r="AD58" s="1">
        <v>5</v>
      </c>
      <c r="AE58" s="1" t="s">
        <v>781</v>
      </c>
      <c r="AF58" s="1">
        <v>4</v>
      </c>
      <c r="AI58" s="1" t="s">
        <v>782</v>
      </c>
    </row>
    <row r="59" spans="1:35">
      <c r="A59" s="200">
        <v>29</v>
      </c>
      <c r="B59" s="200">
        <v>1</v>
      </c>
      <c r="C59" s="200" t="s">
        <v>783</v>
      </c>
      <c r="D59" s="200" t="str">
        <f t="shared" ca="1" si="4"/>
        <v>Viewpoint</v>
      </c>
      <c r="E59" s="200">
        <v>7</v>
      </c>
      <c r="F59" s="1">
        <v>5</v>
      </c>
      <c r="G59" s="1" t="s">
        <v>27</v>
      </c>
      <c r="H59" s="1">
        <v>5</v>
      </c>
      <c r="J59" s="1">
        <v>4</v>
      </c>
      <c r="L59" s="1">
        <v>5</v>
      </c>
      <c r="N59" s="1">
        <v>5</v>
      </c>
      <c r="P59" s="1">
        <v>4</v>
      </c>
      <c r="R59" s="1">
        <v>4</v>
      </c>
      <c r="T59" s="1">
        <v>5</v>
      </c>
      <c r="V59" s="1">
        <v>5</v>
      </c>
      <c r="X59" s="1">
        <v>5</v>
      </c>
      <c r="Z59" s="1">
        <v>5</v>
      </c>
      <c r="AB59" s="1">
        <v>5</v>
      </c>
      <c r="AD59" s="1">
        <v>5</v>
      </c>
      <c r="AF59" s="1">
        <v>4</v>
      </c>
    </row>
    <row r="60" spans="1:35" ht="89.25">
      <c r="A60" s="200">
        <v>30</v>
      </c>
      <c r="B60" s="200">
        <v>1</v>
      </c>
      <c r="C60" s="200" t="s">
        <v>784</v>
      </c>
      <c r="D60" s="200" t="str">
        <f t="shared" ca="1" si="4"/>
        <v>Product Admin</v>
      </c>
      <c r="E60" s="200">
        <v>10</v>
      </c>
      <c r="F60" s="1">
        <v>4</v>
      </c>
      <c r="H60" s="1">
        <v>4</v>
      </c>
      <c r="J60" s="1">
        <v>4</v>
      </c>
      <c r="K60" s="1" t="s">
        <v>785</v>
      </c>
      <c r="L60" s="1">
        <v>4</v>
      </c>
      <c r="N60" s="1">
        <v>4</v>
      </c>
      <c r="P60" s="1">
        <v>5</v>
      </c>
      <c r="Q60" s="1" t="s">
        <v>786</v>
      </c>
      <c r="R60" s="1">
        <v>5</v>
      </c>
      <c r="T60" s="1">
        <v>4</v>
      </c>
      <c r="V60" s="1">
        <v>5</v>
      </c>
      <c r="X60" s="1">
        <v>4</v>
      </c>
      <c r="Y60" s="1" t="s">
        <v>787</v>
      </c>
      <c r="Z60" s="1">
        <v>4</v>
      </c>
      <c r="AB60" s="1">
        <v>4</v>
      </c>
      <c r="AD60" s="1">
        <v>4</v>
      </c>
      <c r="AF60" s="1">
        <v>4</v>
      </c>
      <c r="AH60" s="1" t="s">
        <v>788</v>
      </c>
      <c r="AI60" s="1" t="s">
        <v>789</v>
      </c>
    </row>
    <row r="61" spans="1:35">
      <c r="A61" s="200">
        <v>31</v>
      </c>
      <c r="B61" s="200">
        <v>1</v>
      </c>
      <c r="C61" s="200" t="s">
        <v>790</v>
      </c>
      <c r="D61" s="200" t="str">
        <f t="shared" ca="1" si="4"/>
        <v>IT Service</v>
      </c>
      <c r="E61" s="200">
        <v>9</v>
      </c>
      <c r="F61" s="1">
        <v>3</v>
      </c>
      <c r="H61" s="1">
        <v>2</v>
      </c>
      <c r="J61" s="1">
        <v>3</v>
      </c>
      <c r="L61" s="1">
        <v>3</v>
      </c>
      <c r="N61" s="1">
        <v>3</v>
      </c>
      <c r="P61" s="1">
        <v>3</v>
      </c>
      <c r="R61" s="1">
        <v>4</v>
      </c>
      <c r="T61" s="1">
        <v>3</v>
      </c>
      <c r="V61" s="1">
        <v>3</v>
      </c>
      <c r="X61" s="1">
        <v>3</v>
      </c>
      <c r="Z61" s="1">
        <v>3</v>
      </c>
      <c r="AB61" s="1">
        <v>3</v>
      </c>
      <c r="AD61" s="1">
        <v>3</v>
      </c>
      <c r="AF61" s="1">
        <v>3</v>
      </c>
    </row>
    <row r="62" spans="1:35">
      <c r="A62" s="200">
        <v>32</v>
      </c>
      <c r="B62" s="200">
        <v>1</v>
      </c>
      <c r="C62" s="200" t="s">
        <v>790</v>
      </c>
      <c r="D62" s="200" t="str">
        <f t="shared" ca="1" si="4"/>
        <v>Product Admin</v>
      </c>
      <c r="E62" s="200">
        <v>10</v>
      </c>
      <c r="F62" s="1">
        <v>2</v>
      </c>
      <c r="H62" s="1">
        <v>2</v>
      </c>
      <c r="J62" s="1">
        <v>3</v>
      </c>
      <c r="L62" s="1">
        <v>3</v>
      </c>
      <c r="N62" s="1">
        <v>3</v>
      </c>
      <c r="P62" s="1">
        <v>3</v>
      </c>
      <c r="R62" s="1">
        <v>3</v>
      </c>
      <c r="T62" s="1">
        <v>3</v>
      </c>
      <c r="V62" s="1">
        <v>3</v>
      </c>
      <c r="X62" s="1">
        <v>3</v>
      </c>
      <c r="Z62" s="1">
        <v>3</v>
      </c>
      <c r="AB62" s="1">
        <v>3</v>
      </c>
      <c r="AD62" s="1">
        <v>3</v>
      </c>
      <c r="AF62" s="1">
        <v>3</v>
      </c>
    </row>
    <row r="63" spans="1:35">
      <c r="A63" s="200">
        <v>33</v>
      </c>
      <c r="B63" s="200">
        <v>1</v>
      </c>
      <c r="C63" s="200" t="s">
        <v>790</v>
      </c>
      <c r="D63" s="200" t="str">
        <f t="shared" ca="1" si="4"/>
        <v>IT Finance</v>
      </c>
      <c r="E63" s="200">
        <v>4</v>
      </c>
      <c r="F63" s="1">
        <v>3</v>
      </c>
      <c r="H63" s="1">
        <v>3</v>
      </c>
      <c r="J63" s="1">
        <v>3</v>
      </c>
      <c r="L63" s="1">
        <v>3</v>
      </c>
      <c r="N63" s="1">
        <v>3</v>
      </c>
      <c r="P63" s="1">
        <v>3</v>
      </c>
      <c r="R63" s="1">
        <v>3</v>
      </c>
      <c r="T63" s="1">
        <v>3</v>
      </c>
      <c r="V63" s="1">
        <v>3</v>
      </c>
      <c r="X63" s="1">
        <v>3</v>
      </c>
      <c r="Z63" s="1">
        <v>3</v>
      </c>
      <c r="AB63" s="1">
        <v>3</v>
      </c>
      <c r="AD63" s="1">
        <v>3</v>
      </c>
      <c r="AF63" s="1">
        <v>3</v>
      </c>
    </row>
    <row r="64" spans="1:35" ht="102">
      <c r="A64" s="200">
        <v>34</v>
      </c>
      <c r="B64" s="200">
        <v>1</v>
      </c>
      <c r="C64" s="200" t="s">
        <v>784</v>
      </c>
      <c r="D64" s="200" t="str">
        <f t="shared" ca="1" si="4"/>
        <v>IT Service</v>
      </c>
      <c r="E64" s="200">
        <v>9</v>
      </c>
      <c r="F64" s="1">
        <v>4</v>
      </c>
      <c r="H64" s="1">
        <v>4</v>
      </c>
      <c r="J64" s="1">
        <v>4</v>
      </c>
      <c r="L64" s="1">
        <v>4</v>
      </c>
      <c r="N64" s="1">
        <v>4</v>
      </c>
      <c r="P64" s="1">
        <v>4</v>
      </c>
      <c r="R64" s="1">
        <v>4</v>
      </c>
      <c r="T64" s="1">
        <v>4</v>
      </c>
      <c r="V64" s="1">
        <v>4</v>
      </c>
      <c r="X64" s="1">
        <v>4</v>
      </c>
      <c r="Z64" s="1">
        <v>4</v>
      </c>
      <c r="AB64" s="1">
        <v>3</v>
      </c>
      <c r="AC64" s="1" t="s">
        <v>791</v>
      </c>
      <c r="AD64" s="1">
        <v>4</v>
      </c>
      <c r="AF64" s="1">
        <v>4</v>
      </c>
      <c r="AI64" s="1" t="s">
        <v>792</v>
      </c>
    </row>
    <row r="65" spans="1:35">
      <c r="A65" s="200">
        <v>35</v>
      </c>
      <c r="B65" s="200">
        <v>1</v>
      </c>
      <c r="C65" s="200" t="s">
        <v>793</v>
      </c>
      <c r="D65" s="200" t="str">
        <f t="shared" ca="1" si="4"/>
        <v>IT Finance</v>
      </c>
      <c r="E65" s="200">
        <v>4</v>
      </c>
      <c r="F65" s="1">
        <v>4</v>
      </c>
      <c r="H65" s="1">
        <v>4</v>
      </c>
      <c r="J65" s="1">
        <v>4</v>
      </c>
      <c r="L65" s="1">
        <v>4</v>
      </c>
      <c r="N65" s="1">
        <v>4</v>
      </c>
      <c r="P65" s="1">
        <v>4</v>
      </c>
      <c r="R65" s="1">
        <v>4</v>
      </c>
      <c r="T65" s="1">
        <v>4</v>
      </c>
      <c r="V65" s="1">
        <v>5</v>
      </c>
      <c r="X65" s="1">
        <v>5</v>
      </c>
      <c r="Z65" s="1">
        <v>4</v>
      </c>
      <c r="AB65" s="1">
        <v>4</v>
      </c>
      <c r="AD65" s="1">
        <v>4</v>
      </c>
      <c r="AF65" s="1">
        <v>4</v>
      </c>
    </row>
    <row r="66" spans="1:35">
      <c r="A66" s="200">
        <v>36</v>
      </c>
      <c r="B66" s="200">
        <v>1</v>
      </c>
      <c r="C66" s="200" t="s">
        <v>794</v>
      </c>
      <c r="D66" s="200" t="str">
        <f t="shared" ca="1" si="4"/>
        <v>IT Service</v>
      </c>
      <c r="E66" s="200">
        <v>9</v>
      </c>
      <c r="F66" s="1">
        <v>4</v>
      </c>
      <c r="H66" s="1">
        <v>4</v>
      </c>
      <c r="J66" s="1">
        <v>4</v>
      </c>
      <c r="L66" s="1">
        <v>4</v>
      </c>
      <c r="N66" s="1">
        <v>4</v>
      </c>
      <c r="P66" s="1">
        <v>4</v>
      </c>
      <c r="R66" s="1">
        <v>6</v>
      </c>
      <c r="T66" s="1">
        <v>4</v>
      </c>
      <c r="V66" s="1">
        <v>2</v>
      </c>
      <c r="X66" s="1">
        <v>3</v>
      </c>
      <c r="Z66" s="1">
        <v>4</v>
      </c>
      <c r="AB66" s="1">
        <v>4</v>
      </c>
      <c r="AD66" s="1">
        <v>4</v>
      </c>
      <c r="AF66" s="1">
        <v>4</v>
      </c>
    </row>
    <row r="67" spans="1:35">
      <c r="A67" s="200">
        <v>37</v>
      </c>
      <c r="B67" s="200">
        <v>1</v>
      </c>
      <c r="C67" s="200" t="s">
        <v>794</v>
      </c>
      <c r="D67" s="200" t="str">
        <f t="shared" ca="1" si="4"/>
        <v>IT Service</v>
      </c>
      <c r="E67" s="200">
        <v>9</v>
      </c>
      <c r="F67" s="1">
        <v>4</v>
      </c>
      <c r="H67" s="1">
        <v>4</v>
      </c>
      <c r="J67" s="1">
        <v>4</v>
      </c>
      <c r="L67" s="1">
        <v>4</v>
      </c>
      <c r="N67" s="1">
        <v>4</v>
      </c>
      <c r="P67" s="1">
        <v>4</v>
      </c>
      <c r="R67" s="1">
        <v>4</v>
      </c>
      <c r="T67" s="1">
        <v>4</v>
      </c>
      <c r="V67" s="1">
        <v>4</v>
      </c>
      <c r="X67" s="1">
        <v>3</v>
      </c>
      <c r="Z67" s="1">
        <v>4</v>
      </c>
      <c r="AB67" s="1">
        <v>4</v>
      </c>
      <c r="AD67" s="1">
        <v>4</v>
      </c>
      <c r="AF67" s="1">
        <v>4</v>
      </c>
    </row>
    <row r="68" spans="1:35">
      <c r="A68" s="200">
        <v>38</v>
      </c>
      <c r="B68" s="200">
        <v>1</v>
      </c>
      <c r="C68" s="200" t="s">
        <v>795</v>
      </c>
      <c r="D68" s="200" t="str">
        <f t="shared" ca="1" si="4"/>
        <v>Product Admin</v>
      </c>
      <c r="E68" s="200">
        <v>10</v>
      </c>
      <c r="F68" s="1">
        <v>4</v>
      </c>
      <c r="H68" s="1">
        <v>3</v>
      </c>
      <c r="J68" s="1">
        <v>4</v>
      </c>
      <c r="L68" s="1">
        <v>4</v>
      </c>
      <c r="N68" s="1">
        <v>4</v>
      </c>
      <c r="P68" s="1">
        <v>4</v>
      </c>
      <c r="R68" s="1">
        <v>4</v>
      </c>
      <c r="T68" s="1">
        <v>4</v>
      </c>
      <c r="V68" s="1">
        <v>4</v>
      </c>
      <c r="X68" s="1">
        <v>4</v>
      </c>
      <c r="Z68" s="1">
        <v>4</v>
      </c>
      <c r="AB68" s="1">
        <v>4</v>
      </c>
      <c r="AD68" s="1">
        <v>4</v>
      </c>
      <c r="AF68" s="1">
        <v>4</v>
      </c>
    </row>
    <row r="69" spans="1:35">
      <c r="A69" s="200">
        <v>39</v>
      </c>
      <c r="B69" s="200">
        <v>1</v>
      </c>
      <c r="C69" s="200" t="s">
        <v>795</v>
      </c>
      <c r="D69" s="200" t="str">
        <f t="shared" ca="1" si="4"/>
        <v>IT Finance</v>
      </c>
      <c r="E69" s="200">
        <v>4</v>
      </c>
      <c r="F69" s="1">
        <v>4</v>
      </c>
      <c r="H69" s="1">
        <v>4</v>
      </c>
      <c r="J69" s="1">
        <v>4</v>
      </c>
      <c r="L69" s="1">
        <v>6</v>
      </c>
      <c r="N69" s="1">
        <v>6</v>
      </c>
      <c r="P69" s="1">
        <v>4</v>
      </c>
      <c r="R69" s="1">
        <v>4</v>
      </c>
      <c r="T69" s="1">
        <v>4</v>
      </c>
      <c r="V69" s="1">
        <v>4</v>
      </c>
      <c r="X69" s="1">
        <v>4</v>
      </c>
      <c r="Z69" s="1">
        <v>4</v>
      </c>
      <c r="AB69" s="1">
        <v>3</v>
      </c>
      <c r="AD69" s="1">
        <v>4</v>
      </c>
      <c r="AF69" s="1">
        <v>3</v>
      </c>
    </row>
    <row r="70" spans="1:35">
      <c r="A70" s="200">
        <v>40</v>
      </c>
      <c r="B70" s="200">
        <v>1</v>
      </c>
      <c r="C70" s="200" t="s">
        <v>795</v>
      </c>
      <c r="D70" s="200" t="str">
        <f t="shared" ca="1" si="4"/>
        <v>IT Service</v>
      </c>
      <c r="E70" s="200">
        <v>9</v>
      </c>
      <c r="F70" s="1">
        <v>4</v>
      </c>
      <c r="H70" s="1">
        <v>3</v>
      </c>
      <c r="J70" s="1">
        <v>4</v>
      </c>
      <c r="L70" s="1">
        <v>4</v>
      </c>
      <c r="N70" s="1">
        <v>4</v>
      </c>
      <c r="P70" s="1">
        <v>4</v>
      </c>
      <c r="R70" s="1">
        <v>4</v>
      </c>
      <c r="T70" s="1">
        <v>4</v>
      </c>
      <c r="V70" s="1">
        <v>4</v>
      </c>
      <c r="X70" s="1">
        <v>4</v>
      </c>
      <c r="Z70" s="1">
        <v>4</v>
      </c>
      <c r="AB70" s="1">
        <v>4</v>
      </c>
      <c r="AD70" s="1">
        <v>4</v>
      </c>
      <c r="AF70" s="1">
        <v>4</v>
      </c>
    </row>
    <row r="71" spans="1:35">
      <c r="A71" s="200">
        <v>41</v>
      </c>
      <c r="B71" s="200">
        <v>1</v>
      </c>
      <c r="C71" s="200" t="s">
        <v>796</v>
      </c>
      <c r="D71" s="200" t="str">
        <f t="shared" ca="1" si="4"/>
        <v>IT Finance</v>
      </c>
      <c r="E71" s="200">
        <v>4</v>
      </c>
      <c r="F71" s="1">
        <v>4</v>
      </c>
      <c r="H71" s="1">
        <v>4</v>
      </c>
      <c r="J71" s="1">
        <v>4</v>
      </c>
      <c r="L71" s="1">
        <v>3</v>
      </c>
      <c r="N71" s="1">
        <v>3</v>
      </c>
      <c r="P71" s="1">
        <v>3</v>
      </c>
      <c r="R71" s="1">
        <v>4</v>
      </c>
      <c r="T71" s="1">
        <v>3</v>
      </c>
      <c r="V71" s="1">
        <v>4</v>
      </c>
      <c r="X71" s="1">
        <v>4</v>
      </c>
      <c r="Z71" s="1">
        <v>4</v>
      </c>
      <c r="AB71" s="1">
        <v>3</v>
      </c>
      <c r="AD71" s="1">
        <v>3</v>
      </c>
      <c r="AE71" s="1" t="s">
        <v>797</v>
      </c>
      <c r="AF71" s="1">
        <v>4</v>
      </c>
      <c r="AI71" s="1" t="s">
        <v>798</v>
      </c>
    </row>
    <row r="72" spans="1:35">
      <c r="A72" s="200">
        <v>42</v>
      </c>
      <c r="B72" s="200">
        <v>1</v>
      </c>
      <c r="C72" s="200" t="s">
        <v>799</v>
      </c>
      <c r="D72" s="200" t="str">
        <f t="shared" ca="1" si="4"/>
        <v>IT Service</v>
      </c>
      <c r="E72" s="200">
        <v>9</v>
      </c>
      <c r="F72" s="1">
        <v>4</v>
      </c>
      <c r="H72" s="1">
        <v>4</v>
      </c>
      <c r="J72" s="1">
        <v>4</v>
      </c>
      <c r="L72" s="1">
        <v>4</v>
      </c>
      <c r="N72" s="1">
        <v>4</v>
      </c>
      <c r="P72" s="1">
        <v>3</v>
      </c>
      <c r="R72" s="1">
        <v>4</v>
      </c>
      <c r="T72" s="1">
        <v>3</v>
      </c>
      <c r="V72" s="1">
        <v>4</v>
      </c>
      <c r="X72" s="1">
        <v>3</v>
      </c>
      <c r="Z72" s="1">
        <v>4</v>
      </c>
      <c r="AB72" s="1">
        <v>4</v>
      </c>
      <c r="AD72" s="1">
        <v>4</v>
      </c>
      <c r="AF72" s="1">
        <v>4</v>
      </c>
    </row>
    <row r="73" spans="1:35">
      <c r="A73" s="200">
        <v>43</v>
      </c>
      <c r="B73" s="200">
        <v>1</v>
      </c>
      <c r="C73" s="200" t="s">
        <v>800</v>
      </c>
      <c r="D73" s="200" t="str">
        <f t="shared" ca="1" si="4"/>
        <v>IT Finance</v>
      </c>
      <c r="E73" s="200">
        <v>4</v>
      </c>
      <c r="F73" s="1">
        <v>4</v>
      </c>
      <c r="H73" s="1">
        <v>4</v>
      </c>
      <c r="J73" s="1">
        <v>3</v>
      </c>
      <c r="L73" s="1">
        <v>4</v>
      </c>
      <c r="N73" s="1">
        <v>4</v>
      </c>
      <c r="P73" s="1">
        <v>3</v>
      </c>
      <c r="R73" s="1">
        <v>4</v>
      </c>
      <c r="T73" s="1">
        <v>4</v>
      </c>
      <c r="V73" s="1">
        <v>4</v>
      </c>
      <c r="X73" s="1">
        <v>3</v>
      </c>
      <c r="Z73" s="1">
        <v>4</v>
      </c>
      <c r="AB73" s="1">
        <v>4</v>
      </c>
      <c r="AD73" s="1">
        <v>4</v>
      </c>
      <c r="AF73" s="1">
        <v>4</v>
      </c>
    </row>
    <row r="74" spans="1:35">
      <c r="A74" s="200">
        <v>44</v>
      </c>
      <c r="B74" s="200">
        <v>1</v>
      </c>
      <c r="C74" s="200" t="s">
        <v>800</v>
      </c>
      <c r="D74" s="200" t="str">
        <f t="shared" ca="1" si="4"/>
        <v>Product Admin</v>
      </c>
      <c r="E74" s="200">
        <v>10</v>
      </c>
      <c r="F74" s="1">
        <v>3</v>
      </c>
      <c r="H74" s="1">
        <v>3</v>
      </c>
      <c r="J74" s="1">
        <v>3</v>
      </c>
      <c r="L74" s="1">
        <v>4</v>
      </c>
      <c r="N74" s="1">
        <v>4</v>
      </c>
      <c r="P74" s="1">
        <v>3</v>
      </c>
      <c r="R74" s="1">
        <v>4</v>
      </c>
      <c r="T74" s="1">
        <v>4</v>
      </c>
      <c r="V74" s="1">
        <v>4</v>
      </c>
      <c r="X74" s="1">
        <v>3</v>
      </c>
      <c r="Z74" s="1">
        <v>4</v>
      </c>
      <c r="AB74" s="1">
        <v>3</v>
      </c>
      <c r="AD74" s="1">
        <v>4</v>
      </c>
      <c r="AF74" s="1">
        <v>4</v>
      </c>
    </row>
    <row r="75" spans="1:35" ht="38.25">
      <c r="A75" s="200">
        <v>45</v>
      </c>
      <c r="B75" s="200">
        <v>1</v>
      </c>
      <c r="C75" s="200" t="s">
        <v>801</v>
      </c>
      <c r="D75" s="200" t="str">
        <f t="shared" ca="1" si="4"/>
        <v>IT Producer</v>
      </c>
      <c r="E75" s="200">
        <v>6</v>
      </c>
      <c r="F75" s="1">
        <v>3</v>
      </c>
      <c r="H75" s="1">
        <v>4</v>
      </c>
      <c r="J75" s="1">
        <v>4</v>
      </c>
      <c r="L75" s="1">
        <v>4</v>
      </c>
      <c r="N75" s="1">
        <v>3</v>
      </c>
      <c r="P75" s="1">
        <v>3</v>
      </c>
      <c r="Q75" s="1" t="s">
        <v>802</v>
      </c>
      <c r="R75" s="1">
        <v>5</v>
      </c>
      <c r="T75" s="1">
        <v>2</v>
      </c>
      <c r="U75" s="1" t="s">
        <v>803</v>
      </c>
      <c r="V75" s="1">
        <v>4</v>
      </c>
      <c r="X75" s="1">
        <v>4</v>
      </c>
      <c r="Z75" s="1">
        <v>3</v>
      </c>
      <c r="AB75" s="1">
        <v>3</v>
      </c>
      <c r="AD75" s="1">
        <v>3</v>
      </c>
      <c r="AF75" s="1">
        <v>4</v>
      </c>
    </row>
    <row r="76" spans="1:35" ht="38.25">
      <c r="A76" s="200">
        <v>46</v>
      </c>
      <c r="B76" s="200">
        <v>1</v>
      </c>
      <c r="C76" s="200" t="s">
        <v>804</v>
      </c>
      <c r="D76" s="200" t="str">
        <f t="shared" ca="1" si="4"/>
        <v>eBusiness</v>
      </c>
      <c r="E76" s="200">
        <v>2</v>
      </c>
      <c r="F76" s="1">
        <v>5</v>
      </c>
      <c r="H76" s="1">
        <v>5</v>
      </c>
      <c r="J76" s="1">
        <v>5</v>
      </c>
      <c r="L76" s="1">
        <v>5</v>
      </c>
      <c r="N76" s="1">
        <v>5</v>
      </c>
      <c r="O76" s="1" t="s">
        <v>805</v>
      </c>
      <c r="P76" s="1">
        <v>4</v>
      </c>
      <c r="R76" s="1">
        <v>4</v>
      </c>
      <c r="T76" s="1">
        <v>5</v>
      </c>
      <c r="V76" s="1">
        <v>5</v>
      </c>
      <c r="X76" s="1">
        <v>5</v>
      </c>
      <c r="Z76" s="1">
        <v>5</v>
      </c>
      <c r="AB76" s="1">
        <v>5</v>
      </c>
      <c r="AD76" s="1">
        <v>5</v>
      </c>
      <c r="AF76" s="1">
        <v>5</v>
      </c>
      <c r="AI76" s="1" t="s">
        <v>806</v>
      </c>
    </row>
    <row r="77" spans="1:35" ht="25.5">
      <c r="A77" s="200">
        <v>47</v>
      </c>
      <c r="B77" s="200">
        <v>1</v>
      </c>
      <c r="C77" s="200" t="s">
        <v>807</v>
      </c>
      <c r="D77" s="200" t="str">
        <f t="shared" ca="1" si="4"/>
        <v>Data Services</v>
      </c>
      <c r="E77" s="200">
        <v>1</v>
      </c>
      <c r="F77" s="1">
        <v>4</v>
      </c>
      <c r="H77" s="1">
        <v>4</v>
      </c>
      <c r="J77" s="1">
        <v>4</v>
      </c>
      <c r="L77" s="1">
        <v>4</v>
      </c>
      <c r="N77" s="1">
        <v>4</v>
      </c>
      <c r="P77" s="1">
        <v>5</v>
      </c>
      <c r="Q77" s="1" t="s">
        <v>808</v>
      </c>
      <c r="R77" s="1">
        <v>4</v>
      </c>
      <c r="T77" s="1">
        <v>4</v>
      </c>
      <c r="V77" s="1">
        <v>5</v>
      </c>
      <c r="X77" s="1">
        <v>4</v>
      </c>
      <c r="Z77" s="1">
        <v>5</v>
      </c>
      <c r="AB77" s="1">
        <v>4</v>
      </c>
      <c r="AD77" s="1">
        <v>5</v>
      </c>
      <c r="AE77" s="1" t="s">
        <v>809</v>
      </c>
      <c r="AF77" s="1">
        <v>4</v>
      </c>
      <c r="AI77" s="1" t="s">
        <v>810</v>
      </c>
    </row>
  </sheetData>
  <mergeCells count="14">
    <mergeCell ref="AD28:AE28"/>
    <mergeCell ref="AF28:AG28"/>
    <mergeCell ref="R28:S28"/>
    <mergeCell ref="T28:U28"/>
    <mergeCell ref="V28:W28"/>
    <mergeCell ref="X28:Y28"/>
    <mergeCell ref="Z28:AA28"/>
    <mergeCell ref="AB28:AC28"/>
    <mergeCell ref="P28:Q28"/>
    <mergeCell ref="F28:G28"/>
    <mergeCell ref="H28:I28"/>
    <mergeCell ref="J28:K28"/>
    <mergeCell ref="L28:M28"/>
    <mergeCell ref="N28:O28"/>
  </mergeCells>
  <hyperlinks>
    <hyperlink ref="A1" location="'Table of Contents'!A1" display="Table of Contents"/>
  </hyperlinks>
  <printOptions headings="1" gridLines="1"/>
  <pageMargins left="0.25" right="0.25" top="0.75" bottom="0.75" header="0.3" footer="0.3"/>
  <pageSetup orientation="landscape" r:id="rId1"/>
  <headerFooter>
    <oddFooter>&amp;L&amp;5&amp;Z&amp;F
Created: 9/29/2006 10:44:00 PM
Last Saved: 2/5/2008 9:15:17 PM
Last Printed: 2/5/2008 6:12:16 PM&amp;R&amp;5&amp;P - &amp;N
Title :&lt;Not Set&gt;
Subject: &lt;Not Set&gt;</oddFooter>
  </headerFooter>
  <drawing r:id="rId2"/>
  <tableParts count="1">
    <tablePart r:id="rId3"/>
  </tableParts>
</worksheet>
</file>

<file path=xl/worksheets/sheet16.xml><?xml version="1.0" encoding="utf-8"?>
<worksheet xmlns="http://schemas.openxmlformats.org/spreadsheetml/2006/main" xmlns:r="http://schemas.openxmlformats.org/officeDocument/2006/relationships">
  <sheetPr codeName="Sheet3"/>
  <dimension ref="A1:J53"/>
  <sheetViews>
    <sheetView workbookViewId="0"/>
  </sheetViews>
  <sheetFormatPr defaultRowHeight="12.75"/>
  <cols>
    <col min="1" max="1" width="15.7109375" customWidth="1"/>
    <col min="2" max="2" width="100.7109375" customWidth="1"/>
    <col min="3" max="10" width="15.7109375" customWidth="1"/>
  </cols>
  <sheetData>
    <row r="1" spans="1:10">
      <c r="A1" s="5" t="s">
        <v>30</v>
      </c>
    </row>
    <row r="4" spans="1:10">
      <c r="A4" t="s">
        <v>114</v>
      </c>
      <c r="B4" t="str">
        <f>ADDRESS(11,1,,TRUE) &amp; ":" &amp; ADDRESS(53,2,TRUE)</f>
        <v>$A$11:$B$53</v>
      </c>
    </row>
    <row r="5" spans="1:10">
      <c r="A5" t="s">
        <v>115</v>
      </c>
      <c r="B5" t="str">
        <f>ADDRESS(11,3,,TRUE) &amp; ":" &amp; ADDRESS(53,4,TRUE)</f>
        <v>$C$11:$D$53</v>
      </c>
    </row>
    <row r="6" spans="1:10">
      <c r="A6" t="s">
        <v>116</v>
      </c>
      <c r="B6" t="str">
        <f>ADDRESS(11,5,,TRUE) &amp; ":" &amp; ADDRESS(53,6,TRUE)</f>
        <v>$E$11:$F$53</v>
      </c>
    </row>
    <row r="7" spans="1:10">
      <c r="A7" t="s">
        <v>117</v>
      </c>
      <c r="B7" t="str">
        <f>ADDRESS(11,7,,TRUE) &amp; ":" &amp; ADDRESS(53,8,TRUE)</f>
        <v>$G$11:$H$53</v>
      </c>
    </row>
    <row r="8" spans="1:10">
      <c r="A8" t="s">
        <v>118</v>
      </c>
      <c r="B8" t="str">
        <f>ADDRESS(11,9,,TRUE) &amp; ":" &amp; ADDRESS(53,10,TRUE)</f>
        <v>$I$11:$J$53</v>
      </c>
    </row>
    <row r="10" spans="1:10" ht="31.5">
      <c r="A10" s="35" t="s">
        <v>119</v>
      </c>
      <c r="B10" s="35" t="s">
        <v>120</v>
      </c>
      <c r="C10" s="35" t="s">
        <v>119</v>
      </c>
      <c r="D10" s="35" t="s">
        <v>121</v>
      </c>
      <c r="E10" s="35" t="s">
        <v>119</v>
      </c>
      <c r="F10" s="35" t="s">
        <v>116</v>
      </c>
      <c r="G10" s="35" t="s">
        <v>119</v>
      </c>
      <c r="H10" s="35" t="s">
        <v>122</v>
      </c>
      <c r="I10" s="35" t="s">
        <v>119</v>
      </c>
      <c r="J10" s="35" t="s">
        <v>123</v>
      </c>
    </row>
    <row r="11" spans="1:10">
      <c r="A11" t="s">
        <v>127</v>
      </c>
      <c r="B11" t="s">
        <v>128</v>
      </c>
      <c r="C11" t="str">
        <f t="shared" ref="C11:C53" si="0">A11</f>
        <v>Q1</v>
      </c>
      <c r="D11">
        <v>5</v>
      </c>
      <c r="E11" t="str">
        <f t="shared" ref="E11:E53" si="1">A11</f>
        <v>Q1</v>
      </c>
      <c r="F11">
        <v>1</v>
      </c>
      <c r="G11" t="str">
        <f t="shared" ref="G11:G53" si="2">A11</f>
        <v>Q1</v>
      </c>
      <c r="H11">
        <v>1</v>
      </c>
      <c r="I11" t="str">
        <f t="shared" ref="I11:I53" si="3">A11</f>
        <v>Q1</v>
      </c>
    </row>
    <row r="12" spans="1:10">
      <c r="A12" t="s">
        <v>158</v>
      </c>
      <c r="B12" t="s">
        <v>159</v>
      </c>
      <c r="C12" t="str">
        <f t="shared" si="0"/>
        <v>Q10</v>
      </c>
      <c r="D12">
        <v>5</v>
      </c>
      <c r="E12" t="str">
        <f t="shared" si="1"/>
        <v>Q10</v>
      </c>
      <c r="F12">
        <v>1</v>
      </c>
      <c r="G12" t="str">
        <f t="shared" si="2"/>
        <v>Q10</v>
      </c>
      <c r="H12">
        <v>1</v>
      </c>
      <c r="I12" t="str">
        <f t="shared" si="3"/>
        <v>Q10</v>
      </c>
    </row>
    <row r="13" spans="1:10">
      <c r="A13" t="s">
        <v>160</v>
      </c>
      <c r="B13" t="s">
        <v>133</v>
      </c>
      <c r="C13" t="str">
        <f t="shared" si="0"/>
        <v>Q10b</v>
      </c>
      <c r="D13">
        <v>110</v>
      </c>
      <c r="E13" t="str">
        <f t="shared" si="1"/>
        <v>Q10b</v>
      </c>
      <c r="G13" t="str">
        <f t="shared" si="2"/>
        <v>Q10b</v>
      </c>
      <c r="I13" t="str">
        <f t="shared" si="3"/>
        <v>Q10b</v>
      </c>
      <c r="J13">
        <v>1</v>
      </c>
    </row>
    <row r="14" spans="1:10">
      <c r="A14" t="s">
        <v>161</v>
      </c>
      <c r="B14" t="s">
        <v>162</v>
      </c>
      <c r="C14" t="str">
        <f t="shared" si="0"/>
        <v>Q11</v>
      </c>
      <c r="D14">
        <v>5</v>
      </c>
      <c r="E14" t="str">
        <f t="shared" si="1"/>
        <v>Q11</v>
      </c>
      <c r="F14">
        <v>1</v>
      </c>
      <c r="G14" t="str">
        <f t="shared" si="2"/>
        <v>Q11</v>
      </c>
      <c r="H14">
        <v>1</v>
      </c>
      <c r="I14" t="str">
        <f t="shared" si="3"/>
        <v>Q11</v>
      </c>
    </row>
    <row r="15" spans="1:10">
      <c r="A15" t="s">
        <v>163</v>
      </c>
      <c r="B15" t="s">
        <v>164</v>
      </c>
      <c r="C15" t="str">
        <f t="shared" si="0"/>
        <v>Q11b</v>
      </c>
      <c r="D15">
        <v>110</v>
      </c>
      <c r="E15" t="str">
        <f t="shared" si="1"/>
        <v>Q11b</v>
      </c>
      <c r="G15" t="str">
        <f t="shared" si="2"/>
        <v>Q11b</v>
      </c>
      <c r="I15" t="str">
        <f t="shared" si="3"/>
        <v>Q11b</v>
      </c>
      <c r="J15">
        <v>1</v>
      </c>
    </row>
    <row r="16" spans="1:10">
      <c r="A16" t="s">
        <v>165</v>
      </c>
      <c r="B16" t="s">
        <v>166</v>
      </c>
      <c r="C16" t="str">
        <f t="shared" si="0"/>
        <v>Q12</v>
      </c>
      <c r="D16">
        <v>5</v>
      </c>
      <c r="E16" t="str">
        <f t="shared" si="1"/>
        <v>Q12</v>
      </c>
      <c r="F16">
        <v>1</v>
      </c>
      <c r="G16" t="str">
        <f t="shared" si="2"/>
        <v>Q12</v>
      </c>
      <c r="H16">
        <v>1</v>
      </c>
      <c r="I16" t="str">
        <f t="shared" si="3"/>
        <v>Q12</v>
      </c>
    </row>
    <row r="17" spans="1:10">
      <c r="A17" t="s">
        <v>167</v>
      </c>
      <c r="B17" t="s">
        <v>133</v>
      </c>
      <c r="C17" t="str">
        <f t="shared" si="0"/>
        <v>Q12b</v>
      </c>
      <c r="D17">
        <v>110</v>
      </c>
      <c r="E17" t="str">
        <f t="shared" si="1"/>
        <v>Q12b</v>
      </c>
      <c r="G17" t="str">
        <f t="shared" si="2"/>
        <v>Q12b</v>
      </c>
      <c r="I17" t="str">
        <f t="shared" si="3"/>
        <v>Q12b</v>
      </c>
      <c r="J17">
        <v>1</v>
      </c>
    </row>
    <row r="18" spans="1:10">
      <c r="A18" t="s">
        <v>168</v>
      </c>
      <c r="B18" t="s">
        <v>169</v>
      </c>
      <c r="C18" t="str">
        <f t="shared" si="0"/>
        <v>Q13</v>
      </c>
      <c r="D18">
        <v>5</v>
      </c>
      <c r="E18" t="str">
        <f t="shared" si="1"/>
        <v>Q13</v>
      </c>
      <c r="F18">
        <v>1</v>
      </c>
      <c r="G18" t="str">
        <f t="shared" si="2"/>
        <v>Q13</v>
      </c>
      <c r="H18">
        <v>1</v>
      </c>
      <c r="I18" t="str">
        <f t="shared" si="3"/>
        <v>Q13</v>
      </c>
    </row>
    <row r="19" spans="1:10">
      <c r="A19" t="s">
        <v>170</v>
      </c>
      <c r="B19" t="s">
        <v>133</v>
      </c>
      <c r="C19" t="str">
        <f t="shared" si="0"/>
        <v>Q13b</v>
      </c>
      <c r="D19">
        <v>110</v>
      </c>
      <c r="E19" t="str">
        <f t="shared" si="1"/>
        <v>Q13b</v>
      </c>
      <c r="G19" t="str">
        <f t="shared" si="2"/>
        <v>Q13b</v>
      </c>
      <c r="I19" t="str">
        <f t="shared" si="3"/>
        <v>Q13b</v>
      </c>
      <c r="J19">
        <v>1</v>
      </c>
    </row>
    <row r="20" spans="1:10">
      <c r="A20" t="s">
        <v>171</v>
      </c>
      <c r="B20" t="s">
        <v>172</v>
      </c>
      <c r="C20" t="str">
        <f t="shared" si="0"/>
        <v>Q14</v>
      </c>
      <c r="D20">
        <v>5</v>
      </c>
      <c r="E20" t="str">
        <f t="shared" si="1"/>
        <v>Q14</v>
      </c>
      <c r="F20">
        <v>1</v>
      </c>
      <c r="G20" t="str">
        <f t="shared" si="2"/>
        <v>Q14</v>
      </c>
      <c r="H20">
        <v>1</v>
      </c>
      <c r="I20" t="str">
        <f t="shared" si="3"/>
        <v>Q14</v>
      </c>
    </row>
    <row r="21" spans="1:10">
      <c r="A21" t="s">
        <v>173</v>
      </c>
      <c r="B21" t="s">
        <v>174</v>
      </c>
      <c r="C21" t="str">
        <f t="shared" si="0"/>
        <v>Q14b</v>
      </c>
      <c r="D21">
        <v>110</v>
      </c>
      <c r="E21" t="str">
        <f t="shared" si="1"/>
        <v>Q14b</v>
      </c>
      <c r="G21" t="str">
        <f t="shared" si="2"/>
        <v>Q14b</v>
      </c>
      <c r="I21" t="str">
        <f t="shared" si="3"/>
        <v>Q14b</v>
      </c>
      <c r="J21">
        <v>1</v>
      </c>
    </row>
    <row r="22" spans="1:10">
      <c r="A22" t="s">
        <v>175</v>
      </c>
      <c r="B22" t="s">
        <v>176</v>
      </c>
      <c r="C22" t="str">
        <f t="shared" si="0"/>
        <v>Q15</v>
      </c>
      <c r="D22">
        <v>5</v>
      </c>
      <c r="E22" t="str">
        <f t="shared" si="1"/>
        <v>Q15</v>
      </c>
      <c r="F22">
        <v>1</v>
      </c>
      <c r="G22" t="str">
        <f t="shared" si="2"/>
        <v>Q15</v>
      </c>
      <c r="H22">
        <v>1</v>
      </c>
      <c r="I22" t="str">
        <f t="shared" si="3"/>
        <v>Q15</v>
      </c>
    </row>
    <row r="23" spans="1:10">
      <c r="A23" t="s">
        <v>177</v>
      </c>
      <c r="B23" t="s">
        <v>148</v>
      </c>
      <c r="C23" t="str">
        <f t="shared" si="0"/>
        <v>Q15b</v>
      </c>
      <c r="D23">
        <v>110</v>
      </c>
      <c r="E23" t="str">
        <f t="shared" si="1"/>
        <v>Q15b</v>
      </c>
      <c r="G23" t="str">
        <f t="shared" si="2"/>
        <v>Q15b</v>
      </c>
      <c r="I23" t="str">
        <f t="shared" si="3"/>
        <v>Q15b</v>
      </c>
      <c r="J23">
        <v>1</v>
      </c>
    </row>
    <row r="24" spans="1:10">
      <c r="A24" t="s">
        <v>178</v>
      </c>
      <c r="B24" s="41" t="s">
        <v>440</v>
      </c>
      <c r="C24" t="str">
        <f t="shared" si="0"/>
        <v>Q16</v>
      </c>
      <c r="D24">
        <v>5</v>
      </c>
      <c r="E24" t="str">
        <f t="shared" si="1"/>
        <v>Q16</v>
      </c>
      <c r="F24">
        <v>1</v>
      </c>
      <c r="G24" t="str">
        <f t="shared" si="2"/>
        <v>Q16</v>
      </c>
      <c r="H24">
        <v>1</v>
      </c>
      <c r="I24" t="str">
        <f t="shared" si="3"/>
        <v>Q16</v>
      </c>
    </row>
    <row r="25" spans="1:10">
      <c r="A25" t="s">
        <v>179</v>
      </c>
      <c r="B25" t="s">
        <v>148</v>
      </c>
      <c r="C25" t="str">
        <f t="shared" si="0"/>
        <v>Q16b</v>
      </c>
      <c r="D25">
        <v>110</v>
      </c>
      <c r="E25" t="str">
        <f t="shared" si="1"/>
        <v>Q16b</v>
      </c>
      <c r="G25" t="str">
        <f t="shared" si="2"/>
        <v>Q16b</v>
      </c>
      <c r="I25" t="str">
        <f t="shared" si="3"/>
        <v>Q16b</v>
      </c>
      <c r="J25">
        <v>1</v>
      </c>
    </row>
    <row r="26" spans="1:10">
      <c r="A26" t="s">
        <v>180</v>
      </c>
      <c r="B26" s="40" t="s">
        <v>435</v>
      </c>
      <c r="C26" t="str">
        <f t="shared" si="0"/>
        <v>Q17</v>
      </c>
      <c r="D26">
        <v>5</v>
      </c>
      <c r="E26" t="str">
        <f t="shared" si="1"/>
        <v>Q17</v>
      </c>
      <c r="F26">
        <v>1</v>
      </c>
      <c r="G26" t="str">
        <f t="shared" si="2"/>
        <v>Q17</v>
      </c>
      <c r="H26">
        <v>1</v>
      </c>
      <c r="I26" t="str">
        <f t="shared" si="3"/>
        <v>Q17</v>
      </c>
    </row>
    <row r="27" spans="1:10">
      <c r="A27" t="s">
        <v>181</v>
      </c>
      <c r="B27" t="s">
        <v>182</v>
      </c>
      <c r="C27" t="str">
        <f t="shared" si="0"/>
        <v>Q17b</v>
      </c>
      <c r="D27">
        <v>110</v>
      </c>
      <c r="E27" t="str">
        <f t="shared" si="1"/>
        <v>Q17b</v>
      </c>
      <c r="G27" t="str">
        <f t="shared" si="2"/>
        <v>Q17b</v>
      </c>
      <c r="I27" t="str">
        <f t="shared" si="3"/>
        <v>Q17b</v>
      </c>
      <c r="J27">
        <v>1</v>
      </c>
    </row>
    <row r="28" spans="1:10">
      <c r="A28" t="s">
        <v>183</v>
      </c>
      <c r="B28" t="s">
        <v>184</v>
      </c>
      <c r="C28" t="str">
        <f t="shared" si="0"/>
        <v>Q18</v>
      </c>
      <c r="D28">
        <v>5</v>
      </c>
      <c r="E28" t="str">
        <f t="shared" si="1"/>
        <v>Q18</v>
      </c>
      <c r="F28">
        <v>1</v>
      </c>
      <c r="G28" t="str">
        <f t="shared" si="2"/>
        <v>Q18</v>
      </c>
      <c r="H28">
        <v>1</v>
      </c>
      <c r="I28" t="str">
        <f t="shared" si="3"/>
        <v>Q18</v>
      </c>
    </row>
    <row r="29" spans="1:10">
      <c r="A29" t="s">
        <v>185</v>
      </c>
      <c r="B29" t="s">
        <v>186</v>
      </c>
      <c r="C29" t="str">
        <f t="shared" si="0"/>
        <v>Q18b</v>
      </c>
      <c r="D29">
        <v>110</v>
      </c>
      <c r="E29" t="str">
        <f t="shared" si="1"/>
        <v>Q18b</v>
      </c>
      <c r="G29" t="str">
        <f t="shared" si="2"/>
        <v>Q18b</v>
      </c>
      <c r="I29" t="str">
        <f t="shared" si="3"/>
        <v>Q18b</v>
      </c>
      <c r="J29">
        <v>1</v>
      </c>
    </row>
    <row r="30" spans="1:10">
      <c r="A30" t="s">
        <v>187</v>
      </c>
      <c r="B30" t="s">
        <v>188</v>
      </c>
      <c r="C30" t="str">
        <f t="shared" si="0"/>
        <v>Q19</v>
      </c>
      <c r="D30">
        <v>5</v>
      </c>
      <c r="E30" t="str">
        <f t="shared" si="1"/>
        <v>Q19</v>
      </c>
      <c r="F30">
        <v>1</v>
      </c>
      <c r="G30" t="str">
        <f t="shared" si="2"/>
        <v>Q19</v>
      </c>
      <c r="H30">
        <v>1</v>
      </c>
      <c r="I30" t="str">
        <f t="shared" si="3"/>
        <v>Q19</v>
      </c>
    </row>
    <row r="31" spans="1:10">
      <c r="A31" t="s">
        <v>189</v>
      </c>
      <c r="B31" t="s">
        <v>133</v>
      </c>
      <c r="C31" t="str">
        <f t="shared" si="0"/>
        <v>Q19b</v>
      </c>
      <c r="D31">
        <v>110</v>
      </c>
      <c r="E31" t="str">
        <f t="shared" si="1"/>
        <v>Q19b</v>
      </c>
      <c r="G31" t="str">
        <f t="shared" si="2"/>
        <v>Q19b</v>
      </c>
      <c r="I31" t="str">
        <f t="shared" si="3"/>
        <v>Q19b</v>
      </c>
      <c r="J31">
        <v>1</v>
      </c>
    </row>
    <row r="32" spans="1:10">
      <c r="A32" t="s">
        <v>129</v>
      </c>
      <c r="B32" t="s">
        <v>130</v>
      </c>
      <c r="C32" t="str">
        <f t="shared" si="0"/>
        <v>Q1b</v>
      </c>
      <c r="D32">
        <v>110</v>
      </c>
      <c r="E32" t="str">
        <f t="shared" si="1"/>
        <v>Q1b</v>
      </c>
      <c r="G32" t="str">
        <f t="shared" si="2"/>
        <v>Q1b</v>
      </c>
      <c r="I32" t="str">
        <f t="shared" si="3"/>
        <v>Q1b</v>
      </c>
      <c r="J32">
        <v>1</v>
      </c>
    </row>
    <row r="33" spans="1:10">
      <c r="A33" t="s">
        <v>131</v>
      </c>
      <c r="B33" s="40" t="s">
        <v>436</v>
      </c>
      <c r="C33" t="str">
        <f t="shared" si="0"/>
        <v>Q2</v>
      </c>
      <c r="D33">
        <v>5</v>
      </c>
      <c r="E33" t="str">
        <f t="shared" si="1"/>
        <v>Q2</v>
      </c>
      <c r="F33">
        <v>1</v>
      </c>
      <c r="G33" t="str">
        <f t="shared" si="2"/>
        <v>Q2</v>
      </c>
      <c r="H33">
        <v>1</v>
      </c>
      <c r="I33" t="str">
        <f t="shared" si="3"/>
        <v>Q2</v>
      </c>
    </row>
    <row r="34" spans="1:10">
      <c r="A34" t="s">
        <v>190</v>
      </c>
      <c r="B34" t="s">
        <v>191</v>
      </c>
      <c r="C34" t="str">
        <f t="shared" si="0"/>
        <v>Q20</v>
      </c>
      <c r="D34">
        <v>5</v>
      </c>
      <c r="E34" t="str">
        <f t="shared" si="1"/>
        <v>Q20</v>
      </c>
      <c r="F34">
        <v>1</v>
      </c>
      <c r="G34" t="str">
        <f t="shared" si="2"/>
        <v>Q20</v>
      </c>
      <c r="H34">
        <v>1</v>
      </c>
      <c r="I34" t="str">
        <f t="shared" si="3"/>
        <v>Q20</v>
      </c>
    </row>
    <row r="35" spans="1:10">
      <c r="A35" t="s">
        <v>192</v>
      </c>
      <c r="B35" t="s">
        <v>133</v>
      </c>
      <c r="C35" t="str">
        <f t="shared" si="0"/>
        <v>Q20b</v>
      </c>
      <c r="D35">
        <v>110</v>
      </c>
      <c r="E35" t="str">
        <f t="shared" si="1"/>
        <v>Q20b</v>
      </c>
      <c r="G35" t="str">
        <f t="shared" si="2"/>
        <v>Q20b</v>
      </c>
      <c r="I35" t="str">
        <f t="shared" si="3"/>
        <v>Q20b</v>
      </c>
      <c r="J35">
        <v>1</v>
      </c>
    </row>
    <row r="36" spans="1:10">
      <c r="A36" t="s">
        <v>193</v>
      </c>
      <c r="B36" t="s">
        <v>194</v>
      </c>
      <c r="C36" t="str">
        <f t="shared" si="0"/>
        <v>Q21</v>
      </c>
      <c r="D36">
        <v>110</v>
      </c>
      <c r="E36" t="str">
        <f t="shared" si="1"/>
        <v>Q21</v>
      </c>
      <c r="G36" t="str">
        <f t="shared" si="2"/>
        <v>Q21</v>
      </c>
      <c r="H36">
        <v>1</v>
      </c>
      <c r="I36" t="str">
        <f t="shared" si="3"/>
        <v>Q21</v>
      </c>
    </row>
    <row r="37" spans="1:10">
      <c r="A37" t="s">
        <v>132</v>
      </c>
      <c r="B37" t="s">
        <v>133</v>
      </c>
      <c r="C37" t="str">
        <f t="shared" si="0"/>
        <v>Q2b</v>
      </c>
      <c r="D37">
        <v>110</v>
      </c>
      <c r="E37" t="str">
        <f t="shared" si="1"/>
        <v>Q2b</v>
      </c>
      <c r="G37" t="str">
        <f t="shared" si="2"/>
        <v>Q2b</v>
      </c>
      <c r="I37" t="str">
        <f t="shared" si="3"/>
        <v>Q2b</v>
      </c>
      <c r="J37">
        <v>1</v>
      </c>
    </row>
    <row r="38" spans="1:10">
      <c r="A38" t="s">
        <v>134</v>
      </c>
      <c r="B38" t="s">
        <v>135</v>
      </c>
      <c r="C38" t="str">
        <f t="shared" si="0"/>
        <v>Q3</v>
      </c>
      <c r="D38">
        <v>5</v>
      </c>
      <c r="E38" t="str">
        <f t="shared" si="1"/>
        <v>Q3</v>
      </c>
      <c r="F38">
        <v>1</v>
      </c>
      <c r="G38" t="str">
        <f t="shared" si="2"/>
        <v>Q3</v>
      </c>
      <c r="H38">
        <v>1</v>
      </c>
      <c r="I38" t="str">
        <f t="shared" si="3"/>
        <v>Q3</v>
      </c>
    </row>
    <row r="39" spans="1:10">
      <c r="A39" t="s">
        <v>136</v>
      </c>
      <c r="B39" t="s">
        <v>137</v>
      </c>
      <c r="C39" t="str">
        <f t="shared" si="0"/>
        <v>Q3b</v>
      </c>
      <c r="D39">
        <v>110</v>
      </c>
      <c r="E39" t="str">
        <f t="shared" si="1"/>
        <v>Q3b</v>
      </c>
      <c r="G39" t="str">
        <f t="shared" si="2"/>
        <v>Q3b</v>
      </c>
      <c r="I39" t="str">
        <f t="shared" si="3"/>
        <v>Q3b</v>
      </c>
      <c r="J39">
        <v>1</v>
      </c>
    </row>
    <row r="40" spans="1:10">
      <c r="A40" t="s">
        <v>138</v>
      </c>
      <c r="B40" s="40" t="s">
        <v>438</v>
      </c>
      <c r="C40" t="str">
        <f t="shared" si="0"/>
        <v>Q4</v>
      </c>
      <c r="D40">
        <v>5</v>
      </c>
      <c r="E40" t="str">
        <f t="shared" si="1"/>
        <v>Q4</v>
      </c>
      <c r="F40">
        <v>1</v>
      </c>
      <c r="G40" t="str">
        <f t="shared" si="2"/>
        <v>Q4</v>
      </c>
      <c r="H40">
        <v>1</v>
      </c>
      <c r="I40" t="str">
        <f t="shared" si="3"/>
        <v>Q4</v>
      </c>
    </row>
    <row r="41" spans="1:10">
      <c r="A41" t="s">
        <v>139</v>
      </c>
      <c r="B41" t="s">
        <v>140</v>
      </c>
      <c r="C41" t="str">
        <f t="shared" si="0"/>
        <v>Q4b</v>
      </c>
      <c r="D41">
        <v>110</v>
      </c>
      <c r="E41" t="str">
        <f t="shared" si="1"/>
        <v>Q4b</v>
      </c>
      <c r="G41" t="str">
        <f t="shared" si="2"/>
        <v>Q4b</v>
      </c>
      <c r="I41" t="str">
        <f t="shared" si="3"/>
        <v>Q4b</v>
      </c>
      <c r="J41">
        <v>1</v>
      </c>
    </row>
    <row r="42" spans="1:10">
      <c r="A42" t="s">
        <v>141</v>
      </c>
      <c r="B42" t="s">
        <v>142</v>
      </c>
      <c r="C42" t="str">
        <f t="shared" si="0"/>
        <v>Q5</v>
      </c>
      <c r="D42">
        <v>5</v>
      </c>
      <c r="E42" t="str">
        <f t="shared" si="1"/>
        <v>Q5</v>
      </c>
      <c r="F42">
        <v>1</v>
      </c>
      <c r="G42" t="str">
        <f t="shared" si="2"/>
        <v>Q5</v>
      </c>
      <c r="H42">
        <v>1</v>
      </c>
      <c r="I42" t="str">
        <f t="shared" si="3"/>
        <v>Q5</v>
      </c>
    </row>
    <row r="43" spans="1:10">
      <c r="A43" t="s">
        <v>143</v>
      </c>
      <c r="B43" t="s">
        <v>144</v>
      </c>
      <c r="C43" t="str">
        <f t="shared" si="0"/>
        <v>Q5b</v>
      </c>
      <c r="D43">
        <v>110</v>
      </c>
      <c r="E43" t="str">
        <f t="shared" si="1"/>
        <v>Q5b</v>
      </c>
      <c r="G43" t="str">
        <f t="shared" si="2"/>
        <v>Q5b</v>
      </c>
      <c r="I43" t="str">
        <f t="shared" si="3"/>
        <v>Q5b</v>
      </c>
      <c r="J43">
        <v>1</v>
      </c>
    </row>
    <row r="44" spans="1:10">
      <c r="A44" t="s">
        <v>145</v>
      </c>
      <c r="B44" t="s">
        <v>146</v>
      </c>
      <c r="C44" t="str">
        <f t="shared" si="0"/>
        <v>Q6</v>
      </c>
      <c r="D44">
        <v>5</v>
      </c>
      <c r="E44" t="str">
        <f t="shared" si="1"/>
        <v>Q6</v>
      </c>
      <c r="F44">
        <v>1</v>
      </c>
      <c r="G44" t="str">
        <f t="shared" si="2"/>
        <v>Q6</v>
      </c>
      <c r="H44">
        <v>1</v>
      </c>
      <c r="I44" t="str">
        <f t="shared" si="3"/>
        <v>Q6</v>
      </c>
    </row>
    <row r="45" spans="1:10">
      <c r="A45" t="s">
        <v>147</v>
      </c>
      <c r="B45" t="s">
        <v>148</v>
      </c>
      <c r="C45" t="str">
        <f t="shared" si="0"/>
        <v>Q6b</v>
      </c>
      <c r="D45">
        <v>110</v>
      </c>
      <c r="E45" t="str">
        <f t="shared" si="1"/>
        <v>Q6b</v>
      </c>
      <c r="G45" t="str">
        <f t="shared" si="2"/>
        <v>Q6b</v>
      </c>
      <c r="I45" t="str">
        <f t="shared" si="3"/>
        <v>Q6b</v>
      </c>
      <c r="J45">
        <v>1</v>
      </c>
    </row>
    <row r="46" spans="1:10">
      <c r="A46" t="s">
        <v>149</v>
      </c>
      <c r="B46" t="s">
        <v>150</v>
      </c>
      <c r="C46" t="str">
        <f t="shared" si="0"/>
        <v>Q7</v>
      </c>
      <c r="D46">
        <v>5</v>
      </c>
      <c r="E46" t="str">
        <f t="shared" si="1"/>
        <v>Q7</v>
      </c>
      <c r="F46">
        <v>1</v>
      </c>
      <c r="G46" t="str">
        <f t="shared" si="2"/>
        <v>Q7</v>
      </c>
      <c r="H46">
        <v>1</v>
      </c>
      <c r="I46" t="str">
        <f t="shared" si="3"/>
        <v>Q7</v>
      </c>
    </row>
    <row r="47" spans="1:10">
      <c r="A47" t="s">
        <v>151</v>
      </c>
      <c r="B47" t="s">
        <v>133</v>
      </c>
      <c r="C47" t="str">
        <f t="shared" si="0"/>
        <v>Q7b</v>
      </c>
      <c r="D47">
        <v>110</v>
      </c>
      <c r="E47" t="str">
        <f t="shared" si="1"/>
        <v>Q7b</v>
      </c>
      <c r="G47" t="str">
        <f t="shared" si="2"/>
        <v>Q7b</v>
      </c>
      <c r="I47" t="str">
        <f t="shared" si="3"/>
        <v>Q7b</v>
      </c>
      <c r="J47">
        <v>1</v>
      </c>
    </row>
    <row r="48" spans="1:10">
      <c r="A48" t="s">
        <v>152</v>
      </c>
      <c r="B48" t="s">
        <v>153</v>
      </c>
      <c r="C48" t="str">
        <f t="shared" si="0"/>
        <v>Q8</v>
      </c>
      <c r="D48">
        <v>5</v>
      </c>
      <c r="E48" t="str">
        <f t="shared" si="1"/>
        <v>Q8</v>
      </c>
      <c r="F48">
        <v>1</v>
      </c>
      <c r="G48" t="str">
        <f t="shared" si="2"/>
        <v>Q8</v>
      </c>
      <c r="H48">
        <v>1</v>
      </c>
      <c r="I48" t="str">
        <f t="shared" si="3"/>
        <v>Q8</v>
      </c>
    </row>
    <row r="49" spans="1:10">
      <c r="A49" t="s">
        <v>154</v>
      </c>
      <c r="B49" t="s">
        <v>133</v>
      </c>
      <c r="C49" t="str">
        <f t="shared" si="0"/>
        <v>Q8b</v>
      </c>
      <c r="D49">
        <v>110</v>
      </c>
      <c r="E49" t="str">
        <f t="shared" si="1"/>
        <v>Q8b</v>
      </c>
      <c r="G49" t="str">
        <f t="shared" si="2"/>
        <v>Q8b</v>
      </c>
      <c r="I49" t="str">
        <f t="shared" si="3"/>
        <v>Q8b</v>
      </c>
      <c r="J49">
        <v>1</v>
      </c>
    </row>
    <row r="50" spans="1:10">
      <c r="A50" t="s">
        <v>155</v>
      </c>
      <c r="B50" t="s">
        <v>156</v>
      </c>
      <c r="C50" t="str">
        <f t="shared" si="0"/>
        <v>Q9</v>
      </c>
      <c r="D50">
        <v>5</v>
      </c>
      <c r="E50" t="str">
        <f t="shared" si="1"/>
        <v>Q9</v>
      </c>
      <c r="F50">
        <v>1</v>
      </c>
      <c r="G50" t="str">
        <f t="shared" si="2"/>
        <v>Q9</v>
      </c>
      <c r="H50">
        <v>1</v>
      </c>
      <c r="I50" t="str">
        <f t="shared" si="3"/>
        <v>Q9</v>
      </c>
    </row>
    <row r="51" spans="1:10">
      <c r="A51" t="s">
        <v>157</v>
      </c>
      <c r="B51" t="s">
        <v>148</v>
      </c>
      <c r="C51" t="str">
        <f t="shared" si="0"/>
        <v>Q9b</v>
      </c>
      <c r="D51">
        <v>110</v>
      </c>
      <c r="E51" t="str">
        <f t="shared" si="1"/>
        <v>Q9b</v>
      </c>
      <c r="G51" t="str">
        <f t="shared" si="2"/>
        <v>Q9b</v>
      </c>
      <c r="I51" t="str">
        <f t="shared" si="3"/>
        <v>Q9b</v>
      </c>
      <c r="J51">
        <v>1</v>
      </c>
    </row>
    <row r="52" spans="1:10">
      <c r="A52" t="s">
        <v>124</v>
      </c>
      <c r="B52" t="s">
        <v>125</v>
      </c>
      <c r="C52" t="str">
        <f t="shared" si="0"/>
        <v>QSurveyPeriod</v>
      </c>
      <c r="D52">
        <v>5</v>
      </c>
      <c r="E52" t="str">
        <f t="shared" si="1"/>
        <v>QSurveyPeriod</v>
      </c>
      <c r="G52" t="str">
        <f t="shared" si="2"/>
        <v>QSurveyPeriod</v>
      </c>
      <c r="I52" t="str">
        <f t="shared" si="3"/>
        <v>QSurveyPeriod</v>
      </c>
    </row>
    <row r="53" spans="1:10">
      <c r="A53" t="s">
        <v>126</v>
      </c>
      <c r="B53" s="40" t="s">
        <v>437</v>
      </c>
      <c r="C53" t="str">
        <f t="shared" si="0"/>
        <v>QTeamName</v>
      </c>
      <c r="D53">
        <v>5</v>
      </c>
      <c r="E53" t="str">
        <f t="shared" si="1"/>
        <v>QTeamName</v>
      </c>
      <c r="G53" t="str">
        <f t="shared" si="2"/>
        <v>QTeamName</v>
      </c>
      <c r="I53" t="str">
        <f t="shared" si="3"/>
        <v>QTeamName</v>
      </c>
    </row>
  </sheetData>
  <sortState ref="A11:B53">
    <sortCondition ref="A11"/>
  </sortState>
  <hyperlinks>
    <hyperlink ref="A1" location="'Table of Contents'!A1" display="Table of Contents"/>
  </hyperlinks>
  <pageMargins left="0.7" right="0.7" top="0.75" bottom="0.75" header="0.3" footer="0.3"/>
  <pageSetup orientation="landscape" r:id="rId1"/>
  <headerFooter>
    <oddFooter>&amp;L&amp;5&amp;Z&amp;F
Created: 9/29/2006 10:44:00 PM
Last Saved: 2/5/2008 9:15:17 PM
Last Printed: 2/5/2008 6:12:16 PM&amp;R&amp;5&amp;P - &amp;N
Title :&lt;Not Set&gt;
Subject: &lt;Not Set&gt;</oddFooter>
  </headerFooter>
</worksheet>
</file>

<file path=xl/worksheets/sheet17.xml><?xml version="1.0" encoding="utf-8"?>
<worksheet xmlns="http://schemas.openxmlformats.org/spreadsheetml/2006/main" xmlns:r="http://schemas.openxmlformats.org/officeDocument/2006/relationships">
  <sheetPr codeName="Sheet2"/>
  <dimension ref="A1:AT186"/>
  <sheetViews>
    <sheetView workbookViewId="0"/>
  </sheetViews>
  <sheetFormatPr defaultRowHeight="12.75"/>
  <cols>
    <col min="1" max="1" width="5.7109375" customWidth="1"/>
    <col min="2" max="2" width="25.7109375" customWidth="1"/>
    <col min="3" max="4" width="25.7109375" style="40" customWidth="1"/>
    <col min="5" max="5" width="25.7109375"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1" width="110.7109375" style="1" customWidth="1"/>
    <col min="22" max="22" width="5.7109375" style="1" customWidth="1"/>
    <col min="23" max="23" width="110.7109375" style="1" customWidth="1"/>
    <col min="24" max="24" width="5.7109375" style="1" customWidth="1"/>
    <col min="25" max="25" width="110.7109375" style="1" customWidth="1"/>
    <col min="26" max="26" width="5.7109375" style="1" customWidth="1"/>
    <col min="27" max="27" width="110.7109375" style="1" customWidth="1"/>
    <col min="28" max="28" width="5.7109375" style="1" customWidth="1"/>
    <col min="29" max="29" width="110.7109375" style="1" customWidth="1"/>
    <col min="30" max="30" width="5.7109375" style="1" customWidth="1"/>
    <col min="31" max="31" width="110.7109375" style="1" customWidth="1"/>
    <col min="32" max="32" width="5.7109375" style="1" customWidth="1"/>
    <col min="33" max="33" width="110.7109375" style="1" customWidth="1"/>
    <col min="34" max="34" width="5.7109375" style="1" customWidth="1"/>
    <col min="35" max="35" width="110.7109375" style="1" customWidth="1"/>
    <col min="36" max="36" width="5.7109375" style="1" customWidth="1"/>
    <col min="37" max="37" width="110.7109375" style="1" customWidth="1"/>
    <col min="38" max="38" width="5.7109375" style="1" customWidth="1"/>
    <col min="39" max="39" width="110.7109375" style="1" customWidth="1"/>
    <col min="40" max="40" width="5.7109375" style="1" customWidth="1"/>
    <col min="41" max="41" width="110.7109375" style="1" customWidth="1"/>
    <col min="42" max="42" width="5.7109375" style="1" customWidth="1"/>
    <col min="43" max="43" width="110.7109375" style="1" customWidth="1"/>
    <col min="44" max="44" width="5.7109375" style="1" customWidth="1"/>
    <col min="45" max="46" width="110.7109375" style="1" customWidth="1"/>
  </cols>
  <sheetData>
    <row r="1" spans="1:46">
      <c r="A1" s="5" t="s">
        <v>30</v>
      </c>
      <c r="E1" s="40" t="s">
        <v>121</v>
      </c>
      <c r="F1" s="1">
        <f t="shared" ref="F1:AT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5</v>
      </c>
      <c r="W1" s="1">
        <f t="shared" ca="1" si="0"/>
        <v>110</v>
      </c>
      <c r="X1" s="1">
        <f t="shared" ca="1" si="0"/>
        <v>5</v>
      </c>
      <c r="Y1" s="1">
        <f t="shared" ca="1" si="0"/>
        <v>110</v>
      </c>
      <c r="Z1" s="1">
        <f t="shared" ca="1" si="0"/>
        <v>5</v>
      </c>
      <c r="AA1" s="1">
        <f t="shared" ca="1" si="0"/>
        <v>110</v>
      </c>
      <c r="AB1" s="1">
        <f t="shared" ca="1" si="0"/>
        <v>5</v>
      </c>
      <c r="AC1" s="1">
        <f t="shared" ca="1" si="0"/>
        <v>110</v>
      </c>
      <c r="AD1" s="1">
        <f t="shared" ca="1" si="0"/>
        <v>5</v>
      </c>
      <c r="AE1" s="1">
        <f t="shared" ca="1" si="0"/>
        <v>110</v>
      </c>
      <c r="AF1" s="1">
        <f t="shared" ca="1" si="0"/>
        <v>5</v>
      </c>
      <c r="AG1" s="1">
        <f t="shared" ca="1" si="0"/>
        <v>110</v>
      </c>
      <c r="AH1" s="1">
        <f t="shared" ca="1" si="0"/>
        <v>5</v>
      </c>
      <c r="AI1" s="1">
        <f t="shared" ca="1" si="0"/>
        <v>110</v>
      </c>
      <c r="AJ1" s="1">
        <f t="shared" ca="1" si="0"/>
        <v>5</v>
      </c>
      <c r="AK1" s="1">
        <f t="shared" ca="1" si="0"/>
        <v>110</v>
      </c>
      <c r="AL1" s="1">
        <f t="shared" ca="1" si="0"/>
        <v>5</v>
      </c>
      <c r="AM1" s="1">
        <f t="shared" ca="1" si="0"/>
        <v>110</v>
      </c>
      <c r="AN1" s="1">
        <f t="shared" ca="1" si="0"/>
        <v>5</v>
      </c>
      <c r="AO1" s="1">
        <f t="shared" ca="1" si="0"/>
        <v>110</v>
      </c>
      <c r="AP1" s="1">
        <f t="shared" ca="1" si="0"/>
        <v>5</v>
      </c>
      <c r="AQ1" s="1">
        <f t="shared" ca="1" si="0"/>
        <v>110</v>
      </c>
      <c r="AR1" s="1">
        <f t="shared" ca="1" si="0"/>
        <v>5</v>
      </c>
      <c r="AS1" s="1">
        <f t="shared" ca="1" si="0"/>
        <v>110</v>
      </c>
      <c r="AT1" s="1">
        <f t="shared" ca="1" si="0"/>
        <v>110</v>
      </c>
    </row>
    <row r="2" spans="1:46">
      <c r="A2" s="5" t="s">
        <v>1109</v>
      </c>
      <c r="E2" s="40" t="s">
        <v>116</v>
      </c>
      <c r="F2" s="1">
        <f t="shared" ref="F2:AT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1</v>
      </c>
      <c r="W2" s="1">
        <f t="shared" ca="1" si="1"/>
        <v>0</v>
      </c>
      <c r="X2" s="1">
        <f t="shared" ca="1" si="1"/>
        <v>1</v>
      </c>
      <c r="Y2" s="1">
        <f t="shared" ca="1" si="1"/>
        <v>0</v>
      </c>
      <c r="Z2" s="1">
        <f t="shared" ca="1" si="1"/>
        <v>1</v>
      </c>
      <c r="AA2" s="1">
        <f t="shared" ca="1" si="1"/>
        <v>0</v>
      </c>
      <c r="AB2" s="1">
        <f t="shared" ca="1" si="1"/>
        <v>1</v>
      </c>
      <c r="AC2" s="1">
        <f t="shared" ca="1" si="1"/>
        <v>0</v>
      </c>
      <c r="AD2" s="1">
        <f t="shared" ca="1" si="1"/>
        <v>1</v>
      </c>
      <c r="AE2" s="1">
        <f t="shared" ca="1" si="1"/>
        <v>0</v>
      </c>
      <c r="AF2" s="1">
        <f t="shared" ca="1" si="1"/>
        <v>1</v>
      </c>
      <c r="AG2" s="1">
        <f t="shared" ca="1" si="1"/>
        <v>0</v>
      </c>
      <c r="AH2" s="1">
        <f t="shared" ca="1" si="1"/>
        <v>1</v>
      </c>
      <c r="AI2" s="1">
        <f t="shared" ca="1" si="1"/>
        <v>0</v>
      </c>
      <c r="AJ2" s="1">
        <f t="shared" ca="1" si="1"/>
        <v>1</v>
      </c>
      <c r="AK2" s="1">
        <f t="shared" ca="1" si="1"/>
        <v>0</v>
      </c>
      <c r="AL2" s="1">
        <f t="shared" ca="1" si="1"/>
        <v>1</v>
      </c>
      <c r="AM2" s="1">
        <f t="shared" ca="1" si="1"/>
        <v>0</v>
      </c>
      <c r="AN2" s="1">
        <f t="shared" ca="1" si="1"/>
        <v>1</v>
      </c>
      <c r="AO2" s="1">
        <f t="shared" ca="1" si="1"/>
        <v>0</v>
      </c>
      <c r="AP2" s="1">
        <f t="shared" ca="1" si="1"/>
        <v>1</v>
      </c>
      <c r="AQ2" s="1">
        <f t="shared" ca="1" si="1"/>
        <v>0</v>
      </c>
      <c r="AR2" s="1">
        <f t="shared" ca="1" si="1"/>
        <v>1</v>
      </c>
      <c r="AS2" s="1">
        <f t="shared" ca="1" si="1"/>
        <v>0</v>
      </c>
      <c r="AT2" s="1">
        <f t="shared" ca="1" si="1"/>
        <v>0</v>
      </c>
    </row>
    <row r="3" spans="1:46">
      <c r="E3" s="40" t="s">
        <v>122</v>
      </c>
      <c r="F3" s="1">
        <f t="shared" ref="F3:AT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0</v>
      </c>
      <c r="X3" s="1">
        <f t="shared" ca="1" si="2"/>
        <v>1</v>
      </c>
      <c r="Y3" s="1">
        <f t="shared" ca="1" si="2"/>
        <v>0</v>
      </c>
      <c r="Z3" s="1">
        <f t="shared" ca="1" si="2"/>
        <v>1</v>
      </c>
      <c r="AA3" s="1">
        <f t="shared" ca="1" si="2"/>
        <v>0</v>
      </c>
      <c r="AB3" s="1">
        <f t="shared" ca="1" si="2"/>
        <v>1</v>
      </c>
      <c r="AC3" s="1">
        <f t="shared" ca="1" si="2"/>
        <v>0</v>
      </c>
      <c r="AD3" s="1">
        <f t="shared" ca="1" si="2"/>
        <v>1</v>
      </c>
      <c r="AE3" s="1">
        <f t="shared" ca="1" si="2"/>
        <v>0</v>
      </c>
      <c r="AF3" s="1">
        <f t="shared" ca="1" si="2"/>
        <v>1</v>
      </c>
      <c r="AG3" s="1">
        <f t="shared" ca="1" si="2"/>
        <v>0</v>
      </c>
      <c r="AH3" s="1">
        <f t="shared" ca="1" si="2"/>
        <v>1</v>
      </c>
      <c r="AI3" s="1">
        <f t="shared" ca="1" si="2"/>
        <v>0</v>
      </c>
      <c r="AJ3" s="1">
        <f t="shared" ca="1" si="2"/>
        <v>1</v>
      </c>
      <c r="AK3" s="1">
        <f t="shared" ca="1" si="2"/>
        <v>0</v>
      </c>
      <c r="AL3" s="1">
        <f t="shared" ca="1" si="2"/>
        <v>1</v>
      </c>
      <c r="AM3" s="1">
        <f t="shared" ca="1" si="2"/>
        <v>0</v>
      </c>
      <c r="AN3" s="1">
        <f t="shared" ca="1" si="2"/>
        <v>1</v>
      </c>
      <c r="AO3" s="1">
        <f t="shared" ca="1" si="2"/>
        <v>0</v>
      </c>
      <c r="AP3" s="1">
        <f t="shared" ca="1" si="2"/>
        <v>1</v>
      </c>
      <c r="AQ3" s="1">
        <f t="shared" ca="1" si="2"/>
        <v>0</v>
      </c>
      <c r="AR3" s="1">
        <f t="shared" ca="1" si="2"/>
        <v>1</v>
      </c>
      <c r="AS3" s="1">
        <f t="shared" ca="1" si="2"/>
        <v>0</v>
      </c>
      <c r="AT3" s="1">
        <f t="shared" ca="1" si="2"/>
        <v>1</v>
      </c>
    </row>
    <row r="4" spans="1:46">
      <c r="B4" s="40" t="s">
        <v>420</v>
      </c>
      <c r="C4" s="40" t="s">
        <v>421</v>
      </c>
      <c r="E4" s="40" t="s">
        <v>427</v>
      </c>
      <c r="F4" s="1">
        <f t="shared" ref="F4:AT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1</v>
      </c>
      <c r="X4" s="1">
        <f t="shared" ca="1" si="3"/>
        <v>0</v>
      </c>
      <c r="Y4" s="1">
        <f t="shared" ca="1" si="3"/>
        <v>1</v>
      </c>
      <c r="Z4" s="1">
        <f t="shared" ca="1" si="3"/>
        <v>0</v>
      </c>
      <c r="AA4" s="1">
        <f t="shared" ca="1" si="3"/>
        <v>1</v>
      </c>
      <c r="AB4" s="1">
        <f t="shared" ca="1" si="3"/>
        <v>0</v>
      </c>
      <c r="AC4" s="1">
        <f t="shared" ca="1" si="3"/>
        <v>1</v>
      </c>
      <c r="AD4" s="1">
        <f t="shared" ca="1" si="3"/>
        <v>0</v>
      </c>
      <c r="AE4" s="1">
        <f t="shared" ca="1" si="3"/>
        <v>1</v>
      </c>
      <c r="AF4" s="1">
        <f t="shared" ca="1" si="3"/>
        <v>0</v>
      </c>
      <c r="AG4" s="1">
        <f t="shared" ca="1" si="3"/>
        <v>1</v>
      </c>
      <c r="AH4" s="1">
        <f t="shared" ca="1" si="3"/>
        <v>0</v>
      </c>
      <c r="AI4" s="1">
        <f t="shared" ca="1" si="3"/>
        <v>1</v>
      </c>
      <c r="AJ4" s="1">
        <f t="shared" ca="1" si="3"/>
        <v>0</v>
      </c>
      <c r="AK4" s="1">
        <f t="shared" ca="1" si="3"/>
        <v>1</v>
      </c>
      <c r="AL4" s="1">
        <f t="shared" ca="1" si="3"/>
        <v>0</v>
      </c>
      <c r="AM4" s="1">
        <f t="shared" ca="1" si="3"/>
        <v>1</v>
      </c>
      <c r="AN4" s="1">
        <f t="shared" ca="1" si="3"/>
        <v>0</v>
      </c>
      <c r="AO4" s="1">
        <f t="shared" ca="1" si="3"/>
        <v>1</v>
      </c>
      <c r="AP4" s="1">
        <f t="shared" ca="1" si="3"/>
        <v>0</v>
      </c>
      <c r="AQ4" s="1">
        <f t="shared" ca="1" si="3"/>
        <v>1</v>
      </c>
      <c r="AR4" s="1">
        <f t="shared" ca="1" si="3"/>
        <v>0</v>
      </c>
      <c r="AS4" s="1">
        <f t="shared" ca="1" si="3"/>
        <v>1</v>
      </c>
      <c r="AT4" s="1">
        <f t="shared" ca="1" si="3"/>
        <v>0</v>
      </c>
    </row>
    <row r="5" spans="1:46">
      <c r="B5" s="40" t="s">
        <v>23</v>
      </c>
      <c r="C5" s="40" t="str">
        <f>Survey_Period</f>
        <v>H2 2006</v>
      </c>
    </row>
    <row r="6" spans="1:46">
      <c r="B6" s="40" t="s">
        <v>422</v>
      </c>
      <c r="C6" s="40" t="str">
        <f>$C$4 &amp; " Questions"</f>
        <v>IT Survey Questions</v>
      </c>
    </row>
    <row r="7" spans="1:46">
      <c r="B7" s="40" t="s">
        <v>32</v>
      </c>
      <c r="C7" s="40" t="str">
        <f>Questions_Location</f>
        <v>$B$4</v>
      </c>
    </row>
    <row r="8" spans="1:46">
      <c r="B8" s="40" t="s">
        <v>42</v>
      </c>
      <c r="C8" s="40" t="str">
        <f>Row_Width_Location</f>
        <v>$B$5</v>
      </c>
    </row>
    <row r="9" spans="1:46">
      <c r="B9" s="40" t="s">
        <v>61</v>
      </c>
      <c r="C9" s="40" t="str">
        <f>Statistics_Location</f>
        <v>$B$6</v>
      </c>
    </row>
    <row r="10" spans="1:46">
      <c r="B10" s="40" t="s">
        <v>62</v>
      </c>
      <c r="C10" s="40" t="str">
        <f>Primary_Questions_Location</f>
        <v>$B$7</v>
      </c>
    </row>
    <row r="11" spans="1:46">
      <c r="B11" s="40" t="s">
        <v>423</v>
      </c>
      <c r="C11" s="40" t="str">
        <f>FollowUp_Questions_Location</f>
        <v>$B$8</v>
      </c>
    </row>
    <row r="12" spans="1:46">
      <c r="B12" s="40" t="s">
        <v>29</v>
      </c>
      <c r="C12" s="202" t="str">
        <f>Team_Name</f>
        <v>Viewpoint</v>
      </c>
    </row>
    <row r="13" spans="1:46">
      <c r="B13" s="40" t="s">
        <v>109</v>
      </c>
      <c r="C13" s="40">
        <v>31</v>
      </c>
    </row>
    <row r="14" spans="1:46">
      <c r="B14" s="40" t="s">
        <v>111</v>
      </c>
      <c r="C14" s="40">
        <v>186</v>
      </c>
    </row>
    <row r="15" spans="1:46">
      <c r="B15" s="40" t="s">
        <v>110</v>
      </c>
      <c r="C15" s="40">
        <v>6</v>
      </c>
    </row>
    <row r="16" spans="1:46">
      <c r="B16" s="40" t="s">
        <v>112</v>
      </c>
      <c r="C16" s="40">
        <v>46</v>
      </c>
      <c r="D16" s="40">
        <v>5</v>
      </c>
      <c r="E16" s="40" t="s">
        <v>1</v>
      </c>
      <c r="F16" s="1">
        <f t="array" aca="1" ref="F16" ca="1">SUM(  IF($C$12 = "All IT",    IF(F$31:F$186 =$D16,       1,      0),    IF($D$31:$D$186 = $C$12,      IF(F$31:F$186 =$D16,         1,        0),    )  ))</f>
        <v>1</v>
      </c>
      <c r="H16" s="1">
        <f t="array" aca="1" ref="H16" ca="1">SUM(  IF($C$12 = "All IT",    IF(H$31:H$186 =$D16,       1,      0),    IF($D$31:$D$186 = $C$12,      IF(H$31:H$186 =$D16,         1,        0),    )  ))</f>
        <v>1</v>
      </c>
      <c r="J16" s="1">
        <f t="array" aca="1" ref="J16" ca="1">SUM(  IF($C$12 = "All IT",    IF(J$31:J$186 =$D16,       1,      0),    IF($D$31:$D$186 = $C$12,      IF(J$31:J$186 =$D16,         1,        0),    )  ))</f>
        <v>0</v>
      </c>
      <c r="L16" s="1">
        <f t="array" aca="1" ref="L16" ca="1">SUM(  IF($C$12 = "All IT",    IF(L$31:L$186 =$D16,       1,      0),    IF($D$31:$D$186 = $C$12,      IF(L$31:L$186 =$D16,         1,        0),    )  ))</f>
        <v>3</v>
      </c>
      <c r="N16" s="1">
        <f t="array" aca="1" ref="N16" ca="1">SUM(  IF($C$12 = "All IT",    IF(N$31:N$186 =$D16,       1,      0),    IF($D$31:$D$186 = $C$12,      IF(N$31:N$186 =$D16,         1,        0),    )  ))</f>
        <v>4</v>
      </c>
      <c r="P16" s="1">
        <f t="array" aca="1" ref="P16" ca="1">SUM(  IF($C$12 = "All IT",    IF(P$31:P$186 =$D16,       1,      0),    IF($D$31:$D$186 = $C$12,      IF(P$31:P$186 =$D16,         1,        0),    )  ))</f>
        <v>3</v>
      </c>
      <c r="R16" s="1">
        <f t="array" aca="1" ref="R16" ca="1">SUM(  IF($C$12 = "All IT",    IF(R$31:R$186 =$D16,       1,      0),    IF($D$31:$D$186 = $C$12,      IF(R$31:R$186 =$D16,         1,        0),    )  ))</f>
        <v>3</v>
      </c>
      <c r="T16" s="1">
        <f t="array" aca="1" ref="T16" ca="1">SUM(  IF($C$12 = "All IT",    IF(T$31:T$186 =$D16,       1,      0),    IF($D$31:$D$186 = $C$12,      IF(T$31:T$186 =$D16,         1,        0),    )  ))</f>
        <v>3</v>
      </c>
      <c r="V16" s="1">
        <f t="array" aca="1" ref="V16" ca="1">SUM(  IF($C$12 = "All IT",    IF(V$31:V$186 =$D16,       1,      0),    IF($D$31:$D$186 = $C$12,      IF(V$31:V$186 =$D16,         1,        0),    )  ))</f>
        <v>1</v>
      </c>
      <c r="X16" s="1">
        <f t="array" aca="1" ref="X16" ca="1">SUM(  IF($C$12 = "All IT",    IF(X$31:X$186 =$D16,       1,      0),    IF($D$31:$D$186 = $C$12,      IF(X$31:X$186 =$D16,         1,        0),    )  ))</f>
        <v>1</v>
      </c>
      <c r="Z16" s="1">
        <f t="array" aca="1" ref="Z16" ca="1">SUM(  IF($C$12 = "All IT",    IF(Z$31:Z$186 =$D16,       1,      0),    IF($D$31:$D$186 = $C$12,      IF(Z$31:Z$186 =$D16,         1,        0),    )  ))</f>
        <v>3</v>
      </c>
      <c r="AB16" s="1">
        <f t="array" aca="1" ref="AB16" ca="1">SUM(  IF($C$12 = "All IT",    IF(AB$31:AB$186 =$D16,       1,      0),    IF($D$31:$D$186 = $C$12,      IF(AB$31:AB$186 =$D16,         1,        0),    )  ))</f>
        <v>3</v>
      </c>
      <c r="AD16" s="1">
        <f t="array" aca="1" ref="AD16" ca="1">SUM(  IF($C$12 = "All IT",    IF(AD$31:AD$186 =$D16,       1,      0),    IF($D$31:$D$186 = $C$12,      IF(AD$31:AD$186 =$D16,         1,        0),    )  ))</f>
        <v>4</v>
      </c>
      <c r="AF16" s="1">
        <f t="array" aca="1" ref="AF16" ca="1">SUM(  IF($C$12 = "All IT",    IF(AF$31:AF$186 =$D16,       1,      0),    IF($D$31:$D$186 = $C$12,      IF(AF$31:AF$186 =$D16,         1,        0),    )  ))</f>
        <v>3</v>
      </c>
      <c r="AH16" s="1">
        <f t="array" aca="1" ref="AH16" ca="1">SUM(  IF($C$12 = "All IT",    IF(AH$31:AH$186 =$D16,       1,      0),    IF($D$31:$D$186 = $C$12,      IF(AH$31:AH$186 =$D16,         1,        0),    )  ))</f>
        <v>3</v>
      </c>
      <c r="AJ16" s="1">
        <f t="array" aca="1" ref="AJ16" ca="1">SUM(  IF($C$12 = "All IT",    IF(AJ$31:AJ$186 =$D16,       1,      0),    IF($D$31:$D$186 = $C$12,      IF(AJ$31:AJ$186 =$D16,         1,        0),    )  ))</f>
        <v>1</v>
      </c>
      <c r="AL16" s="1">
        <f t="array" aca="1" ref="AL16" ca="1">SUM(  IF($C$12 = "All IT",    IF(AL$31:AL$186 =$D16,       1,      0),    IF($D$31:$D$186 = $C$12,      IF(AL$31:AL$186 =$D16,         1,        0),    )  ))</f>
        <v>1</v>
      </c>
      <c r="AN16" s="1">
        <f t="array" aca="1" ref="AN16" ca="1">SUM(  IF($C$12 = "All IT",    IF(AN$31:AN$186 =$D16,       1,      0),    IF($D$31:$D$186 = $C$12,      IF(AN$31:AN$186 =$D16,         1,        0),    )  ))</f>
        <v>1</v>
      </c>
      <c r="AP16" s="1">
        <f t="array" aca="1" ref="AP16" ca="1">SUM(  IF($C$12 = "All IT",    IF(AP$31:AP$186 =$D16,       1,      0),    IF($D$31:$D$186 = $C$12,      IF(AP$31:AP$186 =$D16,         1,        0),    )  ))</f>
        <v>1</v>
      </c>
      <c r="AR16" s="1">
        <f t="array" aca="1" ref="AR16" ca="1">SUM(  IF($C$12 = "All IT",    IF(AR$31:AR$186 =$D16,       1,      0),    IF($D$31:$D$186 = $C$12,      IF(AR$31:AR$186 =$D16,         1,        0),    )  ))</f>
        <v>1</v>
      </c>
    </row>
    <row r="17" spans="1:46">
      <c r="A17">
        <f ca="1">SUM($F$2:$AT$2)</f>
        <v>20</v>
      </c>
      <c r="B17" s="40" t="s">
        <v>424</v>
      </c>
      <c r="C17" s="40">
        <f ca="1">A17</f>
        <v>20</v>
      </c>
      <c r="D17" s="40">
        <v>4</v>
      </c>
      <c r="E17" s="40" t="s">
        <v>2</v>
      </c>
      <c r="F17" s="1">
        <f t="array" aca="1" ref="F17" ca="1">SUM(  IF($C$12 = "All IT",    IF(F$31:F$186 =$D17,       1,      0),    IF($D$31:$D$186 = $C$12,      IF(F$31:F$186 =$D17,         1,        0),    )  ))</f>
        <v>5</v>
      </c>
      <c r="H17" s="1">
        <f t="array" aca="1" ref="H17" ca="1">SUM(  IF($C$12 = "All IT",    IF(H$31:H$186 =$D17,       1,      0),    IF($D$31:$D$186 = $C$12,      IF(H$31:H$186 =$D17,         1,        0),    )  ))</f>
        <v>5</v>
      </c>
      <c r="J17" s="1">
        <f t="array" aca="1" ref="J17" ca="1">SUM(  IF($C$12 = "All IT",    IF(J$31:J$186 =$D17,       1,      0),    IF($D$31:$D$186 = $C$12,      IF(J$31:J$186 =$D17,         1,        0),    )  ))</f>
        <v>7</v>
      </c>
      <c r="L17" s="1">
        <f t="array" aca="1" ref="L17" ca="1">SUM(  IF($C$12 = "All IT",    IF(L$31:L$186 =$D17,       1,      0),    IF($D$31:$D$186 = $C$12,      IF(L$31:L$186 =$D17,         1,        0),    )  ))</f>
        <v>3</v>
      </c>
      <c r="N17" s="1">
        <f t="array" aca="1" ref="N17" ca="1">SUM(  IF($C$12 = "All IT",    IF(N$31:N$186 =$D17,       1,      0),    IF($D$31:$D$186 = $C$12,      IF(N$31:N$186 =$D17,         1,        0),    )  ))</f>
        <v>3</v>
      </c>
      <c r="P17" s="1">
        <f t="array" aca="1" ref="P17" ca="1">SUM(  IF($C$12 = "All IT",    IF(P$31:P$186 =$D17,       1,      0),    IF($D$31:$D$186 = $C$12,      IF(P$31:P$186 =$D17,         1,        0),    )  ))</f>
        <v>2</v>
      </c>
      <c r="R17" s="1">
        <f t="array" aca="1" ref="R17" ca="1">SUM(  IF($C$12 = "All IT",    IF(R$31:R$186 =$D17,       1,      0),    IF($D$31:$D$186 = $C$12,      IF(R$31:R$186 =$D17,         1,        0),    )  ))</f>
        <v>3</v>
      </c>
      <c r="T17" s="1">
        <f t="array" aca="1" ref="T17" ca="1">SUM(  IF($C$12 = "All IT",    IF(T$31:T$186 =$D17,       1,      0),    IF($D$31:$D$186 = $C$12,      IF(T$31:T$186 =$D17,         1,        0),    )  ))</f>
        <v>4</v>
      </c>
      <c r="V17" s="1">
        <f t="array" aca="1" ref="V17" ca="1">SUM(  IF($C$12 = "All IT",    IF(V$31:V$186 =$D17,       1,      0),    IF($D$31:$D$186 = $C$12,      IF(V$31:V$186 =$D17,         1,        0),    )  ))</f>
        <v>4</v>
      </c>
      <c r="X17" s="1">
        <f t="array" aca="1" ref="X17" ca="1">SUM(  IF($C$12 = "All IT",    IF(X$31:X$186 =$D17,       1,      0),    IF($D$31:$D$186 = $C$12,      IF(X$31:X$186 =$D17,         1,        0),    )  ))</f>
        <v>6</v>
      </c>
      <c r="Z17" s="1">
        <f t="array" aca="1" ref="Z17" ca="1">SUM(  IF($C$12 = "All IT",    IF(Z$31:Z$186 =$D17,       1,      0),    IF($D$31:$D$186 = $C$12,      IF(Z$31:Z$186 =$D17,         1,        0),    )  ))</f>
        <v>3</v>
      </c>
      <c r="AB17" s="1">
        <f t="array" aca="1" ref="AB17" ca="1">SUM(  IF($C$12 = "All IT",    IF(AB$31:AB$186 =$D17,       1,      0),    IF($D$31:$D$186 = $C$12,      IF(AB$31:AB$186 =$D17,         1,        0),    )  ))</f>
        <v>4</v>
      </c>
      <c r="AD17" s="1">
        <f t="array" aca="1" ref="AD17" ca="1">SUM(  IF($C$12 = "All IT",    IF(AD$31:AD$186 =$D17,       1,      0),    IF($D$31:$D$186 = $C$12,      IF(AD$31:AD$186 =$D17,         1,        0),    )  ))</f>
        <v>2</v>
      </c>
      <c r="AF17" s="1">
        <f t="array" aca="1" ref="AF17" ca="1">SUM(  IF($C$12 = "All IT",    IF(AF$31:AF$186 =$D17,       1,      0),    IF($D$31:$D$186 = $C$12,      IF(AF$31:AF$186 =$D17,         1,        0),    )  ))</f>
        <v>3</v>
      </c>
      <c r="AH17" s="1">
        <f t="array" aca="1" ref="AH17" ca="1">SUM(  IF($C$12 = "All IT",    IF(AH$31:AH$186 =$D17,       1,      0),    IF($D$31:$D$186 = $C$12,      IF(AH$31:AH$186 =$D17,         1,        0),    )  ))</f>
        <v>3</v>
      </c>
      <c r="AJ17" s="1">
        <f t="array" aca="1" ref="AJ17" ca="1">SUM(  IF($C$12 = "All IT",    IF(AJ$31:AJ$186 =$D17,       1,      0),    IF($D$31:$D$186 = $C$12,      IF(AJ$31:AJ$186 =$D17,         1,        0),    )  ))</f>
        <v>4</v>
      </c>
      <c r="AL17" s="1">
        <f t="array" aca="1" ref="AL17" ca="1">SUM(  IF($C$12 = "All IT",    IF(AL$31:AL$186 =$D17,       1,      0),    IF($D$31:$D$186 = $C$12,      IF(AL$31:AL$186 =$D17,         1,        0),    )  ))</f>
        <v>2</v>
      </c>
      <c r="AN17" s="1">
        <f t="array" aca="1" ref="AN17" ca="1">SUM(  IF($C$12 = "All IT",    IF(AN$31:AN$186 =$D17,       1,      0),    IF($D$31:$D$186 = $C$12,      IF(AN$31:AN$186 =$D17,         1,        0),    )  ))</f>
        <v>5</v>
      </c>
      <c r="AP17" s="1">
        <f t="array" aca="1" ref="AP17" ca="1">SUM(  IF($C$12 = "All IT",    IF(AP$31:AP$186 =$D17,       1,      0),    IF($D$31:$D$186 = $C$12,      IF(AP$31:AP$186 =$D17,         1,        0),    )  ))</f>
        <v>3</v>
      </c>
      <c r="AR17" s="1">
        <f t="array" aca="1" ref="AR17" ca="1">SUM(  IF($C$12 = "All IT",    IF(AR$31:AR$186 =$D17,       1,      0),    IF($D$31:$D$186 = $C$12,      IF(AR$31:AR$186 =$D17,         1,        0),    )  ))</f>
        <v>3</v>
      </c>
    </row>
    <row r="18" spans="1:46">
      <c r="A18">
        <f ca="1">SUM($F$3:$AT$3)</f>
        <v>21</v>
      </c>
      <c r="B18" s="40" t="s">
        <v>425</v>
      </c>
      <c r="C18" s="40">
        <f ca="1">A18</f>
        <v>21</v>
      </c>
      <c r="D18" s="40">
        <v>3</v>
      </c>
      <c r="E18" s="40" t="s">
        <v>3</v>
      </c>
      <c r="F18" s="1">
        <f t="array" aca="1" ref="F18" ca="1">SUM(  IF($C$12 = "All IT",    IF(F$31:F$186 =$D18,       1,      0),    IF($D$31:$D$186 = $C$12,      IF(F$31:F$186 =$D18,         1,        0),    )  ))</f>
        <v>1</v>
      </c>
      <c r="H18" s="1">
        <f t="array" aca="1" ref="H18" ca="1">SUM(  IF($C$12 = "All IT",    IF(H$31:H$186 =$D18,       1,      0),    IF($D$31:$D$186 = $C$12,      IF(H$31:H$186 =$D18,         1,        0),    )  ))</f>
        <v>1</v>
      </c>
      <c r="J18" s="1">
        <f t="array" aca="1" ref="J18" ca="1">SUM(  IF($C$12 = "All IT",    IF(J$31:J$186 =$D18,       1,      0),    IF($D$31:$D$186 = $C$12,      IF(J$31:J$186 =$D18,         1,        0),    )  ))</f>
        <v>0</v>
      </c>
      <c r="L18" s="1">
        <f t="array" aca="1" ref="L18" ca="1">SUM(  IF($C$12 = "All IT",    IF(L$31:L$186 =$D18,       1,      0),    IF($D$31:$D$186 = $C$12,      IF(L$31:L$186 =$D18,         1,        0),    )  ))</f>
        <v>1</v>
      </c>
      <c r="N18" s="1">
        <f t="array" aca="1" ref="N18" ca="1">SUM(  IF($C$12 = "All IT",    IF(N$31:N$186 =$D18,       1,      0),    IF($D$31:$D$186 = $C$12,      IF(N$31:N$186 =$D18,         1,        0),    )  ))</f>
        <v>0</v>
      </c>
      <c r="P18" s="1">
        <f t="array" aca="1" ref="P18" ca="1">SUM(  IF($C$12 = "All IT",    IF(P$31:P$186 =$D18,       1,      0),    IF($D$31:$D$186 = $C$12,      IF(P$31:P$186 =$D18,         1,        0),    )  ))</f>
        <v>2</v>
      </c>
      <c r="R18" s="1">
        <f t="array" aca="1" ref="R18" ca="1">SUM(  IF($C$12 = "All IT",    IF(R$31:R$186 =$D18,       1,      0),    IF($D$31:$D$186 = $C$12,      IF(R$31:R$186 =$D18,         1,        0),    )  ))</f>
        <v>0</v>
      </c>
      <c r="T18" s="1">
        <f t="array" aca="1" ref="T18" ca="1">SUM(  IF($C$12 = "All IT",    IF(T$31:T$186 =$D18,       1,      0),    IF($D$31:$D$186 = $C$12,      IF(T$31:T$186 =$D18,         1,        0),    )  ))</f>
        <v>0</v>
      </c>
      <c r="V18" s="1">
        <f t="array" aca="1" ref="V18" ca="1">SUM(  IF($C$12 = "All IT",    IF(V$31:V$186 =$D18,       1,      0),    IF($D$31:$D$186 = $C$12,      IF(V$31:V$186 =$D18,         1,        0),    )  ))</f>
        <v>1</v>
      </c>
      <c r="X18" s="1">
        <f t="array" aca="1" ref="X18" ca="1">SUM(  IF($C$12 = "All IT",    IF(X$31:X$186 =$D18,       1,      0),    IF($D$31:$D$186 = $C$12,      IF(X$31:X$186 =$D18,         1,        0),    )  ))</f>
        <v>0</v>
      </c>
      <c r="Z18" s="1">
        <f t="array" aca="1" ref="Z18" ca="1">SUM(  IF($C$12 = "All IT",    IF(Z$31:Z$186 =$D18,       1,      0),    IF($D$31:$D$186 = $C$12,      IF(Z$31:Z$186 =$D18,         1,        0),    )  ))</f>
        <v>1</v>
      </c>
      <c r="AB18" s="1">
        <f t="array" aca="1" ref="AB18" ca="1">SUM(  IF($C$12 = "All IT",    IF(AB$31:AB$186 =$D18,       1,      0),    IF($D$31:$D$186 = $C$12,      IF(AB$31:AB$186 =$D18,         1,        0),    )  ))</f>
        <v>0</v>
      </c>
      <c r="AD18" s="1">
        <f t="array" aca="1" ref="AD18" ca="1">SUM(  IF($C$12 = "All IT",    IF(AD$31:AD$186 =$D18,       1,      0),    IF($D$31:$D$186 = $C$12,      IF(AD$31:AD$186 =$D18,         1,        0),    )  ))</f>
        <v>1</v>
      </c>
      <c r="AF18" s="1">
        <f t="array" aca="1" ref="AF18" ca="1">SUM(  IF($C$12 = "All IT",    IF(AF$31:AF$186 =$D18,       1,      0),    IF($D$31:$D$186 = $C$12,      IF(AF$31:AF$186 =$D18,         1,        0),    )  ))</f>
        <v>1</v>
      </c>
      <c r="AH18" s="1">
        <f t="array" aca="1" ref="AH18" ca="1">SUM(  IF($C$12 = "All IT",    IF(AH$31:AH$186 =$D18,       1,      0),    IF($D$31:$D$186 = $C$12,      IF(AH$31:AH$186 =$D18,         1,        0),    )  ))</f>
        <v>1</v>
      </c>
      <c r="AJ18" s="1">
        <f t="array" aca="1" ref="AJ18" ca="1">SUM(  IF($C$12 = "All IT",    IF(AJ$31:AJ$186 =$D18,       1,      0),    IF($D$31:$D$186 = $C$12,      IF(AJ$31:AJ$186 =$D18,         1,        0),    )  ))</f>
        <v>1</v>
      </c>
      <c r="AL18" s="1">
        <f t="array" aca="1" ref="AL18" ca="1">SUM(  IF($C$12 = "All IT",    IF(AL$31:AL$186 =$D18,       1,      0),    IF($D$31:$D$186 = $C$12,      IF(AL$31:AL$186 =$D18,         1,        0),    )  ))</f>
        <v>2</v>
      </c>
      <c r="AN18" s="1">
        <f t="array" aca="1" ref="AN18" ca="1">SUM(  IF($C$12 = "All IT",    IF(AN$31:AN$186 =$D18,       1,      0),    IF($D$31:$D$186 = $C$12,      IF(AN$31:AN$186 =$D18,         1,        0),    )  ))</f>
        <v>1</v>
      </c>
      <c r="AP18" s="1">
        <f t="array" aca="1" ref="AP18" ca="1">SUM(  IF($C$12 = "All IT",    IF(AP$31:AP$186 =$D18,       1,      0),    IF($D$31:$D$186 = $C$12,      IF(AP$31:AP$186 =$D18,         1,        0),    )  ))</f>
        <v>2</v>
      </c>
      <c r="AR18" s="1">
        <f t="array" aca="1" ref="AR18" ca="1">SUM(  IF($C$12 = "All IT",    IF(AR$31:AR$186 =$D18,       1,      0),    IF($D$31:$D$186 = $C$12,      IF(AR$31:AR$186 =$D18,         1,        0),    )  ))</f>
        <v>1</v>
      </c>
    </row>
    <row r="19" spans="1:46">
      <c r="D19" s="40">
        <v>2</v>
      </c>
      <c r="E19" s="40" t="s">
        <v>4</v>
      </c>
      <c r="F19" s="1">
        <f t="array" aca="1" ref="F19" ca="1">SUM(  IF($C$12 = "All IT",    IF(F$31:F$186 =$D19,       1,      0),    IF($D$31:$D$186 = $C$12,      IF(F$31:F$186 =$D19,         1,        0),    )  ))</f>
        <v>0</v>
      </c>
      <c r="H19" s="1">
        <f t="array" aca="1" ref="H19" ca="1">SUM(  IF($C$12 = "All IT",    IF(H$31:H$186 =$D19,       1,      0),    IF($D$31:$D$186 = $C$12,      IF(H$31:H$186 =$D19,         1,        0),    )  ))</f>
        <v>0</v>
      </c>
      <c r="J19" s="1">
        <f t="array" aca="1" ref="J19" ca="1">SUM(  IF($C$12 = "All IT",    IF(J$31:J$186 =$D19,       1,      0),    IF($D$31:$D$186 = $C$12,      IF(J$31:J$186 =$D19,         1,        0),    )  ))</f>
        <v>0</v>
      </c>
      <c r="L19" s="1">
        <f t="array" aca="1" ref="L19" ca="1">SUM(  IF($C$12 = "All IT",    IF(L$31:L$186 =$D19,       1,      0),    IF($D$31:$D$186 = $C$12,      IF(L$31:L$186 =$D19,         1,        0),    )  ))</f>
        <v>0</v>
      </c>
      <c r="N19" s="1">
        <f t="array" aca="1" ref="N19" ca="1">SUM(  IF($C$12 = "All IT",    IF(N$31:N$186 =$D19,       1,      0),    IF($D$31:$D$186 = $C$12,      IF(N$31:N$186 =$D19,         1,        0),    )  ))</f>
        <v>0</v>
      </c>
      <c r="P19" s="1">
        <f t="array" aca="1" ref="P19" ca="1">SUM(  IF($C$12 = "All IT",    IF(P$31:P$186 =$D19,       1,      0),    IF($D$31:$D$186 = $C$12,      IF(P$31:P$186 =$D19,         1,        0),    )  ))</f>
        <v>0</v>
      </c>
      <c r="R19" s="1">
        <f t="array" aca="1" ref="R19" ca="1">SUM(  IF($C$12 = "All IT",    IF(R$31:R$186 =$D19,       1,      0),    IF($D$31:$D$186 = $C$12,      IF(R$31:R$186 =$D19,         1,        0),    )  ))</f>
        <v>1</v>
      </c>
      <c r="T19" s="1">
        <f t="array" aca="1" ref="T19" ca="1">SUM(  IF($C$12 = "All IT",    IF(T$31:T$186 =$D19,       1,      0),    IF($D$31:$D$186 = $C$12,      IF(T$31:T$186 =$D19,         1,        0),    )  ))</f>
        <v>0</v>
      </c>
      <c r="V19" s="1">
        <f t="array" aca="1" ref="V19" ca="1">SUM(  IF($C$12 = "All IT",    IF(V$31:V$186 =$D19,       1,      0),    IF($D$31:$D$186 = $C$12,      IF(V$31:V$186 =$D19,         1,        0),    )  ))</f>
        <v>1</v>
      </c>
      <c r="X19" s="1">
        <f t="array" aca="1" ref="X19" ca="1">SUM(  IF($C$12 = "All IT",    IF(X$31:X$186 =$D19,       1,      0),    IF($D$31:$D$186 = $C$12,      IF(X$31:X$186 =$D19,         1,        0),    )  ))</f>
        <v>0</v>
      </c>
      <c r="Z19" s="1">
        <f t="array" aca="1" ref="Z19" ca="1">SUM(  IF($C$12 = "All IT",    IF(Z$31:Z$186 =$D19,       1,      0),    IF($D$31:$D$186 = $C$12,      IF(Z$31:Z$186 =$D19,         1,        0),    )  ))</f>
        <v>0</v>
      </c>
      <c r="AB19" s="1">
        <f t="array" aca="1" ref="AB19" ca="1">SUM(  IF($C$12 = "All IT",    IF(AB$31:AB$186 =$D19,       1,      0),    IF($D$31:$D$186 = $C$12,      IF(AB$31:AB$186 =$D19,         1,        0),    )  ))</f>
        <v>0</v>
      </c>
      <c r="AD19" s="1">
        <f t="array" aca="1" ref="AD19" ca="1">SUM(  IF($C$12 = "All IT",    IF(AD$31:AD$186 =$D19,       1,      0),    IF($D$31:$D$186 = $C$12,      IF(AD$31:AD$186 =$D19,         1,        0),    )  ))</f>
        <v>0</v>
      </c>
      <c r="AF19" s="1">
        <f t="array" aca="1" ref="AF19" ca="1">SUM(  IF($C$12 = "All IT",    IF(AF$31:AF$186 =$D19,       1,      0),    IF($D$31:$D$186 = $C$12,      IF(AF$31:AF$186 =$D19,         1,        0),    )  ))</f>
        <v>0</v>
      </c>
      <c r="AH19" s="1">
        <f t="array" aca="1" ref="AH19" ca="1">SUM(  IF($C$12 = "All IT",    IF(AH$31:AH$186 =$D19,       1,      0),    IF($D$31:$D$186 = $C$12,      IF(AH$31:AH$186 =$D19,         1,        0),    )  ))</f>
        <v>0</v>
      </c>
      <c r="AJ19" s="1">
        <f t="array" aca="1" ref="AJ19" ca="1">SUM(  IF($C$12 = "All IT",    IF(AJ$31:AJ$186 =$D19,       1,      0),    IF($D$31:$D$186 = $C$12,      IF(AJ$31:AJ$186 =$D19,         1,        0),    )  ))</f>
        <v>0</v>
      </c>
      <c r="AL19" s="1">
        <f t="array" aca="1" ref="AL19" ca="1">SUM(  IF($C$12 = "All IT",    IF(AL$31:AL$186 =$D19,       1,      0),    IF($D$31:$D$186 = $C$12,      IF(AL$31:AL$186 =$D19,         1,        0),    )  ))</f>
        <v>1</v>
      </c>
      <c r="AN19" s="1">
        <f t="array" aca="1" ref="AN19" ca="1">SUM(  IF($C$12 = "All IT",    IF(AN$31:AN$186 =$D19,       1,      0),    IF($D$31:$D$186 = $C$12,      IF(AN$31:AN$186 =$D19,         1,        0),    )  ))</f>
        <v>0</v>
      </c>
      <c r="AP19" s="1">
        <f t="array" aca="1" ref="AP19" ca="1">SUM(  IF($C$12 = "All IT",    IF(AP$31:AP$186 =$D19,       1,      0),    IF($D$31:$D$186 = $C$12,      IF(AP$31:AP$186 =$D19,         1,        0),    )  ))</f>
        <v>1</v>
      </c>
      <c r="AR19" s="1">
        <f t="array" aca="1" ref="AR19" ca="1">SUM(  IF($C$12 = "All IT",    IF(AR$31:AR$186 =$D19,       1,      0),    IF($D$31:$D$186 = $C$12,      IF(AR$31:AR$186 =$D19,         1,        0),    )  ))</f>
        <v>2</v>
      </c>
    </row>
    <row r="20" spans="1:46">
      <c r="D20" s="40">
        <v>1</v>
      </c>
      <c r="E20" s="40" t="s">
        <v>428</v>
      </c>
      <c r="F20" s="1">
        <f t="array" aca="1" ref="F20" ca="1">SUM(  IF($C$12 = "All IT",    IF(F$31:F$186 =$D20,       1,      0),    IF($D$31:$D$186 = $C$12,      IF(F$31:F$186 =$D20,         1,        0),    )  ))</f>
        <v>0</v>
      </c>
      <c r="H20" s="1">
        <f t="array" aca="1" ref="H20" ca="1">SUM(  IF($C$12 = "All IT",    IF(H$31:H$186 =$D20,       1,      0),    IF($D$31:$D$186 = $C$12,      IF(H$31:H$186 =$D20,         1,        0),    )  ))</f>
        <v>0</v>
      </c>
      <c r="J20" s="1">
        <f t="array" aca="1" ref="J20" ca="1">SUM(  IF($C$12 = "All IT",    IF(J$31:J$186 =$D20,       1,      0),    IF($D$31:$D$186 = $C$12,      IF(J$31:J$186 =$D20,         1,        0),    )  ))</f>
        <v>0</v>
      </c>
      <c r="L20" s="1">
        <f t="array" aca="1" ref="L20" ca="1">SUM(  IF($C$12 = "All IT",    IF(L$31:L$186 =$D20,       1,      0),    IF($D$31:$D$186 = $C$12,      IF(L$31:L$186 =$D20,         1,        0),    )  ))</f>
        <v>0</v>
      </c>
      <c r="N20" s="1">
        <f t="array" aca="1" ref="N20" ca="1">SUM(  IF($C$12 = "All IT",    IF(N$31:N$186 =$D20,       1,      0),    IF($D$31:$D$186 = $C$12,      IF(N$31:N$186 =$D20,         1,        0),    )  ))</f>
        <v>0</v>
      </c>
      <c r="P20" s="1">
        <f t="array" aca="1" ref="P20" ca="1">SUM(  IF($C$12 = "All IT",    IF(P$31:P$186 =$D20,       1,      0),    IF($D$31:$D$186 = $C$12,      IF(P$31:P$186 =$D20,         1,        0),    )  ))</f>
        <v>0</v>
      </c>
      <c r="R20" s="1">
        <f t="array" aca="1" ref="R20" ca="1">SUM(  IF($C$12 = "All IT",    IF(R$31:R$186 =$D20,       1,      0),    IF($D$31:$D$186 = $C$12,      IF(R$31:R$186 =$D20,         1,        0),    )  ))</f>
        <v>0</v>
      </c>
      <c r="T20" s="1">
        <f t="array" aca="1" ref="T20" ca="1">SUM(  IF($C$12 = "All IT",    IF(T$31:T$186 =$D20,       1,      0),    IF($D$31:$D$186 = $C$12,      IF(T$31:T$186 =$D20,         1,        0),    )  ))</f>
        <v>0</v>
      </c>
      <c r="V20" s="1">
        <f t="array" aca="1" ref="V20" ca="1">SUM(  IF($C$12 = "All IT",    IF(V$31:V$186 =$D20,       1,      0),    IF($D$31:$D$186 = $C$12,      IF(V$31:V$186 =$D20,         1,        0),    )  ))</f>
        <v>0</v>
      </c>
      <c r="X20" s="1">
        <f t="array" aca="1" ref="X20" ca="1">SUM(  IF($C$12 = "All IT",    IF(X$31:X$186 =$D20,       1,      0),    IF($D$31:$D$186 = $C$12,      IF(X$31:X$186 =$D20,         1,        0),    )  ))</f>
        <v>0</v>
      </c>
      <c r="Z20" s="1">
        <f t="array" aca="1" ref="Z20" ca="1">SUM(  IF($C$12 = "All IT",    IF(Z$31:Z$186 =$D20,       1,      0),    IF($D$31:$D$186 = $C$12,      IF(Z$31:Z$186 =$D20,         1,        0),    )  ))</f>
        <v>0</v>
      </c>
      <c r="AB20" s="1">
        <f t="array" aca="1" ref="AB20" ca="1">SUM(  IF($C$12 = "All IT",    IF(AB$31:AB$186 =$D20,       1,      0),    IF($D$31:$D$186 = $C$12,      IF(AB$31:AB$186 =$D20,         1,        0),    )  ))</f>
        <v>0</v>
      </c>
      <c r="AD20" s="1">
        <f t="array" aca="1" ref="AD20" ca="1">SUM(  IF($C$12 = "All IT",    IF(AD$31:AD$186 =$D20,       1,      0),    IF($D$31:$D$186 = $C$12,      IF(AD$31:AD$186 =$D20,         1,        0),    )  ))</f>
        <v>0</v>
      </c>
      <c r="AF20" s="1">
        <f t="array" aca="1" ref="AF20" ca="1">SUM(  IF($C$12 = "All IT",    IF(AF$31:AF$186 =$D20,       1,      0),    IF($D$31:$D$186 = $C$12,      IF(AF$31:AF$186 =$D20,         1,        0),    )  ))</f>
        <v>0</v>
      </c>
      <c r="AH20" s="1">
        <f t="array" aca="1" ref="AH20" ca="1">SUM(  IF($C$12 = "All IT",    IF(AH$31:AH$186 =$D20,       1,      0),    IF($D$31:$D$186 = $C$12,      IF(AH$31:AH$186 =$D20,         1,        0),    )  ))</f>
        <v>0</v>
      </c>
      <c r="AJ20" s="1">
        <f t="array" aca="1" ref="AJ20" ca="1">SUM(  IF($C$12 = "All IT",    IF(AJ$31:AJ$186 =$D20,       1,      0),    IF($D$31:$D$186 = $C$12,      IF(AJ$31:AJ$186 =$D20,         1,        0),    )  ))</f>
        <v>0</v>
      </c>
      <c r="AL20" s="1">
        <f t="array" aca="1" ref="AL20" ca="1">SUM(  IF($C$12 = "All IT",    IF(AL$31:AL$186 =$D20,       1,      0),    IF($D$31:$D$186 = $C$12,      IF(AL$31:AL$186 =$D20,         1,        0),    )  ))</f>
        <v>0</v>
      </c>
      <c r="AN20" s="1">
        <f t="array" aca="1" ref="AN20" ca="1">SUM(  IF($C$12 = "All IT",    IF(AN$31:AN$186 =$D20,       1,      0),    IF($D$31:$D$186 = $C$12,      IF(AN$31:AN$186 =$D20,         1,        0),    )  ))</f>
        <v>0</v>
      </c>
      <c r="AP20" s="1">
        <f t="array" aca="1" ref="AP20" ca="1">SUM(  IF($C$12 = "All IT",    IF(AP$31:AP$186 =$D20,       1,      0),    IF($D$31:$D$186 = $C$12,      IF(AP$31:AP$186 =$D20,         1,        0),    )  ))</f>
        <v>0</v>
      </c>
      <c r="AR20" s="1">
        <f t="array" aca="1" ref="AR20" ca="1">SUM(  IF($C$12 = "All IT",    IF(AR$31:AR$186 =$D20,       1,      0),    IF($D$31:$D$186 = $C$12,      IF(AR$31:AR$186 =$D20,         1,        0),    )  ))</f>
        <v>0</v>
      </c>
    </row>
    <row r="21" spans="1:46">
      <c r="D21" s="40">
        <v>6</v>
      </c>
      <c r="E21" s="40" t="s">
        <v>6</v>
      </c>
      <c r="F21" s="1">
        <f t="array" aca="1" ref="F21" ca="1">SUM(  IF($C$12 = "All IT",    IF(F$31:F$186 =$D21,       1,      0),    IF($D$31:$D$186 = $C$12,      IF(F$31:F$186 =$D21,         1,        0),    )  ))</f>
        <v>0</v>
      </c>
      <c r="H21" s="1">
        <f t="array" aca="1" ref="H21" ca="1">SUM(  IF($C$12 = "All IT",    IF(H$31:H$186 =$D21,       1,      0),    IF($D$31:$D$186 = $C$12,      IF(H$31:H$186 =$D21,         1,        0),    )  ))</f>
        <v>0</v>
      </c>
      <c r="J21" s="1">
        <f t="array" aca="1" ref="J21" ca="1">SUM(  IF($C$12 = "All IT",    IF(J$31:J$186 =$D21,       1,      0),    IF($D$31:$D$186 = $C$12,      IF(J$31:J$186 =$D21,         1,        0),    )  ))</f>
        <v>0</v>
      </c>
      <c r="L21" s="1">
        <f t="array" aca="1" ref="L21" ca="1">SUM(  IF($C$12 = "All IT",    IF(L$31:L$186 =$D21,       1,      0),    IF($D$31:$D$186 = $C$12,      IF(L$31:L$186 =$D21,         1,        0),    )  ))</f>
        <v>0</v>
      </c>
      <c r="N21" s="1">
        <f t="array" aca="1" ref="N21" ca="1">SUM(  IF($C$12 = "All IT",    IF(N$31:N$186 =$D21,       1,      0),    IF($D$31:$D$186 = $C$12,      IF(N$31:N$186 =$D21,         1,        0),    )  ))</f>
        <v>0</v>
      </c>
      <c r="P21" s="1">
        <f t="array" aca="1" ref="P21" ca="1">SUM(  IF($C$12 = "All IT",    IF(P$31:P$186 =$D21,       1,      0),    IF($D$31:$D$186 = $C$12,      IF(P$31:P$186 =$D21,         1,        0),    )  ))</f>
        <v>0</v>
      </c>
      <c r="R21" s="1">
        <f t="array" aca="1" ref="R21" ca="1">SUM(  IF($C$12 = "All IT",    IF(R$31:R$186 =$D21,       1,      0),    IF($D$31:$D$186 = $C$12,      IF(R$31:R$186 =$D21,         1,        0),    )  ))</f>
        <v>0</v>
      </c>
      <c r="T21" s="1">
        <f t="array" aca="1" ref="T21" ca="1">SUM(  IF($C$12 = "All IT",    IF(T$31:T$186 =$D21,       1,      0),    IF($D$31:$D$186 = $C$12,      IF(T$31:T$186 =$D21,         1,        0),    )  ))</f>
        <v>0</v>
      </c>
      <c r="V21" s="1">
        <f t="array" aca="1" ref="V21" ca="1">SUM(  IF($C$12 = "All IT",    IF(V$31:V$186 =$D21,       1,      0),    IF($D$31:$D$186 = $C$12,      IF(V$31:V$186 =$D21,         1,        0),    )  ))</f>
        <v>0</v>
      </c>
      <c r="X21" s="1">
        <f t="array" aca="1" ref="X21" ca="1">SUM(  IF($C$12 = "All IT",    IF(X$31:X$186 =$D21,       1,      0),    IF($D$31:$D$186 = $C$12,      IF(X$31:X$186 =$D21,         1,        0),    )  ))</f>
        <v>0</v>
      </c>
      <c r="Z21" s="1">
        <f t="array" aca="1" ref="Z21" ca="1">SUM(  IF($C$12 = "All IT",    IF(Z$31:Z$186 =$D21,       1,      0),    IF($D$31:$D$186 = $C$12,      IF(Z$31:Z$186 =$D21,         1,        0),    )  ))</f>
        <v>0</v>
      </c>
      <c r="AB21" s="1">
        <f t="array" aca="1" ref="AB21" ca="1">SUM(  IF($C$12 = "All IT",    IF(AB$31:AB$186 =$D21,       1,      0),    IF($D$31:$D$186 = $C$12,      IF(AB$31:AB$186 =$D21,         1,        0),    )  ))</f>
        <v>0</v>
      </c>
      <c r="AD21" s="1">
        <f t="array" aca="1" ref="AD21" ca="1">SUM(  IF($C$12 = "All IT",    IF(AD$31:AD$186 =$D21,       1,      0),    IF($D$31:$D$186 = $C$12,      IF(AD$31:AD$186 =$D21,         1,        0),    )  ))</f>
        <v>0</v>
      </c>
      <c r="AF21" s="1">
        <f t="array" aca="1" ref="AF21" ca="1">SUM(  IF($C$12 = "All IT",    IF(AF$31:AF$186 =$D21,       1,      0),    IF($D$31:$D$186 = $C$12,      IF(AF$31:AF$186 =$D21,         1,        0),    )  ))</f>
        <v>0</v>
      </c>
      <c r="AH21" s="1">
        <f t="array" aca="1" ref="AH21" ca="1">SUM(  IF($C$12 = "All IT",    IF(AH$31:AH$186 =$D21,       1,      0),    IF($D$31:$D$186 = $C$12,      IF(AH$31:AH$186 =$D21,         1,        0),    )  ))</f>
        <v>0</v>
      </c>
      <c r="AJ21" s="1">
        <f t="array" aca="1" ref="AJ21" ca="1">SUM(  IF($C$12 = "All IT",    IF(AJ$31:AJ$186 =$D21,       1,      0),    IF($D$31:$D$186 = $C$12,      IF(AJ$31:AJ$186 =$D21,         1,        0),    )  ))</f>
        <v>1</v>
      </c>
      <c r="AL21" s="1">
        <f t="array" aca="1" ref="AL21" ca="1">SUM(  IF($C$12 = "All IT",    IF(AL$31:AL$186 =$D21,       1,      0),    IF($D$31:$D$186 = $C$12,      IF(AL$31:AL$186 =$D21,         1,        0),    )  ))</f>
        <v>1</v>
      </c>
      <c r="AN21" s="1">
        <f t="array" aca="1" ref="AN21" ca="1">SUM(  IF($C$12 = "All IT",    IF(AN$31:AN$186 =$D21,       1,      0),    IF($D$31:$D$186 = $C$12,      IF(AN$31:AN$186 =$D21,         1,        0),    )  ))</f>
        <v>0</v>
      </c>
      <c r="AP21" s="1">
        <f t="array" aca="1" ref="AP21" ca="1">SUM(  IF($C$12 = "All IT",    IF(AP$31:AP$186 =$D21,       1,      0),    IF($D$31:$D$186 = $C$12,      IF(AP$31:AP$186 =$D21,         1,        0),    )  ))</f>
        <v>0</v>
      </c>
      <c r="AR21" s="1">
        <f t="array" aca="1" ref="AR21" ca="1">SUM(  IF($C$12 = "All IT",    IF(AR$31:AR$186 =$D21,       1,      0),    IF($D$31:$D$186 = $C$12,      IF(AR$31:AR$186 =$D21,         1,        0),    )  ))</f>
        <v>0</v>
      </c>
    </row>
    <row r="22" spans="1:46">
      <c r="D22" s="40">
        <v>0</v>
      </c>
      <c r="E22" s="40" t="s">
        <v>19</v>
      </c>
      <c r="F22" s="1">
        <f t="array" aca="1" ref="F22" ca="1">SUM(  IF($C$12 = "All IT",    IF(F$31:F$186 =$D22,       1,      0),    IF($D$31:$D$186 = $C$12,      IF(F$31:F$186 =$D22,         1,        0),    )  ))</f>
        <v>0</v>
      </c>
      <c r="H22" s="1">
        <f t="array" aca="1" ref="H22" ca="1">SUM(  IF($C$12 = "All IT",    IF(H$31:H$186 =$D22,       1,      0),    IF($D$31:$D$186 = $C$12,      IF(H$31:H$186 =$D22,         1,        0),    )  ))</f>
        <v>0</v>
      </c>
      <c r="J22" s="1">
        <f t="array" aca="1" ref="J22" ca="1">SUM(  IF($C$12 = "All IT",    IF(J$31:J$186 =$D22,       1,      0),    IF($D$31:$D$186 = $C$12,      IF(J$31:J$186 =$D22,         1,        0),    )  ))</f>
        <v>0</v>
      </c>
      <c r="L22" s="1">
        <f t="array" aca="1" ref="L22" ca="1">SUM(  IF($C$12 = "All IT",    IF(L$31:L$186 =$D22,       1,      0),    IF($D$31:$D$186 = $C$12,      IF(L$31:L$186 =$D22,         1,        0),    )  ))</f>
        <v>0</v>
      </c>
      <c r="N22" s="1">
        <f t="array" aca="1" ref="N22" ca="1">SUM(  IF($C$12 = "All IT",    IF(N$31:N$186 =$D22,       1,      0),    IF($D$31:$D$186 = $C$12,      IF(N$31:N$186 =$D22,         1,        0),    )  ))</f>
        <v>0</v>
      </c>
      <c r="P22" s="1">
        <f t="array" aca="1" ref="P22" ca="1">SUM(  IF($C$12 = "All IT",    IF(P$31:P$186 =$D22,       1,      0),    IF($D$31:$D$186 = $C$12,      IF(P$31:P$186 =$D22,         1,        0),    )  ))</f>
        <v>0</v>
      </c>
      <c r="R22" s="1">
        <f t="array" aca="1" ref="R22" ca="1">SUM(  IF($C$12 = "All IT",    IF(R$31:R$186 =$D22,       1,      0),    IF($D$31:$D$186 = $C$12,      IF(R$31:R$186 =$D22,         1,        0),    )  ))</f>
        <v>0</v>
      </c>
      <c r="T22" s="1">
        <f t="array" aca="1" ref="T22" ca="1">SUM(  IF($C$12 = "All IT",    IF(T$31:T$186 =$D22,       1,      0),    IF($D$31:$D$186 = $C$12,      IF(T$31:T$186 =$D22,         1,        0),    )  ))</f>
        <v>0</v>
      </c>
      <c r="V22" s="1">
        <f t="array" aca="1" ref="V22" ca="1">SUM(  IF($C$12 = "All IT",    IF(V$31:V$186 =$D22,       1,      0),    IF($D$31:$D$186 = $C$12,      IF(V$31:V$186 =$D22,         1,        0),    )  ))</f>
        <v>0</v>
      </c>
      <c r="X22" s="1">
        <f t="array" aca="1" ref="X22" ca="1">SUM(  IF($C$12 = "All IT",    IF(X$31:X$186 =$D22,       1,      0),    IF($D$31:$D$186 = $C$12,      IF(X$31:X$186 =$D22,         1,        0),    )  ))</f>
        <v>0</v>
      </c>
      <c r="Z22" s="1">
        <f t="array" aca="1" ref="Z22" ca="1">SUM(  IF($C$12 = "All IT",    IF(Z$31:Z$186 =$D22,       1,      0),    IF($D$31:$D$186 = $C$12,      IF(Z$31:Z$186 =$D22,         1,        0),    )  ))</f>
        <v>0</v>
      </c>
      <c r="AB22" s="1">
        <f t="array" aca="1" ref="AB22" ca="1">SUM(  IF($C$12 = "All IT",    IF(AB$31:AB$186 =$D22,       1,      0),    IF($D$31:$D$186 = $C$12,      IF(AB$31:AB$186 =$D22,         1,        0),    )  ))</f>
        <v>0</v>
      </c>
      <c r="AD22" s="1">
        <f t="array" aca="1" ref="AD22" ca="1">SUM(  IF($C$12 = "All IT",    IF(AD$31:AD$186 =$D22,       1,      0),    IF($D$31:$D$186 = $C$12,      IF(AD$31:AD$186 =$D22,         1,        0),    )  ))</f>
        <v>0</v>
      </c>
      <c r="AF22" s="1">
        <f t="array" aca="1" ref="AF22" ca="1">SUM(  IF($C$12 = "All IT",    IF(AF$31:AF$186 =$D22,       1,      0),    IF($D$31:$D$186 = $C$12,      IF(AF$31:AF$186 =$D22,         1,        0),    )  ))</f>
        <v>0</v>
      </c>
      <c r="AH22" s="1">
        <f t="array" aca="1" ref="AH22" ca="1">SUM(  IF($C$12 = "All IT",    IF(AH$31:AH$186 =$D22,       1,      0),    IF($D$31:$D$186 = $C$12,      IF(AH$31:AH$186 =$D22,         1,        0),    )  ))</f>
        <v>0</v>
      </c>
      <c r="AJ22" s="1">
        <f t="array" aca="1" ref="AJ22" ca="1">SUM(  IF($C$12 = "All IT",    IF(AJ$31:AJ$186 =$D22,       1,      0),    IF($D$31:$D$186 = $C$12,      IF(AJ$31:AJ$186 =$D22,         1,        0),    )  ))</f>
        <v>0</v>
      </c>
      <c r="AL22" s="1">
        <f t="array" aca="1" ref="AL22" ca="1">SUM(  IF($C$12 = "All IT",    IF(AL$31:AL$186 =$D22,       1,      0),    IF($D$31:$D$186 = $C$12,      IF(AL$31:AL$186 =$D22,         1,        0),    )  ))</f>
        <v>0</v>
      </c>
      <c r="AN22" s="1">
        <f t="array" aca="1" ref="AN22" ca="1">SUM(  IF($C$12 = "All IT",    IF(AN$31:AN$186 =$D22,       1,      0),    IF($D$31:$D$186 = $C$12,      IF(AN$31:AN$186 =$D22,         1,        0),    )  ))</f>
        <v>0</v>
      </c>
      <c r="AP22" s="1">
        <f t="array" aca="1" ref="AP22" ca="1">SUM(  IF($C$12 = "All IT",    IF(AP$31:AP$186 =$D22,       1,      0),    IF($D$31:$D$186 = $C$12,      IF(AP$31:AP$186 =$D22,         1,        0),    )  ))</f>
        <v>0</v>
      </c>
      <c r="AR22" s="1">
        <f t="array" aca="1" ref="AR22" ca="1">SUM(  IF($C$12 = "All IT",    IF(AR$31:AR$186 =$D22,       1,      0),    IF($D$31:$D$186 = $C$12,      IF(AR$31:AR$186 =$D22,         1,        0),    )  ))</f>
        <v>0</v>
      </c>
    </row>
    <row r="23" spans="1:46">
      <c r="B23" s="40" t="s">
        <v>426</v>
      </c>
      <c r="C23" s="40">
        <f t="array" aca="1" ref="C23" ca="1">IF($C$12="All IT",$C$14-$C$13+1,SUM(IF(INDIRECT("R"&amp;$C$13&amp;"C4:R"&amp;$C$14&amp;"C4",FALSE) = $C$12,1,0)))</f>
        <v>7</v>
      </c>
      <c r="F23" s="1">
        <f ca="1">SUM(F16:F22)</f>
        <v>7</v>
      </c>
      <c r="H23" s="1">
        <f ca="1">SUM(F16:F22)</f>
        <v>7</v>
      </c>
      <c r="J23" s="1">
        <f ca="1">SUM(F16:F22)</f>
        <v>7</v>
      </c>
      <c r="L23" s="1">
        <f ca="1">SUM(F16:F22)</f>
        <v>7</v>
      </c>
      <c r="N23" s="1">
        <f ca="1">SUM(F16:F22)</f>
        <v>7</v>
      </c>
      <c r="P23" s="1">
        <f ca="1">SUM(F16:F22)</f>
        <v>7</v>
      </c>
      <c r="R23" s="1">
        <f ca="1">SUM(F16:F22)</f>
        <v>7</v>
      </c>
      <c r="T23" s="1">
        <f ca="1">SUM(F16:F22)</f>
        <v>7</v>
      </c>
      <c r="V23" s="1">
        <f ca="1">SUM(F16:F22)</f>
        <v>7</v>
      </c>
      <c r="X23" s="1">
        <f ca="1">SUM(F16:F22)</f>
        <v>7</v>
      </c>
      <c r="Z23" s="1">
        <f ca="1">SUM(F16:F22)</f>
        <v>7</v>
      </c>
      <c r="AB23" s="1">
        <f ca="1">SUM(F16:F22)</f>
        <v>7</v>
      </c>
      <c r="AD23" s="1">
        <f ca="1">SUM(F16:F22)</f>
        <v>7</v>
      </c>
      <c r="AF23" s="1">
        <f ca="1">SUM(F16:F22)</f>
        <v>7</v>
      </c>
      <c r="AH23" s="1">
        <f ca="1">SUM(F16:F22)</f>
        <v>7</v>
      </c>
      <c r="AJ23" s="1">
        <f ca="1">SUM(F16:F22)</f>
        <v>7</v>
      </c>
      <c r="AL23" s="1">
        <f ca="1">SUM(F16:F22)</f>
        <v>7</v>
      </c>
      <c r="AN23" s="1">
        <f ca="1">SUM(F16:F22)</f>
        <v>7</v>
      </c>
      <c r="AP23" s="1">
        <f ca="1">SUM(F16:F22)</f>
        <v>7</v>
      </c>
      <c r="AR23" s="1">
        <f ca="1">SUM(F16:F22)</f>
        <v>7</v>
      </c>
    </row>
    <row r="24" spans="1:46">
      <c r="B24" s="480" t="s">
        <v>1139</v>
      </c>
      <c r="C24" s="37">
        <f>AVERAGE($F24, $H24, $J24, $L24, $N24, $P24, $R24, $T24, $V24, $X24, $Z24, $AB24, $AD24, $AF24, $AH24, $AJ24, $AL24, $AN24, $AP24, $AR24)</f>
        <v>3.8162302903951506</v>
      </c>
      <c r="F24" s="38">
        <f t="array" ref="F24">AVERAGE(   IF(F$31:F$186 &lt; 6,       F$31:F$186,       ""    ))</f>
        <v>3.6025641025641026</v>
      </c>
      <c r="H24" s="38">
        <f t="array" ref="H24">AVERAGE(   IF(H$31:H$186 &lt; 6,       H$31:H$186,       ""    ))</f>
        <v>3.75</v>
      </c>
      <c r="J24" s="38">
        <f t="array" ref="J24">AVERAGE(   IF(J$31:J$186 &lt; 6,       J$31:J$186,       ""    ))</f>
        <v>3.774193548387097</v>
      </c>
      <c r="L24" s="38">
        <f t="array" ref="L24">AVERAGE(   IF(L$31:L$186 &lt; 6,       L$31:L$186,       ""    ))</f>
        <v>3.8026315789473686</v>
      </c>
      <c r="N24" s="38">
        <f t="array" ref="N24">AVERAGE(   IF(N$31:N$186 &lt; 6,       N$31:N$186,       ""    ))</f>
        <v>3.8461538461538463</v>
      </c>
      <c r="P24" s="38">
        <f t="array" ref="P24">AVERAGE(   IF(P$31:P$186 &lt; 6,       P$31:P$186,       ""    ))</f>
        <v>4.1602564102564106</v>
      </c>
      <c r="R24" s="38">
        <f t="array" ref="R24">AVERAGE(   IF(R$31:R$186 &lt; 6,       R$31:R$186,       ""    ))</f>
        <v>4.2287581699346406</v>
      </c>
      <c r="T24" s="38">
        <f t="array" ref="T24">AVERAGE(   IF(T$31:T$186 &lt; 6,       T$31:T$186,       ""    ))</f>
        <v>4.2307692307692308</v>
      </c>
      <c r="V24" s="38">
        <f t="array" ref="V24">AVERAGE(   IF(V$31:V$186 &lt; 6,       V$31:V$186,       ""    ))</f>
        <v>3.7628205128205128</v>
      </c>
      <c r="X24" s="38">
        <f t="array" ref="X24">AVERAGE(   IF(X$31:X$186 &lt; 6,       X$31:X$186,       ""    ))</f>
        <v>3.9102564102564101</v>
      </c>
      <c r="Z24" s="38">
        <f t="array" ref="Z24">AVERAGE(   IF(Z$31:Z$186 &lt; 6,       Z$31:Z$186,       ""    ))</f>
        <v>4.0769230769230766</v>
      </c>
      <c r="AB24" s="38">
        <f t="array" ref="AB24">AVERAGE(   IF(AB$31:AB$186 &lt; 6,       AB$31:AB$186,       ""    ))</f>
        <v>4.1794871794871797</v>
      </c>
      <c r="AD24" s="38">
        <f t="array" ref="AD24">AVERAGE(   IF(AD$31:AD$186 &lt; 6,       AD$31:AD$186,       ""    ))</f>
        <v>3.651006711409396</v>
      </c>
      <c r="AF24" s="38">
        <f t="array" ref="AF24">AVERAGE(   IF(AF$31:AF$186 &lt; 6,       AF$31:AF$186,       ""    ))</f>
        <v>3.56</v>
      </c>
      <c r="AH24" s="38">
        <f t="array" ref="AH24">AVERAGE(   IF(AH$31:AH$186 &lt; 6,       AH$31:AH$186,       ""    ))</f>
        <v>3.8758169934640523</v>
      </c>
      <c r="AJ24" s="38">
        <f t="array" ref="AJ24">AVERAGE(   IF(AJ$31:AJ$186 &lt; 6,       AJ$31:AJ$186,       ""    ))</f>
        <v>3.5833333333333335</v>
      </c>
      <c r="AL24" s="38">
        <f t="array" ref="AL24">AVERAGE(   IF(AL$31:AL$186 &lt; 6,       AL$31:AL$186,       ""    ))</f>
        <v>3.3066666666666666</v>
      </c>
      <c r="AN24" s="38">
        <f t="array" ref="AN24">AVERAGE(   IF(AN$31:AN$186 &lt; 6,       AN$31:AN$186,       ""    ))</f>
        <v>3.9166666666666665</v>
      </c>
      <c r="AP24" s="38">
        <f t="array" ref="AP24">AVERAGE(   IF(AP$31:AP$186 &lt; 6,       AP$31:AP$186,       ""    ))</f>
        <v>3.62</v>
      </c>
      <c r="AR24" s="38">
        <f t="array" ref="AR24">AVERAGE(   IF(AR$31:AR$186 &lt; 6,       AR$31:AR$186,       ""    ))</f>
        <v>3.4863013698630136</v>
      </c>
    </row>
    <row r="25" spans="1:46">
      <c r="B25" s="480" t="s">
        <v>1140</v>
      </c>
      <c r="C25" s="37">
        <f ca="1">AVERAGE($F25, $H25, $J25, $L25, $N25, $P25, $R25, $T25, $V25, $X25, $Z25, $AB25, $AD25, $AF25, $AH25, $AJ25, $AL25, $AN25, $AP25, $AR25)</f>
        <v>0.65786956799838792</v>
      </c>
      <c r="E25" s="40" t="s">
        <v>429</v>
      </c>
      <c r="F25" s="38">
        <f t="array" aca="1" ref="F25" ca="1">STDEVP(  IF($C$12 = "All IT",    IF(F$31:F$186 &lt; 6,       F$31:F$186,       ""    ),    IF($C$12 = $D$31:$D$186,      IF(F$31:F$186 &lt; 6,         F$31:F$186,         ""      )    )  ))</f>
        <v>0.53452248382484879</v>
      </c>
      <c r="H25" s="38">
        <f t="array" aca="1" ref="H25" ca="1">STDEVP(  IF($C$12 = "All IT",    IF(H$31:H$186 &lt; 6,       H$31:H$186,       ""    ),    IF($C$12 = $D$31:$D$186,      IF(H$31:H$186 &lt; 6,         H$31:H$186,         ""      )    )  ))</f>
        <v>0.53452248382484879</v>
      </c>
      <c r="J25" s="38">
        <f t="array" aca="1" ref="J25" ca="1">STDEVP(  IF($C$12 = "All IT",    IF(J$31:J$186 &lt; 6,       J$31:J$186,       ""    ),    IF($C$12 = $D$31:$D$186,      IF(J$31:J$186 &lt; 6,         J$31:J$186,         ""      )    )  ))</f>
        <v>0</v>
      </c>
      <c r="L25" s="38">
        <f t="array" aca="1" ref="L25" ca="1">STDEVP(  IF($C$12 = "All IT",    IF(L$31:L$186 &lt; 6,       L$31:L$186,       ""    ),    IF($C$12 = $D$31:$D$186,      IF(L$31:L$186 &lt; 6,         L$31:L$186,         ""      )    )  ))</f>
        <v>0.6998542122237652</v>
      </c>
      <c r="N25" s="38">
        <f t="array" aca="1" ref="N25" ca="1">STDEVP(  IF($C$12 = "All IT",    IF(N$31:N$186 &lt; 6,       N$31:N$186,       ""    ),    IF($C$12 = $D$31:$D$186,      IF(N$31:N$186 &lt; 6,         N$31:N$186,         ""      )    )  ))</f>
        <v>0.49487165930539351</v>
      </c>
      <c r="P25" s="38">
        <f t="array" aca="1" ref="P25" ca="1">STDEVP(  IF($C$12 = "All IT",    IF(P$31:P$186 &lt; 6,       P$31:P$186,       ""    ),    IF($C$12 = $D$31:$D$186,      IF(P$31:P$186 &lt; 6,         P$31:P$186,         ""      )    )  ))</f>
        <v>0.83299312783504287</v>
      </c>
      <c r="R25" s="38">
        <f t="array" aca="1" ref="R25" ca="1">STDEVP(  IF($C$12 = "All IT",    IF(R$31:R$186 &lt; 6,       R$31:R$186,       ""    ),    IF($C$12 = $D$31:$D$186,      IF(R$31:R$186 &lt; 6,         R$31:R$186,         ""      )    )  ))</f>
        <v>0.98974331861078702</v>
      </c>
      <c r="T25" s="38">
        <f t="array" aca="1" ref="T25" ca="1">STDEVP(  IF($C$12 = "All IT",    IF(T$31:T$186 &lt; 6,       T$31:T$186,       ""    ),    IF($C$12 = $D$31:$D$186,      IF(T$31:T$186 &lt; 6,         T$31:T$186,         ""      )    )  ))</f>
        <v>0.49487165930539351</v>
      </c>
      <c r="V25" s="38">
        <f t="array" aca="1" ref="V25" ca="1">STDEVP(  IF($C$12 = "All IT",    IF(V$31:V$186 &lt; 6,       V$31:V$186,       ""    ),    IF($C$12 = $D$31:$D$186,      IF(V$31:V$186 &lt; 6,         V$31:V$186,         ""      )    )  ))</f>
        <v>0.88063057185271088</v>
      </c>
      <c r="X25" s="38">
        <f t="array" aca="1" ref="X25" ca="1">STDEVP(  IF($C$12 = "All IT",    IF(X$31:X$186 &lt; 6,       X$31:X$186,       ""    ),    IF($C$12 = $D$31:$D$186,      IF(X$31:X$186 &lt; 6,         X$31:X$186,         ""      )    )  ))</f>
        <v>0.3499271061118826</v>
      </c>
      <c r="Z25" s="38">
        <f t="array" aca="1" ref="Z25" ca="1">STDEVP(  IF($C$12 = "All IT",    IF(Z$31:Z$186 &lt; 6,       Z$31:Z$186,       ""    ),    IF($C$12 = $D$31:$D$186,      IF(Z$31:Z$186 &lt; 6,         Z$31:Z$186,         ""      )    )  ))</f>
        <v>0.6998542122237652</v>
      </c>
      <c r="AB25" s="38">
        <f t="array" aca="1" ref="AB25" ca="1">STDEVP(  IF($C$12 = "All IT",    IF(AB$31:AB$186 &lt; 6,       AB$31:AB$186,       ""    ),    IF($C$12 = $D$31:$D$186,      IF(AB$31:AB$186 &lt; 6,         AB$31:AB$186,         ""      )    )  ))</f>
        <v>0.49487165930539351</v>
      </c>
      <c r="AD25" s="38">
        <f t="array" aca="1" ref="AD25" ca="1">STDEVP(  IF($C$12 = "All IT",    IF(AD$31:AD$186 &lt; 6,       AD$31:AD$186,       ""    ),    IF($C$12 = $D$31:$D$186,      IF(AD$31:AD$186 &lt; 6,         AD$31:AD$186,         ""      )    )  ))</f>
        <v>0.72843135908468359</v>
      </c>
      <c r="AF25" s="38">
        <f t="array" aca="1" ref="AF25" ca="1">STDEVP(  IF($C$12 = "All IT",    IF(AF$31:AF$186 &lt; 6,       AF$31:AF$186,       ""    ),    IF($C$12 = $D$31:$D$186,      IF(AF$31:AF$186 &lt; 6,         AF$31:AF$186,         ""      )    )  ))</f>
        <v>0.6998542122237652</v>
      </c>
      <c r="AH25" s="38">
        <f t="array" aca="1" ref="AH25" ca="1">STDEVP(  IF($C$12 = "All IT",    IF(AH$31:AH$186 &lt; 6,       AH$31:AH$186,       ""    ),    IF($C$12 = $D$31:$D$186,      IF(AH$31:AH$186 &lt; 6,         AH$31:AH$186,         ""      )    )  ))</f>
        <v>0.6998542122237652</v>
      </c>
      <c r="AJ25" s="38">
        <f t="array" aca="1" ref="AJ25" ca="1">STDEVP(  IF($C$12 = "All IT",    IF(AJ$31:AJ$186 &lt; 6,       AJ$31:AJ$186,       ""    ),    IF($C$12 = $D$31:$D$186,      IF(AJ$31:AJ$186 &lt; 6,         AJ$31:AJ$186,         ""      )    )  ))</f>
        <v>0.57735026918962573</v>
      </c>
      <c r="AL25" s="38">
        <f t="array" aca="1" ref="AL25" ca="1">STDEVP(  IF($C$12 = "All IT",    IF(AL$31:AL$186 &lt; 6,       AL$31:AL$186,       ""    ),    IF($C$12 = $D$31:$D$186,      IF(AL$31:AL$186 &lt; 6,         AL$31:AL$186,         ""      )    )  ))</f>
        <v>0.9574271077563381</v>
      </c>
      <c r="AN25" s="38">
        <f t="array" aca="1" ref="AN25" ca="1">STDEVP(  IF($C$12 = "All IT",    IF(AN$31:AN$186 &lt; 6,       AN$31:AN$186,       ""    ),    IF($C$12 = $D$31:$D$186,      IF(AN$31:AN$186 &lt; 6,         AN$31:AN$186,         ""      )    )  ))</f>
        <v>0.53452248382484879</v>
      </c>
      <c r="AP25" s="38">
        <f t="array" aca="1" ref="AP25" ca="1">STDEVP(  IF($C$12 = "All IT",    IF(AP$31:AP$186 &lt; 6,       AP$31:AP$186,       ""    ),    IF($C$12 = $D$31:$D$186,      IF(AP$31:AP$186 &lt; 6,         AP$31:AP$186,         ""      )    )  ))</f>
        <v>0.90350790290525129</v>
      </c>
      <c r="AR25" s="38">
        <f t="array" aca="1" ref="AR25" ca="1">STDEVP(  IF($C$12 = "All IT",    IF(AR$31:AR$186 &lt; 6,       AR$31:AR$186,       ""    ),    IF($C$12 = $D$31:$D$186,      IF(AR$31:AR$186 &lt; 6,         AR$31:AR$186,         ""      )    )  ))</f>
        <v>1.0497813183356477</v>
      </c>
    </row>
    <row r="26" spans="1:46">
      <c r="B26" s="480" t="s">
        <v>1155</v>
      </c>
      <c r="C26" s="37">
        <f ca="1">AVERAGE($F26, $H26, $J26, $L26, $N26, $P26, $R26, $T26, $V26, $X26, $Z26, $AB26, $AD26, $AF26, $AH26, $AJ26, $AL26, $AN26, $AP26, $AR26)</f>
        <v>4.0821428571428573</v>
      </c>
      <c r="E26" s="40" t="s">
        <v>430</v>
      </c>
      <c r="F26" s="38">
        <f t="array" aca="1" ref="F26" ca="1">AVERAGE(  IF($C$12 = "All IT",    IF(F$31:F$186 &lt; 6,       F$31:F$186,       ""    ),    IF($C$12 = $D$31:$D$186,      IF(F$31:F$186 &lt; 6,         F$31:F$186,         ""      )    )  ))</f>
        <v>4</v>
      </c>
      <c r="H26" s="38">
        <f t="array" aca="1" ref="H26" ca="1">AVERAGE(  IF($C$12 = "All IT",    IF(H$31:H$186 &lt; 6,       H$31:H$186,       ""    ),    IF($C$12 = $D$31:$D$186,      IF(H$31:H$186 &lt; 6,         H$31:H$186,         ""      )    )  ))</f>
        <v>4</v>
      </c>
      <c r="J26" s="38">
        <f t="array" aca="1" ref="J26" ca="1">AVERAGE(  IF($C$12 = "All IT",    IF(J$31:J$186 &lt; 6,       J$31:J$186,       ""    ),    IF($C$12 = $D$31:$D$186,      IF(J$31:J$186 &lt; 6,         J$31:J$186,         ""      )    )  ))</f>
        <v>4</v>
      </c>
      <c r="L26" s="38">
        <f t="array" aca="1" ref="L26" ca="1">AVERAGE(  IF($C$12 = "All IT",    IF(L$31:L$186 &lt; 6,       L$31:L$186,       ""    ),    IF($C$12 = $D$31:$D$186,      IF(L$31:L$186 &lt; 6,         L$31:L$186,         ""      )    )  ))</f>
        <v>4.2857142857142856</v>
      </c>
      <c r="N26" s="38">
        <f t="array" aca="1" ref="N26" ca="1">AVERAGE(  IF($C$12 = "All IT",    IF(N$31:N$186 &lt; 6,       N$31:N$186,       ""    ),    IF($C$12 = $D$31:$D$186,      IF(N$31:N$186 &lt; 6,         N$31:N$186,         ""      )    )  ))</f>
        <v>4.5714285714285712</v>
      </c>
      <c r="P26" s="38">
        <f t="array" aca="1" ref="P26" ca="1">AVERAGE(  IF($C$12 = "All IT",    IF(P$31:P$186 &lt; 6,       P$31:P$186,       ""    ),    IF($C$12 = $D$31:$D$186,      IF(P$31:P$186 &lt; 6,         P$31:P$186,         ""      )    )  ))</f>
        <v>4.1428571428571432</v>
      </c>
      <c r="R26" s="38">
        <f t="array" aca="1" ref="R26" ca="1">AVERAGE(  IF($C$12 = "All IT",    IF(R$31:R$186 &lt; 6,       R$31:R$186,       ""    ),    IF($C$12 = $D$31:$D$186,      IF(R$31:R$186 &lt; 6,         R$31:R$186,         ""      )    )  ))</f>
        <v>4.1428571428571432</v>
      </c>
      <c r="T26" s="38">
        <f t="array" aca="1" ref="T26" ca="1">AVERAGE(  IF($C$12 = "All IT",    IF(T$31:T$186 &lt; 6,       T$31:T$186,       ""    ),    IF($C$12 = $D$31:$D$186,      IF(T$31:T$186 &lt; 6,         T$31:T$186,         ""      )    )  ))</f>
        <v>4.4285714285714288</v>
      </c>
      <c r="V26" s="38">
        <f t="array" aca="1" ref="V26" ca="1">AVERAGE(  IF($C$12 = "All IT",    IF(V$31:V$186 &lt; 6,       V$31:V$186,       ""    ),    IF($C$12 = $D$31:$D$186,      IF(V$31:V$186 &lt; 6,         V$31:V$186,         ""      )    )  ))</f>
        <v>3.7142857142857144</v>
      </c>
      <c r="X26" s="38">
        <f t="array" aca="1" ref="X26" ca="1">AVERAGE(  IF($C$12 = "All IT",    IF(X$31:X$186 &lt; 6,       X$31:X$186,       ""    ),    IF($C$12 = $D$31:$D$186,      IF(X$31:X$186 &lt; 6,         X$31:X$186,         ""      )    )  ))</f>
        <v>4.1428571428571432</v>
      </c>
      <c r="Z26" s="38">
        <f t="array" aca="1" ref="Z26" ca="1">AVERAGE(  IF($C$12 = "All IT",    IF(Z$31:Z$186 &lt; 6,       Z$31:Z$186,       ""    ),    IF($C$12 = $D$31:$D$186,      IF(Z$31:Z$186 &lt; 6,         Z$31:Z$186,         ""      )    )  ))</f>
        <v>4.2857142857142856</v>
      </c>
      <c r="AB26" s="38">
        <f t="array" aca="1" ref="AB26" ca="1">AVERAGE(  IF($C$12 = "All IT",    IF(AB$31:AB$186 &lt; 6,       AB$31:AB$186,       ""    ),    IF($C$12 = $D$31:$D$186,      IF(AB$31:AB$186 &lt; 6,         AB$31:AB$186,         ""      )    )  ))</f>
        <v>4.4285714285714288</v>
      </c>
      <c r="AD26" s="38">
        <f t="array" aca="1" ref="AD26" ca="1">AVERAGE(  IF($C$12 = "All IT",    IF(AD$31:AD$186 &lt; 6,       AD$31:AD$186,       ""    ),    IF($C$12 = $D$31:$D$186,      IF(AD$31:AD$186 &lt; 6,         AD$31:AD$186,         ""      )    )  ))</f>
        <v>4.4285714285714288</v>
      </c>
      <c r="AF26" s="38">
        <f t="array" aca="1" ref="AF26" ca="1">AVERAGE(  IF($C$12 = "All IT",    IF(AF$31:AF$186 &lt; 6,       AF$31:AF$186,       ""    ),    IF($C$12 = $D$31:$D$186,      IF(AF$31:AF$186 &lt; 6,         AF$31:AF$186,         ""      )    )  ))</f>
        <v>4.2857142857142856</v>
      </c>
      <c r="AH26" s="38">
        <f t="array" aca="1" ref="AH26" ca="1">AVERAGE(  IF($C$12 = "All IT",    IF(AH$31:AH$186 &lt; 6,       AH$31:AH$186,       ""    ),    IF($C$12 = $D$31:$D$186,      IF(AH$31:AH$186 &lt; 6,         AH$31:AH$186,         ""      )    )  ))</f>
        <v>4.2857142857142856</v>
      </c>
      <c r="AJ26" s="38">
        <f t="array" aca="1" ref="AJ26" ca="1">AVERAGE(  IF($C$12 = "All IT",    IF(AJ$31:AJ$186 &lt; 6,       AJ$31:AJ$186,       ""    ),    IF($C$12 = $D$31:$D$186,      IF(AJ$31:AJ$186 &lt; 6,         AJ$31:AJ$186,         ""      )    )  ))</f>
        <v>4</v>
      </c>
      <c r="AL26" s="38">
        <f t="array" aca="1" ref="AL26" ca="1">AVERAGE(  IF($C$12 = "All IT",    IF(AL$31:AL$186 &lt; 6,       AL$31:AL$186,       ""    ),    IF($C$12 = $D$31:$D$186,      IF(AL$31:AL$186 &lt; 6,         AL$31:AL$186,         ""      )    )  ))</f>
        <v>3.5</v>
      </c>
      <c r="AN26" s="38">
        <f t="array" aca="1" ref="AN26" ca="1">AVERAGE(  IF($C$12 = "All IT",    IF(AN$31:AN$186 &lt; 6,       AN$31:AN$186,       ""    ),    IF($C$12 = $D$31:$D$186,      IF(AN$31:AN$186 &lt; 6,         AN$31:AN$186,         ""      )    )  ))</f>
        <v>4</v>
      </c>
      <c r="AP26" s="38">
        <f t="array" aca="1" ref="AP26" ca="1">AVERAGE(  IF($C$12 = "All IT",    IF(AP$31:AP$186 &lt; 6,       AP$31:AP$186,       ""    ),    IF($C$12 = $D$31:$D$186,      IF(AP$31:AP$186 &lt; 6,         AP$31:AP$186,         ""      )    )  ))</f>
        <v>3.5714285714285716</v>
      </c>
      <c r="AR26" s="38">
        <f t="array" aca="1" ref="AR26" ca="1">AVERAGE(  IF($C$12 = "All IT",    IF(AR$31:AR$186 &lt; 6,       AR$31:AR$186,       ""    ),    IF($C$12 = $D$31:$D$186,      IF(AR$31:AR$186 &lt; 6,         AR$31:AR$186,         ""      )    )  ))</f>
        <v>3.4285714285714284</v>
      </c>
    </row>
    <row r="27" spans="1:46">
      <c r="E27" s="40" t="s">
        <v>431</v>
      </c>
    </row>
    <row r="28" spans="1:46">
      <c r="E28" s="40" t="s">
        <v>432</v>
      </c>
      <c r="F28" s="645" t="str">
        <f ca="1">LOOKUP(F$30, INDIRECT("'" &amp; $C$6 &amp; "'!" &amp; INDIRECT("'" &amp; $C$6 &amp; "'!" &amp; $C$7)))</f>
        <v>The recognition I receive is appropriate for the contributions that I make.</v>
      </c>
      <c r="G28" s="645"/>
      <c r="H28" s="645" t="str">
        <f ca="1">LOOKUP(H$30, INDIRECT("'" &amp; $C$6 &amp; "'!" &amp; INDIRECT("'" &amp; $C$6 &amp; "'!" &amp; $C$7)))</f>
        <v>I am aware of the options available to express my opinion and feel it is taken into account.</v>
      </c>
      <c r="I28" s="645"/>
      <c r="J28" s="645" t="str">
        <f ca="1">LOOKUP(J$30, INDIRECT("'" &amp; $C$6 &amp; "'!" &amp; INDIRECT("'" &amp; $C$6 &amp; "'!" &amp; $C$7)))</f>
        <v>I am adequately trained to do my job.</v>
      </c>
      <c r="K28" s="645"/>
      <c r="L28" s="645" t="str">
        <f ca="1">LOOKUP(L$30, INDIRECT("'" &amp; $C$6 &amp; "'!" &amp; INDIRECT("'" &amp; $C$6 &amp; "'!" &amp; $C$7)))</f>
        <v>I feel I am adequately trained to apply the LDM to my work.</v>
      </c>
      <c r="M28" s="645"/>
      <c r="N28" s="645" t="str">
        <f ca="1">LOOKUP(N$30, INDIRECT("'" &amp; $C$6 &amp; "'!" &amp; INDIRECT("'" &amp; $C$6 &amp; "'!" &amp; $C$7)))</f>
        <v>I have the tools, materials and equipment to accomplish my job.</v>
      </c>
      <c r="O28" s="645"/>
      <c r="P28" s="645" t="str">
        <f ca="1">LOOKUP(P$30, INDIRECT("'" &amp; $C$6 &amp; "'!" &amp; INDIRECT("'" &amp; $C$6 &amp; "'!" &amp; $C$7)))</f>
        <v>I understand and support the Life IT Vision and Mission.</v>
      </c>
      <c r="Q28" s="645"/>
      <c r="R28" s="645" t="str">
        <f ca="1">LOOKUP(R$30, INDIRECT("'" &amp; $C$6 &amp; "'!" &amp; INDIRECT("'" &amp; $C$6 &amp; "'!" &amp; $C$7)))</f>
        <v>I understand my customers and their expectations of me and my team.</v>
      </c>
      <c r="S28" s="645"/>
      <c r="T28" s="645" t="str">
        <f ca="1">LOOKUP(T$30, INDIRECT("'" &amp; $C$6 &amp; "'!" &amp; INDIRECT("'" &amp; $C$6 &amp; "'!" &amp; $C$7)))</f>
        <v>I understand my job responsibilities and work related roles.</v>
      </c>
      <c r="U28" s="645"/>
      <c r="V28" s="645" t="str">
        <f ca="1">LOOKUP(V$30, INDIRECT("'" &amp; $C$6 &amp; "'!" &amp; INDIRECT("'" &amp; $C$6 &amp; "'!" &amp; $C$7)))</f>
        <v>I understand how I am being evaluated.</v>
      </c>
      <c r="W28" s="645"/>
      <c r="X28" s="645" t="str">
        <f ca="1">LOOKUP(X$30, INDIRECT("'" &amp; $C$6 &amp; "'!" &amp; INDIRECT("'" &amp; $C$6 &amp; "'!" &amp; $C$7)))</f>
        <v>I feel that I meet frequently enough with my supervisor to discuss and review my performance.</v>
      </c>
      <c r="Y28" s="645"/>
      <c r="Z28" s="645" t="str">
        <f ca="1">LOOKUP(Z$30, INDIRECT("'" &amp; $C$6 &amp; "'!" &amp; INDIRECT("'" &amp; $C$6 &amp; "'!" &amp; $C$7)))</f>
        <v>My supervisor communicates effectively with me.</v>
      </c>
      <c r="AA28" s="645"/>
      <c r="AB28" s="645" t="str">
        <f ca="1">LOOKUP(AB$30, INDIRECT("'" &amp; $C$6 &amp; "'!" &amp; INDIRECT("'" &amp; $C$6 &amp; "'!" &amp; $C$7)))</f>
        <v>I have sufficient access to my supervisor to meet my needs.</v>
      </c>
      <c r="AC28" s="645"/>
      <c r="AD28" s="645" t="str">
        <f ca="1">LOOKUP(AD$30, INDIRECT("'" &amp; $C$6 &amp; "'!" &amp; INDIRECT("'" &amp; $C$6 &amp; "'!" &amp; $C$7)))</f>
        <v>My team is able to appropriately size and tailor the LDM for the kinds of work we do.</v>
      </c>
      <c r="AE28" s="645"/>
      <c r="AF28" s="645" t="str">
        <f ca="1">LOOKUP(AF$30, INDIRECT("'" &amp; $C$6 &amp; "'!" &amp; INDIRECT("'" &amp; $C$6 &amp; "'!" &amp; $C$7)))</f>
        <v>The LDM enables me and my team be more effective in the work we perform.</v>
      </c>
      <c r="AG28" s="645"/>
      <c r="AH28" s="645" t="str">
        <f ca="1">LOOKUP(AH$30, INDIRECT("'" &amp; $C$6 &amp; "'!" &amp; INDIRECT("'" &amp; $C$6 &amp; "'!" &amp; $C$7)))</f>
        <v>My work products are regularly reviewed by others.</v>
      </c>
      <c r="AI28" s="645"/>
      <c r="AJ28" s="645" t="str">
        <f ca="1">LOOKUP(AJ$30, INDIRECT("'" &amp; $C$6 &amp; "'!" &amp; INDIRECT("'" &amp; $C$6 &amp; "'!" &amp; $C$7)))</f>
        <v>I regularly participate in the review of other people's work products.</v>
      </c>
      <c r="AK28" s="645"/>
      <c r="AL28" s="645" t="str">
        <f ca="1">LOOKUP(AL$30, INDIRECT("'" &amp; $C$6 &amp; "'!" &amp; INDIRECT("'" &amp; $C$6 &amp; "'!" &amp; $C$7)))</f>
        <v>I understand how my team's Scorecard is created and the impact I can have on it.</v>
      </c>
      <c r="AM28" s="645"/>
      <c r="AN28" s="645" t="str">
        <f ca="1">LOOKUP(AN$30, INDIRECT("'" &amp; $C$6 &amp; "'!" &amp; INDIRECT("'" &amp; $C$6 &amp; "'!" &amp; $C$7)))</f>
        <v>I feel other members of my team are working diligently and effectively.</v>
      </c>
      <c r="AO28" s="645"/>
      <c r="AP28" s="645" t="str">
        <f ca="1">LOOKUP(AP$30, INDIRECT("'" &amp; $C$6 &amp; "'!" &amp; INDIRECT("'" &amp; $C$6 &amp; "'!" &amp; $C$7)))</f>
        <v>I feel other IT teams are working diligently and effectively.</v>
      </c>
      <c r="AQ28" s="645"/>
      <c r="AR28" s="645" t="str">
        <f ca="1">LOOKUP(AR$30, INDIRECT("'" &amp; $C$6 &amp; "'!" &amp; INDIRECT("'" &amp; $C$6 &amp; "'!" &amp; $C$7)))</f>
        <v>When we have been dependent on work from other teams (in the last 6 months), it was delivered on time, and as committed.</v>
      </c>
      <c r="AS28" s="645"/>
      <c r="AT28" s="1" t="str">
        <f ca="1">LOOKUP(AT$30, INDIRECT("'" &amp; $C$6 &amp; "'!" &amp; INDIRECT("'" &amp; $C$6 &amp; "'!" &amp; $C$7)))</f>
        <v>Are there any other comments you would like to share?</v>
      </c>
    </row>
    <row r="29" spans="1:46">
      <c r="E29" s="40" t="s">
        <v>433</v>
      </c>
      <c r="G29" s="1" t="str">
        <f ca="1">LOOKUP(G$30, INDIRECT("'" &amp; $C$6 &amp; "'!" &amp; INDIRECT("'" &amp; $C$6 &amp; "'!" &amp; $C$7)))</f>
        <v>If you disagree, please describe the kind of recognition you would like to receive:</v>
      </c>
      <c r="I29" s="1" t="str">
        <f ca="1">LOOKUP(I$30, INDIRECT("'" &amp; $C$6 &amp; "'!" &amp; INDIRECT("'" &amp; $C$6 &amp; "'!" &amp; $C$7)))</f>
        <v>If you disagree, please describe:</v>
      </c>
      <c r="K29" s="1" t="str">
        <f ca="1">LOOKUP(K$30, INDIRECT("'" &amp; $C$6 &amp; "'!" &amp; INDIRECT("'" &amp; $C$6 &amp; "'!" &amp; $C$7)))</f>
        <v xml:space="preserve">If you disagree, please describe the training you would like to receive: </v>
      </c>
      <c r="M29" s="1" t="str">
        <f ca="1">LOOKUP(M$30, INDIRECT("'" &amp; $C$6 &amp; "'!" &amp; INDIRECT("'" &amp; $C$6 &amp; "'!" &amp; $C$7)))</f>
        <v>If you disagree, please describe what specific training would you like to receive:</v>
      </c>
      <c r="O29" s="1" t="str">
        <f ca="1">LOOKUP(O$30, INDIRECT("'" &amp; $C$6 &amp; "'!" &amp; INDIRECT("'" &amp; $C$6 &amp; "'!" &amp; $C$7)))</f>
        <v>If you disagree, please describe what you need:</v>
      </c>
      <c r="Q29" s="1" t="str">
        <f ca="1">LOOKUP(Q$30, INDIRECT("'" &amp; $C$6 &amp; "'!" &amp; INDIRECT("'" &amp; $C$6 &amp; "'!" &amp; $C$7)))</f>
        <v>If not, please describe:</v>
      </c>
      <c r="S29" s="1" t="str">
        <f ca="1">LOOKUP(S$30, INDIRECT("'" &amp; $C$6 &amp; "'!" &amp; INDIRECT("'" &amp; $C$6 &amp; "'!" &amp; $C$7)))</f>
        <v>If you disagree, please describe:</v>
      </c>
      <c r="U29" s="1" t="str">
        <f ca="1">LOOKUP(U$30, INDIRECT("'" &amp; $C$6 &amp; "'!" &amp; INDIRECT("'" &amp; $C$6 &amp; "'!" &amp; $C$7)))</f>
        <v>If you disagree, please describe:</v>
      </c>
      <c r="W29" s="1" t="str">
        <f ca="1">LOOKUP(W$30, INDIRECT("'" &amp; $C$6 &amp; "'!" &amp; INDIRECT("'" &amp; $C$6 &amp; "'!" &amp; $C$7)))</f>
        <v>If not, please describe:</v>
      </c>
      <c r="Y29" s="1" t="str">
        <f ca="1">LOOKUP(Y$30, INDIRECT("'" &amp; $C$6 &amp; "'!" &amp; INDIRECT("'" &amp; $C$6 &amp; "'!" &amp; $C$7)))</f>
        <v>If you disagree, please describe:</v>
      </c>
      <c r="AA29" s="1" t="str">
        <f ca="1">LOOKUP(AA$30, INDIRECT("'" &amp; $C$6 &amp; "'!" &amp; INDIRECT("'" &amp; $C$6 &amp; "'!" &amp; $C$7)))</f>
        <v>If you disagree, please describe what would like to see done differently:</v>
      </c>
      <c r="AC29" s="1" t="str">
        <f ca="1">LOOKUP(AC$30, INDIRECT("'" &amp; $C$6 &amp; "'!" &amp; INDIRECT("'" &amp; $C$6 &amp; "'!" &amp; $C$7)))</f>
        <v>If you disagree, please describe:</v>
      </c>
      <c r="AE29" s="1" t="str">
        <f ca="1">LOOKUP(AE$30, INDIRECT("'" &amp; $C$6 &amp; "'!" &amp; INDIRECT("'" &amp; $C$6 &amp; "'!" &amp; $C$7)))</f>
        <v>If you disagree, please describe:</v>
      </c>
      <c r="AG29" s="1" t="str">
        <f ca="1">LOOKUP(AG$30, INDIRECT("'" &amp; $C$6 &amp; "'!" &amp; INDIRECT("'" &amp; $C$6 &amp; "'!" &amp; $C$7)))</f>
        <v>If not, please describe what would be helpful:</v>
      </c>
      <c r="AI29" s="1" t="str">
        <f ca="1">LOOKUP(AI$30, INDIRECT("'" &amp; $C$6 &amp; "'!" &amp; INDIRECT("'" &amp; $C$6 &amp; "'!" &amp; $C$7)))</f>
        <v>If not, please describe:</v>
      </c>
      <c r="AK29" s="1" t="str">
        <f ca="1">LOOKUP(AK$30, INDIRECT("'" &amp; $C$6 &amp; "'!" &amp; INDIRECT("'" &amp; $C$6 &amp; "'!" &amp; $C$7)))</f>
        <v>If not, please describe:</v>
      </c>
      <c r="AM29" s="1" t="str">
        <f ca="1">LOOKUP(AM$30, INDIRECT("'" &amp; $C$6 &amp; "'!" &amp; INDIRECT("'" &amp; $C$6 &amp; "'!" &amp; $C$7)))</f>
        <v>If you not, please describe what would help your understanding:</v>
      </c>
      <c r="AO29" s="1" t="str">
        <f ca="1">LOOKUP(AO$30, INDIRECT("'" &amp; $C$6 &amp; "'!" &amp; INDIRECT("'" &amp; $C$6 &amp; "'!" &amp; $C$7)))</f>
        <v>If not, please describe</v>
      </c>
      <c r="AQ29" s="1" t="str">
        <f ca="1">LOOKUP(AQ$30, INDIRECT("'" &amp; $C$6 &amp; "'!" &amp; INDIRECT("'" &amp; $C$6 &amp; "'!" &amp; $C$7)))</f>
        <v>If you disagree, please describe:</v>
      </c>
      <c r="AS29" s="1" t="str">
        <f ca="1">LOOKUP(AS$30, INDIRECT("'" &amp; $C$6 &amp; "'!" &amp; INDIRECT("'" &amp; $C$6 &amp; "'!" &amp; $C$7)))</f>
        <v>If you disagree, please describe:</v>
      </c>
    </row>
    <row r="30" spans="1:46">
      <c r="A30" s="40" t="s">
        <v>195</v>
      </c>
      <c r="B30" s="40" t="s">
        <v>124</v>
      </c>
      <c r="C30" s="40" t="s">
        <v>419</v>
      </c>
      <c r="D30" s="40" t="s">
        <v>29</v>
      </c>
      <c r="E30" s="40" t="s">
        <v>126</v>
      </c>
      <c r="F30" s="1" t="s">
        <v>127</v>
      </c>
      <c r="G30" s="1" t="s">
        <v>129</v>
      </c>
      <c r="H30" s="1" t="s">
        <v>131</v>
      </c>
      <c r="I30" s="1" t="s">
        <v>132</v>
      </c>
      <c r="J30" s="1" t="s">
        <v>134</v>
      </c>
      <c r="K30" s="1" t="s">
        <v>136</v>
      </c>
      <c r="L30" s="1" t="s">
        <v>138</v>
      </c>
      <c r="M30" s="1" t="s">
        <v>139</v>
      </c>
      <c r="N30" s="1" t="s">
        <v>141</v>
      </c>
      <c r="O30" s="1" t="s">
        <v>143</v>
      </c>
      <c r="P30" s="1" t="s">
        <v>145</v>
      </c>
      <c r="Q30" s="1" t="s">
        <v>147</v>
      </c>
      <c r="R30" s="1" t="s">
        <v>149</v>
      </c>
      <c r="S30" s="1" t="s">
        <v>151</v>
      </c>
      <c r="T30" s="1" t="s">
        <v>152</v>
      </c>
      <c r="U30" s="1" t="s">
        <v>154</v>
      </c>
      <c r="V30" s="1" t="s">
        <v>155</v>
      </c>
      <c r="W30" s="1" t="s">
        <v>157</v>
      </c>
      <c r="X30" s="1" t="s">
        <v>158</v>
      </c>
      <c r="Y30" s="1" t="s">
        <v>160</v>
      </c>
      <c r="Z30" s="1" t="s">
        <v>161</v>
      </c>
      <c r="AA30" s="1" t="s">
        <v>163</v>
      </c>
      <c r="AB30" s="1" t="s">
        <v>165</v>
      </c>
      <c r="AC30" s="1" t="s">
        <v>167</v>
      </c>
      <c r="AD30" s="1" t="s">
        <v>168</v>
      </c>
      <c r="AE30" s="1" t="s">
        <v>170</v>
      </c>
      <c r="AF30" s="1" t="s">
        <v>171</v>
      </c>
      <c r="AG30" s="1" t="s">
        <v>173</v>
      </c>
      <c r="AH30" s="1" t="s">
        <v>175</v>
      </c>
      <c r="AI30" s="1" t="s">
        <v>177</v>
      </c>
      <c r="AJ30" s="1" t="s">
        <v>178</v>
      </c>
      <c r="AK30" s="1" t="s">
        <v>179</v>
      </c>
      <c r="AL30" s="1" t="s">
        <v>180</v>
      </c>
      <c r="AM30" s="1" t="s">
        <v>181</v>
      </c>
      <c r="AN30" s="1" t="s">
        <v>183</v>
      </c>
      <c r="AO30" s="1" t="s">
        <v>185</v>
      </c>
      <c r="AP30" s="1" t="s">
        <v>187</v>
      </c>
      <c r="AQ30" s="1" t="s">
        <v>189</v>
      </c>
      <c r="AR30" s="1" t="s">
        <v>190</v>
      </c>
      <c r="AS30" s="1" t="s">
        <v>192</v>
      </c>
      <c r="AT30" s="1" t="s">
        <v>193</v>
      </c>
    </row>
    <row r="31" spans="1:46">
      <c r="A31" s="36">
        <v>1</v>
      </c>
      <c r="B31" s="36">
        <v>1</v>
      </c>
      <c r="C31" s="36"/>
      <c r="D31" s="36" t="str">
        <f t="shared" ref="D31:D62" ca="1" si="4">LOOKUP(E31,INDIRECT(Team_Name_Lookup))</f>
        <v>IT Service</v>
      </c>
      <c r="E31" s="36">
        <v>9</v>
      </c>
      <c r="F31" s="39">
        <v>4</v>
      </c>
      <c r="G31" s="39"/>
      <c r="H31" s="39">
        <v>2</v>
      </c>
      <c r="I31" s="39"/>
      <c r="J31" s="39">
        <v>3</v>
      </c>
      <c r="K31" s="39"/>
      <c r="L31" s="39">
        <v>4</v>
      </c>
      <c r="M31" s="39"/>
      <c r="N31" s="39">
        <v>2</v>
      </c>
      <c r="O31" s="39"/>
      <c r="P31" s="39">
        <v>3</v>
      </c>
      <c r="Q31" s="39"/>
      <c r="R31" s="39">
        <v>4</v>
      </c>
      <c r="S31" s="39"/>
      <c r="T31" s="39">
        <v>4</v>
      </c>
      <c r="U31" s="39"/>
      <c r="V31" s="39">
        <v>1</v>
      </c>
      <c r="W31" s="39"/>
      <c r="X31" s="39">
        <v>2</v>
      </c>
      <c r="Y31" s="39"/>
      <c r="Z31" s="39">
        <v>3</v>
      </c>
      <c r="AA31" s="39"/>
      <c r="AB31" s="39">
        <v>3</v>
      </c>
      <c r="AC31" s="39"/>
      <c r="AD31" s="39">
        <v>2</v>
      </c>
      <c r="AE31" s="39"/>
      <c r="AF31" s="39">
        <v>3</v>
      </c>
      <c r="AG31" s="39"/>
      <c r="AH31" s="39">
        <v>4</v>
      </c>
      <c r="AI31" s="39"/>
      <c r="AJ31" s="39">
        <v>4</v>
      </c>
      <c r="AK31" s="39"/>
      <c r="AL31" s="39">
        <v>3</v>
      </c>
      <c r="AM31" s="39"/>
      <c r="AN31" s="39">
        <v>3</v>
      </c>
      <c r="AO31" s="39"/>
      <c r="AP31" s="39">
        <v>3</v>
      </c>
      <c r="AQ31" s="39"/>
      <c r="AR31" s="39">
        <v>3</v>
      </c>
      <c r="AS31" s="39"/>
      <c r="AT31" s="39"/>
    </row>
    <row r="32" spans="1:46">
      <c r="A32" s="40">
        <v>2</v>
      </c>
      <c r="B32" s="40">
        <v>1</v>
      </c>
      <c r="D32" s="40" t="str">
        <f t="shared" ca="1" si="4"/>
        <v>Data Services</v>
      </c>
      <c r="E32" s="40">
        <v>1</v>
      </c>
      <c r="F32" s="1">
        <v>4</v>
      </c>
      <c r="H32" s="1">
        <v>4</v>
      </c>
      <c r="J32" s="1">
        <v>3</v>
      </c>
      <c r="L32" s="1">
        <v>3</v>
      </c>
      <c r="N32" s="1">
        <v>4</v>
      </c>
      <c r="P32" s="1">
        <v>3</v>
      </c>
      <c r="R32" s="1">
        <v>4</v>
      </c>
      <c r="T32" s="1">
        <v>4</v>
      </c>
      <c r="V32" s="1">
        <v>3</v>
      </c>
      <c r="X32" s="1">
        <v>5</v>
      </c>
      <c r="Z32" s="1">
        <v>5</v>
      </c>
      <c r="AB32" s="1">
        <v>5</v>
      </c>
      <c r="AD32" s="1">
        <v>3</v>
      </c>
      <c r="AF32" s="1">
        <v>3</v>
      </c>
      <c r="AH32" s="1">
        <v>4</v>
      </c>
      <c r="AJ32" s="1">
        <v>4</v>
      </c>
      <c r="AL32" s="1">
        <v>3</v>
      </c>
      <c r="AN32" s="1">
        <v>5</v>
      </c>
      <c r="AP32" s="1">
        <v>4</v>
      </c>
      <c r="AR32" s="1">
        <v>3</v>
      </c>
    </row>
    <row r="33" spans="1:46">
      <c r="A33" s="40">
        <v>3</v>
      </c>
      <c r="B33" s="40">
        <v>1</v>
      </c>
      <c r="D33" s="40" t="str">
        <f t="shared" ca="1" si="4"/>
        <v>IT Sales</v>
      </c>
      <c r="E33" s="40">
        <v>8</v>
      </c>
      <c r="F33" s="1">
        <v>5</v>
      </c>
      <c r="H33" s="1">
        <v>5</v>
      </c>
      <c r="J33" s="1">
        <v>4</v>
      </c>
      <c r="L33" s="1">
        <v>4</v>
      </c>
      <c r="N33" s="1">
        <v>4</v>
      </c>
      <c r="P33" s="1">
        <v>5</v>
      </c>
      <c r="R33" s="1">
        <v>6</v>
      </c>
      <c r="T33" s="1">
        <v>5</v>
      </c>
      <c r="V33" s="1">
        <v>5</v>
      </c>
      <c r="X33" s="1">
        <v>5</v>
      </c>
      <c r="Z33" s="1">
        <v>5</v>
      </c>
      <c r="AB33" s="1">
        <v>4</v>
      </c>
      <c r="AD33" s="1">
        <v>4</v>
      </c>
      <c r="AF33" s="1">
        <v>4</v>
      </c>
      <c r="AH33" s="1">
        <v>4</v>
      </c>
      <c r="AJ33" s="1">
        <v>4</v>
      </c>
      <c r="AL33" s="1">
        <v>3</v>
      </c>
      <c r="AN33" s="1">
        <v>4</v>
      </c>
      <c r="AP33" s="1">
        <v>4</v>
      </c>
      <c r="AR33" s="1">
        <v>5</v>
      </c>
    </row>
    <row r="34" spans="1:46">
      <c r="A34" s="40">
        <v>4</v>
      </c>
      <c r="B34" s="40">
        <v>1</v>
      </c>
      <c r="D34" s="40" t="str">
        <f t="shared" ca="1" si="4"/>
        <v>IT Sales</v>
      </c>
      <c r="E34" s="40">
        <v>8</v>
      </c>
      <c r="F34" s="1">
        <v>4</v>
      </c>
      <c r="H34" s="1">
        <v>4</v>
      </c>
      <c r="J34" s="1">
        <v>4</v>
      </c>
      <c r="L34" s="1">
        <v>4</v>
      </c>
      <c r="N34" s="1">
        <v>4</v>
      </c>
      <c r="P34" s="1">
        <v>4</v>
      </c>
      <c r="R34" s="1">
        <v>6</v>
      </c>
      <c r="T34" s="1">
        <v>4</v>
      </c>
      <c r="V34" s="1">
        <v>4</v>
      </c>
      <c r="X34" s="1">
        <v>3</v>
      </c>
      <c r="Z34" s="1">
        <v>4</v>
      </c>
      <c r="AB34" s="1">
        <v>5</v>
      </c>
      <c r="AD34" s="1">
        <v>4</v>
      </c>
      <c r="AF34" s="1">
        <v>4</v>
      </c>
      <c r="AH34" s="1">
        <v>4</v>
      </c>
      <c r="AJ34" s="1">
        <v>6</v>
      </c>
      <c r="AL34" s="1">
        <v>3</v>
      </c>
      <c r="AN34" s="1">
        <v>4</v>
      </c>
      <c r="AP34" s="1">
        <v>4</v>
      </c>
      <c r="AR34" s="1">
        <v>2</v>
      </c>
      <c r="AS34" s="1" t="s">
        <v>196</v>
      </c>
    </row>
    <row r="35" spans="1:46">
      <c r="A35" s="40">
        <v>5</v>
      </c>
      <c r="B35" s="40">
        <v>1</v>
      </c>
      <c r="D35" s="40" t="str">
        <f t="shared" ca="1" si="4"/>
        <v>eBusiness</v>
      </c>
      <c r="E35" s="40">
        <v>2</v>
      </c>
      <c r="F35" s="1">
        <v>4</v>
      </c>
      <c r="H35" s="1">
        <v>3</v>
      </c>
      <c r="J35" s="1">
        <v>4</v>
      </c>
      <c r="L35" s="1">
        <v>4</v>
      </c>
      <c r="N35" s="1">
        <v>4</v>
      </c>
      <c r="P35" s="1">
        <v>4</v>
      </c>
      <c r="R35" s="1">
        <v>4</v>
      </c>
      <c r="T35" s="1">
        <v>5</v>
      </c>
      <c r="V35" s="1">
        <v>5</v>
      </c>
      <c r="X35" s="1">
        <v>5</v>
      </c>
      <c r="Z35" s="1">
        <v>5</v>
      </c>
      <c r="AB35" s="1">
        <v>5</v>
      </c>
      <c r="AD35" s="1">
        <v>4</v>
      </c>
      <c r="AF35" s="1">
        <v>4</v>
      </c>
      <c r="AH35" s="1">
        <v>4</v>
      </c>
      <c r="AJ35" s="1">
        <v>3</v>
      </c>
      <c r="AL35" s="1">
        <v>3</v>
      </c>
      <c r="AN35" s="1">
        <v>4</v>
      </c>
      <c r="AP35" s="1">
        <v>6</v>
      </c>
      <c r="AR35" s="1">
        <v>4</v>
      </c>
    </row>
    <row r="36" spans="1:46">
      <c r="A36" s="40">
        <v>6</v>
      </c>
      <c r="B36" s="40">
        <v>1</v>
      </c>
      <c r="D36" s="40" t="str">
        <f t="shared" ca="1" si="4"/>
        <v>Help Desk</v>
      </c>
      <c r="E36" s="40">
        <v>3</v>
      </c>
      <c r="F36" s="1">
        <v>3</v>
      </c>
      <c r="H36" s="1">
        <v>3</v>
      </c>
      <c r="J36" s="1">
        <v>4</v>
      </c>
      <c r="L36" s="1">
        <v>3</v>
      </c>
      <c r="N36" s="1">
        <v>4</v>
      </c>
      <c r="P36" s="1">
        <v>4</v>
      </c>
      <c r="R36" s="1">
        <v>5</v>
      </c>
      <c r="T36" s="1">
        <v>4</v>
      </c>
      <c r="V36" s="1">
        <v>3</v>
      </c>
      <c r="X36" s="1">
        <v>2</v>
      </c>
      <c r="Y36" s="1" t="s">
        <v>197</v>
      </c>
      <c r="Z36" s="1">
        <v>3</v>
      </c>
      <c r="AB36" s="1">
        <v>3</v>
      </c>
      <c r="AD36" s="1">
        <v>3</v>
      </c>
      <c r="AF36" s="1">
        <v>3</v>
      </c>
      <c r="AH36" s="1">
        <v>3</v>
      </c>
      <c r="AJ36" s="1">
        <v>3</v>
      </c>
      <c r="AL36" s="1">
        <v>3</v>
      </c>
      <c r="AN36" s="1">
        <v>5</v>
      </c>
      <c r="AP36" s="1">
        <v>4</v>
      </c>
      <c r="AR36" s="1">
        <v>6</v>
      </c>
    </row>
    <row r="37" spans="1:46">
      <c r="A37" s="40">
        <v>7</v>
      </c>
      <c r="B37" s="40">
        <v>1</v>
      </c>
      <c r="D37" s="40" t="str">
        <f t="shared" ca="1" si="4"/>
        <v>Workflow</v>
      </c>
      <c r="E37" s="40">
        <v>11</v>
      </c>
      <c r="F37" s="1">
        <v>3</v>
      </c>
      <c r="H37" s="1">
        <v>3</v>
      </c>
      <c r="J37" s="1">
        <v>4</v>
      </c>
      <c r="L37" s="1">
        <v>4</v>
      </c>
      <c r="N37" s="1">
        <v>3</v>
      </c>
      <c r="P37" s="1">
        <v>4</v>
      </c>
      <c r="R37" s="1">
        <v>4</v>
      </c>
      <c r="T37" s="1">
        <v>4</v>
      </c>
      <c r="V37" s="1">
        <v>4</v>
      </c>
      <c r="X37" s="1">
        <v>3</v>
      </c>
      <c r="Z37" s="1">
        <v>3</v>
      </c>
      <c r="AB37" s="1">
        <v>3</v>
      </c>
      <c r="AD37" s="1">
        <v>4</v>
      </c>
      <c r="AF37" s="1">
        <v>4</v>
      </c>
      <c r="AH37" s="1">
        <v>4</v>
      </c>
      <c r="AJ37" s="1">
        <v>5</v>
      </c>
      <c r="AL37" s="1">
        <v>4</v>
      </c>
      <c r="AN37" s="1">
        <v>4</v>
      </c>
      <c r="AP37" s="1">
        <v>4</v>
      </c>
      <c r="AR37" s="1">
        <v>4</v>
      </c>
      <c r="AT37" s="1" t="s">
        <v>198</v>
      </c>
    </row>
    <row r="38" spans="1:46">
      <c r="A38" s="40">
        <v>8</v>
      </c>
      <c r="B38" s="40">
        <v>1</v>
      </c>
      <c r="D38" s="40" t="str">
        <f t="shared" ca="1" si="4"/>
        <v>IT Operations</v>
      </c>
      <c r="E38" s="40">
        <v>5</v>
      </c>
      <c r="F38" s="1">
        <v>3</v>
      </c>
      <c r="G38" s="1" t="s">
        <v>199</v>
      </c>
      <c r="H38" s="1">
        <v>4</v>
      </c>
      <c r="J38" s="1">
        <v>4</v>
      </c>
      <c r="L38" s="1">
        <v>3</v>
      </c>
      <c r="N38" s="1">
        <v>4</v>
      </c>
      <c r="P38" s="1">
        <v>3</v>
      </c>
      <c r="R38" s="1">
        <v>4</v>
      </c>
      <c r="T38" s="1">
        <v>4</v>
      </c>
      <c r="V38" s="1">
        <v>4</v>
      </c>
      <c r="X38" s="1">
        <v>4</v>
      </c>
      <c r="Z38" s="1">
        <v>4</v>
      </c>
      <c r="AB38" s="1">
        <v>4</v>
      </c>
      <c r="AD38" s="1">
        <v>3</v>
      </c>
      <c r="AF38" s="1">
        <v>3</v>
      </c>
      <c r="AH38" s="1">
        <v>4</v>
      </c>
      <c r="AJ38" s="1">
        <v>4</v>
      </c>
      <c r="AL38" s="1">
        <v>2</v>
      </c>
      <c r="AM38" s="1" t="s">
        <v>200</v>
      </c>
      <c r="AN38" s="1">
        <v>4</v>
      </c>
      <c r="AP38" s="1">
        <v>4</v>
      </c>
      <c r="AR38" s="1">
        <v>4</v>
      </c>
    </row>
    <row r="39" spans="1:46">
      <c r="A39" s="40">
        <v>9</v>
      </c>
      <c r="B39" s="40">
        <v>1</v>
      </c>
      <c r="D39" s="40" t="str">
        <f t="shared" ca="1" si="4"/>
        <v>Data Services</v>
      </c>
      <c r="E39" s="40">
        <v>1</v>
      </c>
      <c r="F39" s="1">
        <v>4</v>
      </c>
      <c r="H39" s="1">
        <v>5</v>
      </c>
      <c r="J39" s="1">
        <v>5</v>
      </c>
      <c r="L39" s="1">
        <v>3</v>
      </c>
      <c r="N39" s="1">
        <v>5</v>
      </c>
      <c r="P39" s="1">
        <v>5</v>
      </c>
      <c r="R39" s="1">
        <v>5</v>
      </c>
      <c r="T39" s="1">
        <v>4</v>
      </c>
      <c r="V39" s="1">
        <v>4</v>
      </c>
      <c r="X39" s="1">
        <v>5</v>
      </c>
      <c r="Z39" s="1">
        <v>4</v>
      </c>
      <c r="AB39" s="1">
        <v>4</v>
      </c>
      <c r="AD39" s="1">
        <v>4</v>
      </c>
      <c r="AF39" s="1">
        <v>4</v>
      </c>
      <c r="AH39" s="1">
        <v>5</v>
      </c>
      <c r="AJ39" s="1">
        <v>5</v>
      </c>
      <c r="AL39" s="1">
        <v>3</v>
      </c>
      <c r="AN39" s="1">
        <v>4</v>
      </c>
      <c r="AP39" s="1">
        <v>3</v>
      </c>
      <c r="AR39" s="1">
        <v>3</v>
      </c>
    </row>
    <row r="40" spans="1:46">
      <c r="A40" s="40">
        <v>10</v>
      </c>
      <c r="B40" s="40">
        <v>1</v>
      </c>
      <c r="D40" s="40" t="str">
        <f t="shared" ca="1" si="4"/>
        <v>IT Producer</v>
      </c>
      <c r="E40" s="40">
        <v>6</v>
      </c>
      <c r="F40" s="1">
        <v>1</v>
      </c>
      <c r="H40" s="1">
        <v>4</v>
      </c>
      <c r="J40" s="1">
        <v>2</v>
      </c>
      <c r="K40" s="1" t="s">
        <v>201</v>
      </c>
      <c r="L40" s="1">
        <v>4</v>
      </c>
      <c r="N40" s="1">
        <v>4</v>
      </c>
      <c r="P40" s="1">
        <v>4</v>
      </c>
      <c r="R40" s="1">
        <v>4</v>
      </c>
      <c r="T40" s="1">
        <v>2</v>
      </c>
      <c r="V40" s="1">
        <v>2</v>
      </c>
      <c r="X40" s="1">
        <v>2</v>
      </c>
      <c r="Z40" s="1">
        <v>2</v>
      </c>
      <c r="AB40" s="1">
        <v>2</v>
      </c>
      <c r="AD40" s="1">
        <v>4</v>
      </c>
      <c r="AF40" s="1">
        <v>2</v>
      </c>
      <c r="AH40" s="1">
        <v>2</v>
      </c>
      <c r="AJ40" s="1">
        <v>2</v>
      </c>
      <c r="AL40" s="1">
        <v>2</v>
      </c>
      <c r="AN40" s="1">
        <v>4</v>
      </c>
      <c r="AP40" s="1">
        <v>4</v>
      </c>
      <c r="AR40" s="1">
        <v>4</v>
      </c>
    </row>
    <row r="41" spans="1:46">
      <c r="A41" s="40">
        <v>11</v>
      </c>
      <c r="B41" s="40">
        <v>1</v>
      </c>
      <c r="D41" s="40" t="str">
        <f t="shared" ca="1" si="4"/>
        <v>IT Service</v>
      </c>
      <c r="E41" s="40">
        <v>9</v>
      </c>
      <c r="F41" s="1">
        <v>5</v>
      </c>
      <c r="H41" s="1">
        <v>5</v>
      </c>
      <c r="J41" s="1">
        <v>4</v>
      </c>
      <c r="L41" s="1">
        <v>5</v>
      </c>
      <c r="N41" s="1">
        <v>4</v>
      </c>
      <c r="P41" s="1">
        <v>5</v>
      </c>
      <c r="R41" s="1">
        <v>5</v>
      </c>
      <c r="T41" s="1">
        <v>4</v>
      </c>
      <c r="V41" s="1">
        <v>4</v>
      </c>
      <c r="X41" s="1">
        <v>3</v>
      </c>
      <c r="Z41" s="1">
        <v>3</v>
      </c>
      <c r="AB41" s="1">
        <v>5</v>
      </c>
      <c r="AD41" s="1">
        <v>5</v>
      </c>
      <c r="AF41" s="1">
        <v>4</v>
      </c>
      <c r="AH41" s="1">
        <v>4</v>
      </c>
      <c r="AJ41" s="1">
        <v>5</v>
      </c>
      <c r="AL41" s="1">
        <v>5</v>
      </c>
      <c r="AN41" s="1">
        <v>5</v>
      </c>
      <c r="AP41" s="1">
        <v>4</v>
      </c>
      <c r="AR41" s="1">
        <v>3</v>
      </c>
    </row>
    <row r="42" spans="1:46" ht="25.5">
      <c r="A42" s="40">
        <v>12</v>
      </c>
      <c r="B42" s="40">
        <v>1</v>
      </c>
      <c r="D42" s="40" t="str">
        <f t="shared" ca="1" si="4"/>
        <v>IT Producer</v>
      </c>
      <c r="E42" s="40">
        <v>6</v>
      </c>
      <c r="F42" s="1">
        <v>4</v>
      </c>
      <c r="H42" s="1">
        <v>4</v>
      </c>
      <c r="J42" s="1">
        <v>4</v>
      </c>
      <c r="L42" s="1">
        <v>3</v>
      </c>
      <c r="M42" s="1" t="s">
        <v>202</v>
      </c>
      <c r="N42" s="1">
        <v>4</v>
      </c>
      <c r="P42" s="1">
        <v>4</v>
      </c>
      <c r="R42" s="1">
        <v>4</v>
      </c>
      <c r="T42" s="1">
        <v>4</v>
      </c>
      <c r="V42" s="1">
        <v>4</v>
      </c>
      <c r="X42" s="1">
        <v>4</v>
      </c>
      <c r="Z42" s="1">
        <v>5</v>
      </c>
      <c r="AB42" s="1">
        <v>4</v>
      </c>
      <c r="AD42" s="1">
        <v>3</v>
      </c>
      <c r="AF42" s="1">
        <v>4</v>
      </c>
      <c r="AH42" s="1">
        <v>4</v>
      </c>
      <c r="AJ42" s="1">
        <v>4</v>
      </c>
      <c r="AL42" s="1">
        <v>3</v>
      </c>
      <c r="AN42" s="1">
        <v>4</v>
      </c>
      <c r="AP42" s="1">
        <v>3</v>
      </c>
      <c r="AR42" s="1">
        <v>2</v>
      </c>
      <c r="AS42" s="1" t="s">
        <v>203</v>
      </c>
    </row>
    <row r="43" spans="1:46" ht="38.25">
      <c r="A43" s="40">
        <v>13</v>
      </c>
      <c r="B43" s="40">
        <v>1</v>
      </c>
      <c r="D43" s="40" t="str">
        <f t="shared" ca="1" si="4"/>
        <v>IT Service</v>
      </c>
      <c r="E43" s="40">
        <v>9</v>
      </c>
      <c r="F43" s="1">
        <v>4</v>
      </c>
      <c r="G43" s="1" t="s">
        <v>204</v>
      </c>
      <c r="H43" s="1">
        <v>4</v>
      </c>
      <c r="I43" s="1" t="s">
        <v>205</v>
      </c>
      <c r="J43" s="1">
        <v>3</v>
      </c>
      <c r="K43" s="1" t="s">
        <v>206</v>
      </c>
      <c r="L43" s="1">
        <v>4</v>
      </c>
      <c r="N43" s="1">
        <v>3</v>
      </c>
      <c r="P43" s="1">
        <v>4</v>
      </c>
      <c r="Q43" s="1" t="s">
        <v>207</v>
      </c>
      <c r="R43" s="1">
        <v>4</v>
      </c>
      <c r="S43" s="1" t="s">
        <v>208</v>
      </c>
      <c r="T43" s="1">
        <v>4</v>
      </c>
      <c r="U43" s="1" t="s">
        <v>209</v>
      </c>
      <c r="V43" s="1">
        <v>4</v>
      </c>
      <c r="X43" s="1">
        <v>4</v>
      </c>
      <c r="Z43" s="1">
        <v>4</v>
      </c>
      <c r="AB43" s="1">
        <v>2</v>
      </c>
      <c r="AC43" s="1" t="s">
        <v>210</v>
      </c>
      <c r="AD43" s="1">
        <v>2</v>
      </c>
      <c r="AE43" s="1" t="s">
        <v>211</v>
      </c>
      <c r="AF43" s="1">
        <v>4</v>
      </c>
      <c r="AG43" s="1" t="s">
        <v>212</v>
      </c>
      <c r="AH43" s="1">
        <v>4</v>
      </c>
      <c r="AJ43" s="1">
        <v>4</v>
      </c>
      <c r="AL43" s="1">
        <v>3</v>
      </c>
      <c r="AN43" s="1">
        <v>4</v>
      </c>
      <c r="AO43" s="1" t="s">
        <v>213</v>
      </c>
      <c r="AP43" s="1">
        <v>4</v>
      </c>
      <c r="AR43" s="1">
        <v>4</v>
      </c>
      <c r="AS43" s="1" t="s">
        <v>214</v>
      </c>
    </row>
    <row r="44" spans="1:46" ht="25.5">
      <c r="A44" s="40">
        <v>14</v>
      </c>
      <c r="B44" s="40">
        <v>1</v>
      </c>
      <c r="D44" s="40" t="str">
        <f t="shared" ca="1" si="4"/>
        <v>IT Service</v>
      </c>
      <c r="E44" s="40">
        <v>9</v>
      </c>
      <c r="F44" s="1">
        <v>4</v>
      </c>
      <c r="H44" s="1">
        <v>4</v>
      </c>
      <c r="J44" s="1">
        <v>4</v>
      </c>
      <c r="L44" s="1">
        <v>3</v>
      </c>
      <c r="N44" s="1">
        <v>3</v>
      </c>
      <c r="O44" s="1" t="s">
        <v>215</v>
      </c>
      <c r="P44" s="1">
        <v>3</v>
      </c>
      <c r="R44" s="1">
        <v>4</v>
      </c>
      <c r="T44" s="1">
        <v>4</v>
      </c>
      <c r="V44" s="1">
        <v>4</v>
      </c>
      <c r="X44" s="1">
        <v>4</v>
      </c>
      <c r="Z44" s="1">
        <v>4</v>
      </c>
      <c r="AB44" s="1">
        <v>4</v>
      </c>
      <c r="AD44" s="1">
        <v>4</v>
      </c>
      <c r="AF44" s="1">
        <v>4</v>
      </c>
      <c r="AH44" s="1">
        <v>4</v>
      </c>
      <c r="AJ44" s="1">
        <v>3</v>
      </c>
      <c r="AL44" s="1">
        <v>3</v>
      </c>
      <c r="AN44" s="1">
        <v>5</v>
      </c>
      <c r="AP44" s="1">
        <v>4</v>
      </c>
      <c r="AR44" s="1">
        <v>3</v>
      </c>
      <c r="AT44" s="1" t="s">
        <v>216</v>
      </c>
    </row>
    <row r="45" spans="1:46">
      <c r="A45" s="40">
        <v>15</v>
      </c>
      <c r="B45" s="40">
        <v>1</v>
      </c>
      <c r="D45" s="40" t="str">
        <f t="shared" ca="1" si="4"/>
        <v>IT Service</v>
      </c>
      <c r="E45" s="40">
        <v>9</v>
      </c>
      <c r="F45" s="1">
        <v>3</v>
      </c>
      <c r="H45" s="1">
        <v>4</v>
      </c>
      <c r="J45" s="1">
        <v>3</v>
      </c>
      <c r="L45" s="1">
        <v>3</v>
      </c>
      <c r="N45" s="1">
        <v>4</v>
      </c>
      <c r="P45" s="1">
        <v>4</v>
      </c>
      <c r="R45" s="1">
        <v>4</v>
      </c>
      <c r="T45" s="1">
        <v>4</v>
      </c>
      <c r="V45" s="1">
        <v>4</v>
      </c>
      <c r="X45" s="1">
        <v>3</v>
      </c>
      <c r="Z45" s="1">
        <v>4</v>
      </c>
      <c r="AB45" s="1">
        <v>4</v>
      </c>
      <c r="AD45" s="1">
        <v>3</v>
      </c>
      <c r="AF45" s="1">
        <v>3</v>
      </c>
      <c r="AH45" s="1">
        <v>4</v>
      </c>
      <c r="AJ45" s="1">
        <v>3</v>
      </c>
      <c r="AL45" s="1">
        <v>4</v>
      </c>
      <c r="AN45" s="1">
        <v>3</v>
      </c>
      <c r="AP45" s="1">
        <v>4</v>
      </c>
      <c r="AR45" s="1">
        <v>4</v>
      </c>
    </row>
    <row r="46" spans="1:46">
      <c r="A46" s="40">
        <v>16</v>
      </c>
      <c r="B46" s="40">
        <v>1</v>
      </c>
      <c r="D46" s="40" t="str">
        <f t="shared" ca="1" si="4"/>
        <v>IT Service</v>
      </c>
      <c r="E46" s="40">
        <v>9</v>
      </c>
      <c r="F46" s="1">
        <v>4</v>
      </c>
      <c r="H46" s="1">
        <v>4</v>
      </c>
      <c r="J46" s="1">
        <v>3</v>
      </c>
      <c r="L46" s="1">
        <v>2</v>
      </c>
      <c r="M46" s="1" t="s">
        <v>217</v>
      </c>
      <c r="N46" s="1">
        <v>4</v>
      </c>
      <c r="P46" s="1">
        <v>3</v>
      </c>
      <c r="R46" s="1">
        <v>3</v>
      </c>
      <c r="T46" s="1">
        <v>3</v>
      </c>
      <c r="V46" s="1">
        <v>3</v>
      </c>
      <c r="X46" s="1">
        <v>3</v>
      </c>
      <c r="Z46" s="1">
        <v>4</v>
      </c>
      <c r="AB46" s="1">
        <v>4</v>
      </c>
      <c r="AD46" s="1">
        <v>4</v>
      </c>
      <c r="AF46" s="1">
        <v>2</v>
      </c>
      <c r="AG46" s="1" t="s">
        <v>218</v>
      </c>
      <c r="AH46" s="1">
        <v>4</v>
      </c>
      <c r="AJ46" s="1">
        <v>4</v>
      </c>
      <c r="AL46" s="1">
        <v>2</v>
      </c>
      <c r="AM46" s="1" t="s">
        <v>219</v>
      </c>
      <c r="AN46" s="1">
        <v>4</v>
      </c>
      <c r="AP46" s="1">
        <v>4</v>
      </c>
      <c r="AR46" s="1">
        <v>3</v>
      </c>
    </row>
    <row r="47" spans="1:46">
      <c r="A47" s="40">
        <v>17</v>
      </c>
      <c r="B47" s="40">
        <v>1</v>
      </c>
      <c r="D47" s="40" t="str">
        <f t="shared" ca="1" si="4"/>
        <v>IT Service</v>
      </c>
      <c r="E47" s="40">
        <v>9</v>
      </c>
      <c r="F47" s="1">
        <v>4</v>
      </c>
      <c r="H47" s="1">
        <v>4</v>
      </c>
      <c r="J47" s="1">
        <v>4</v>
      </c>
      <c r="L47" s="1">
        <v>4</v>
      </c>
      <c r="N47" s="1">
        <v>4</v>
      </c>
      <c r="P47" s="1">
        <v>4</v>
      </c>
      <c r="R47" s="1">
        <v>4</v>
      </c>
      <c r="T47" s="1">
        <v>4</v>
      </c>
      <c r="V47" s="1">
        <v>4</v>
      </c>
      <c r="X47" s="1">
        <v>4</v>
      </c>
      <c r="Z47" s="1">
        <v>4</v>
      </c>
      <c r="AB47" s="1">
        <v>4</v>
      </c>
      <c r="AD47" s="1">
        <v>2</v>
      </c>
      <c r="AF47" s="1">
        <v>3</v>
      </c>
      <c r="AH47" s="1">
        <v>4</v>
      </c>
      <c r="AJ47" s="1">
        <v>4</v>
      </c>
      <c r="AL47" s="1">
        <v>4</v>
      </c>
      <c r="AN47" s="1">
        <v>5</v>
      </c>
      <c r="AP47" s="1">
        <v>4</v>
      </c>
      <c r="AR47" s="1">
        <v>3</v>
      </c>
    </row>
    <row r="48" spans="1:46">
      <c r="A48" s="40">
        <v>18</v>
      </c>
      <c r="B48" s="40">
        <v>1</v>
      </c>
      <c r="D48" s="40" t="str">
        <f t="shared" ca="1" si="4"/>
        <v>IT Service</v>
      </c>
      <c r="E48" s="40">
        <v>9</v>
      </c>
      <c r="F48" s="1">
        <v>3</v>
      </c>
      <c r="H48" s="1">
        <v>4</v>
      </c>
      <c r="J48" s="1">
        <v>4</v>
      </c>
      <c r="L48" s="1">
        <v>4</v>
      </c>
      <c r="N48" s="1">
        <v>4</v>
      </c>
      <c r="P48" s="1">
        <v>5</v>
      </c>
      <c r="R48" s="1">
        <v>4</v>
      </c>
      <c r="T48" s="1">
        <v>4</v>
      </c>
      <c r="V48" s="1">
        <v>4</v>
      </c>
      <c r="X48" s="1">
        <v>3</v>
      </c>
      <c r="Z48" s="1">
        <v>4</v>
      </c>
      <c r="AB48" s="1">
        <v>5</v>
      </c>
      <c r="AD48" s="1">
        <v>3</v>
      </c>
      <c r="AF48" s="1">
        <v>3</v>
      </c>
      <c r="AH48" s="1">
        <v>4</v>
      </c>
      <c r="AJ48" s="1">
        <v>3</v>
      </c>
      <c r="AL48" s="1">
        <v>3</v>
      </c>
      <c r="AN48" s="1">
        <v>4</v>
      </c>
      <c r="AP48" s="1">
        <v>3</v>
      </c>
      <c r="AR48" s="1">
        <v>6</v>
      </c>
    </row>
    <row r="49" spans="1:46">
      <c r="A49" s="40">
        <v>19</v>
      </c>
      <c r="B49" s="40">
        <v>1</v>
      </c>
      <c r="D49" s="40" t="str">
        <f t="shared" ca="1" si="4"/>
        <v>IT Service</v>
      </c>
      <c r="E49" s="40">
        <v>9</v>
      </c>
      <c r="F49" s="1">
        <v>4</v>
      </c>
      <c r="H49" s="1">
        <v>3</v>
      </c>
      <c r="J49" s="1">
        <v>4</v>
      </c>
      <c r="L49" s="1">
        <v>4</v>
      </c>
      <c r="N49" s="1">
        <v>4</v>
      </c>
      <c r="P49" s="1">
        <v>3</v>
      </c>
      <c r="R49" s="1">
        <v>4</v>
      </c>
      <c r="T49" s="1">
        <v>4</v>
      </c>
      <c r="V49" s="1">
        <v>3</v>
      </c>
      <c r="X49" s="1">
        <v>4</v>
      </c>
      <c r="Z49" s="1">
        <v>4</v>
      </c>
      <c r="AB49" s="1">
        <v>4</v>
      </c>
      <c r="AD49" s="1">
        <v>4</v>
      </c>
      <c r="AF49" s="1">
        <v>3</v>
      </c>
      <c r="AH49" s="1">
        <v>3</v>
      </c>
      <c r="AJ49" s="1">
        <v>6</v>
      </c>
      <c r="AL49" s="1">
        <v>4</v>
      </c>
      <c r="AN49" s="1">
        <v>3</v>
      </c>
      <c r="AP49" s="1">
        <v>3</v>
      </c>
      <c r="AR49" s="1">
        <v>2</v>
      </c>
    </row>
    <row r="50" spans="1:46">
      <c r="A50" s="40">
        <v>20</v>
      </c>
      <c r="B50" s="40">
        <v>1</v>
      </c>
      <c r="D50" s="40" t="str">
        <f t="shared" ca="1" si="4"/>
        <v>IT Operations</v>
      </c>
      <c r="E50" s="40">
        <v>5</v>
      </c>
      <c r="F50" s="1">
        <v>2</v>
      </c>
      <c r="H50" s="1">
        <v>2</v>
      </c>
      <c r="J50" s="1">
        <v>5</v>
      </c>
      <c r="L50" s="1">
        <v>4</v>
      </c>
      <c r="N50" s="1">
        <v>3</v>
      </c>
      <c r="P50" s="1">
        <v>5</v>
      </c>
      <c r="R50" s="1">
        <v>5</v>
      </c>
      <c r="T50" s="1">
        <v>4</v>
      </c>
      <c r="V50" s="1">
        <v>3</v>
      </c>
      <c r="X50" s="1">
        <v>4</v>
      </c>
      <c r="Z50" s="1">
        <v>4</v>
      </c>
      <c r="AB50" s="1">
        <v>5</v>
      </c>
      <c r="AD50" s="1">
        <v>3</v>
      </c>
      <c r="AF50" s="1">
        <v>4</v>
      </c>
      <c r="AH50" s="1">
        <v>5</v>
      </c>
      <c r="AJ50" s="1">
        <v>2</v>
      </c>
      <c r="AL50" s="1">
        <v>4</v>
      </c>
      <c r="AN50" s="1">
        <v>5</v>
      </c>
      <c r="AP50" s="1">
        <v>4</v>
      </c>
      <c r="AR50" s="1">
        <v>4</v>
      </c>
    </row>
    <row r="51" spans="1:46" ht="38.25">
      <c r="A51" s="40">
        <v>21</v>
      </c>
      <c r="B51" s="40">
        <v>1</v>
      </c>
      <c r="D51" s="40" t="str">
        <f t="shared" ca="1" si="4"/>
        <v>IT Service</v>
      </c>
      <c r="E51" s="40">
        <v>9</v>
      </c>
      <c r="F51" s="1">
        <v>4</v>
      </c>
      <c r="H51" s="1">
        <v>4</v>
      </c>
      <c r="J51" s="1">
        <v>4</v>
      </c>
      <c r="L51" s="1">
        <v>4</v>
      </c>
      <c r="N51" s="1">
        <v>4</v>
      </c>
      <c r="P51" s="1">
        <v>4</v>
      </c>
      <c r="R51" s="1">
        <v>4</v>
      </c>
      <c r="T51" s="1">
        <v>4</v>
      </c>
      <c r="V51" s="1">
        <v>3</v>
      </c>
      <c r="X51" s="1">
        <v>4</v>
      </c>
      <c r="Z51" s="1">
        <v>5</v>
      </c>
      <c r="AB51" s="1">
        <v>5</v>
      </c>
      <c r="AD51" s="1">
        <v>4</v>
      </c>
      <c r="AF51" s="1">
        <v>4</v>
      </c>
      <c r="AH51" s="1">
        <v>2</v>
      </c>
      <c r="AI51" s="1" t="s">
        <v>220</v>
      </c>
      <c r="AJ51" s="1">
        <v>2</v>
      </c>
      <c r="AL51" s="1">
        <v>2</v>
      </c>
      <c r="AN51" s="1">
        <v>2</v>
      </c>
      <c r="AO51" s="1" t="s">
        <v>221</v>
      </c>
      <c r="AP51" s="1">
        <v>3</v>
      </c>
      <c r="AR51" s="1">
        <v>4</v>
      </c>
      <c r="AT51" s="1" t="s">
        <v>222</v>
      </c>
    </row>
    <row r="52" spans="1:46">
      <c r="A52" s="40">
        <v>22</v>
      </c>
      <c r="B52" s="40">
        <v>1</v>
      </c>
      <c r="D52" s="40" t="str">
        <f t="shared" ca="1" si="4"/>
        <v>Help Desk</v>
      </c>
      <c r="E52" s="40">
        <v>3</v>
      </c>
      <c r="F52" s="1">
        <v>4</v>
      </c>
      <c r="H52" s="1">
        <v>4</v>
      </c>
      <c r="J52" s="1">
        <v>4</v>
      </c>
      <c r="L52" s="1">
        <v>3</v>
      </c>
      <c r="N52" s="1">
        <v>3</v>
      </c>
      <c r="P52" s="1">
        <v>4</v>
      </c>
      <c r="R52" s="1">
        <v>4</v>
      </c>
      <c r="T52" s="1">
        <v>4</v>
      </c>
      <c r="V52" s="1">
        <v>4</v>
      </c>
      <c r="X52" s="1">
        <v>4</v>
      </c>
      <c r="Z52" s="1">
        <v>4</v>
      </c>
      <c r="AB52" s="1">
        <v>4</v>
      </c>
      <c r="AD52" s="1">
        <v>3</v>
      </c>
      <c r="AF52" s="1">
        <v>3</v>
      </c>
      <c r="AH52" s="1">
        <v>4</v>
      </c>
      <c r="AJ52" s="1">
        <v>3</v>
      </c>
      <c r="AL52" s="1">
        <v>4</v>
      </c>
      <c r="AN52" s="1">
        <v>3</v>
      </c>
      <c r="AP52" s="1">
        <v>3</v>
      </c>
      <c r="AR52" s="1">
        <v>3</v>
      </c>
    </row>
    <row r="53" spans="1:46">
      <c r="A53" s="40">
        <v>23</v>
      </c>
      <c r="B53" s="40">
        <v>1</v>
      </c>
      <c r="D53" s="40" t="str">
        <f t="shared" ca="1" si="4"/>
        <v>IT Sales</v>
      </c>
      <c r="E53" s="40">
        <v>8</v>
      </c>
      <c r="F53" s="1">
        <v>3</v>
      </c>
      <c r="H53" s="1">
        <v>4</v>
      </c>
      <c r="J53" s="1">
        <v>4</v>
      </c>
      <c r="L53" s="1">
        <v>4</v>
      </c>
      <c r="N53" s="1">
        <v>4</v>
      </c>
      <c r="P53" s="1">
        <v>3</v>
      </c>
      <c r="R53" s="1">
        <v>4</v>
      </c>
      <c r="T53" s="1">
        <v>5</v>
      </c>
      <c r="V53" s="1">
        <v>4</v>
      </c>
      <c r="X53" s="1">
        <v>5</v>
      </c>
      <c r="Z53" s="1">
        <v>5</v>
      </c>
      <c r="AB53" s="1">
        <v>5</v>
      </c>
      <c r="AD53" s="1">
        <v>3</v>
      </c>
      <c r="AF53" s="1">
        <v>3</v>
      </c>
      <c r="AH53" s="1">
        <v>1</v>
      </c>
      <c r="AI53" s="1" t="s">
        <v>223</v>
      </c>
      <c r="AJ53" s="1">
        <v>1</v>
      </c>
      <c r="AK53" s="1" t="s">
        <v>223</v>
      </c>
      <c r="AL53" s="1">
        <v>3</v>
      </c>
      <c r="AN53" s="1">
        <v>3</v>
      </c>
      <c r="AP53" s="1">
        <v>3</v>
      </c>
      <c r="AR53" s="1">
        <v>3</v>
      </c>
    </row>
    <row r="54" spans="1:46">
      <c r="A54" s="40">
        <v>24</v>
      </c>
      <c r="B54" s="40">
        <v>1</v>
      </c>
      <c r="D54" s="40" t="str">
        <f t="shared" ca="1" si="4"/>
        <v>IT Service</v>
      </c>
      <c r="E54" s="40">
        <v>9</v>
      </c>
      <c r="F54" s="1">
        <v>4</v>
      </c>
      <c r="H54" s="1">
        <v>4</v>
      </c>
      <c r="J54" s="1">
        <v>4</v>
      </c>
      <c r="L54" s="1">
        <v>4</v>
      </c>
      <c r="N54" s="1">
        <v>4</v>
      </c>
      <c r="P54" s="1">
        <v>4</v>
      </c>
      <c r="R54" s="1">
        <v>4</v>
      </c>
      <c r="T54" s="1">
        <v>4</v>
      </c>
      <c r="V54" s="1">
        <v>4</v>
      </c>
      <c r="X54" s="1">
        <v>4</v>
      </c>
      <c r="Z54" s="1">
        <v>4</v>
      </c>
      <c r="AB54" s="1">
        <v>4</v>
      </c>
      <c r="AD54" s="1">
        <v>4</v>
      </c>
      <c r="AF54" s="1">
        <v>4</v>
      </c>
      <c r="AH54" s="1">
        <v>4</v>
      </c>
      <c r="AJ54" s="1">
        <v>4</v>
      </c>
      <c r="AL54" s="1">
        <v>4</v>
      </c>
      <c r="AN54" s="1">
        <v>5</v>
      </c>
      <c r="AP54" s="1">
        <v>4</v>
      </c>
      <c r="AR54" s="1">
        <v>3</v>
      </c>
    </row>
    <row r="55" spans="1:46">
      <c r="A55" s="40">
        <v>25</v>
      </c>
      <c r="B55" s="40">
        <v>1</v>
      </c>
      <c r="D55" s="40" t="str">
        <f t="shared" ca="1" si="4"/>
        <v>Workflow</v>
      </c>
      <c r="E55" s="40">
        <v>11</v>
      </c>
      <c r="F55" s="1">
        <v>3</v>
      </c>
      <c r="H55" s="1">
        <v>3</v>
      </c>
      <c r="J55" s="1">
        <v>3</v>
      </c>
      <c r="L55" s="1">
        <v>3</v>
      </c>
      <c r="N55" s="1">
        <v>3</v>
      </c>
      <c r="P55" s="1">
        <v>2</v>
      </c>
      <c r="R55" s="1">
        <v>4</v>
      </c>
      <c r="T55" s="1">
        <v>3</v>
      </c>
      <c r="V55" s="1">
        <v>3</v>
      </c>
      <c r="X55" s="1">
        <v>3</v>
      </c>
      <c r="Z55" s="1">
        <v>1</v>
      </c>
      <c r="AA55" s="1" t="s">
        <v>224</v>
      </c>
      <c r="AB55" s="1">
        <v>3</v>
      </c>
      <c r="AD55" s="1">
        <v>2</v>
      </c>
      <c r="AE55" s="1" t="s">
        <v>225</v>
      </c>
      <c r="AF55" s="1">
        <v>2</v>
      </c>
      <c r="AG55" s="1" t="s">
        <v>226</v>
      </c>
      <c r="AH55" s="1">
        <v>4</v>
      </c>
      <c r="AJ55" s="1">
        <v>3</v>
      </c>
      <c r="AL55" s="1">
        <v>3</v>
      </c>
      <c r="AN55" s="1">
        <v>3</v>
      </c>
      <c r="AP55" s="1">
        <v>3</v>
      </c>
      <c r="AR55" s="1">
        <v>4</v>
      </c>
    </row>
    <row r="56" spans="1:46">
      <c r="A56" s="40">
        <v>26</v>
      </c>
      <c r="B56" s="40">
        <v>1</v>
      </c>
      <c r="D56" s="40" t="str">
        <f t="shared" ca="1" si="4"/>
        <v>IT Service</v>
      </c>
      <c r="E56" s="40">
        <v>9</v>
      </c>
      <c r="F56" s="1">
        <v>4</v>
      </c>
      <c r="H56" s="1">
        <v>4</v>
      </c>
      <c r="J56" s="1">
        <v>4</v>
      </c>
      <c r="L56" s="1">
        <v>4</v>
      </c>
      <c r="N56" s="1">
        <v>4</v>
      </c>
      <c r="P56" s="1">
        <v>4</v>
      </c>
      <c r="R56" s="1">
        <v>4</v>
      </c>
      <c r="T56" s="1">
        <v>5</v>
      </c>
      <c r="V56" s="1">
        <v>4</v>
      </c>
      <c r="X56" s="1">
        <v>5</v>
      </c>
      <c r="Z56" s="1">
        <v>5</v>
      </c>
      <c r="AB56" s="1">
        <v>5</v>
      </c>
      <c r="AD56" s="1">
        <v>4</v>
      </c>
      <c r="AF56" s="1">
        <v>4</v>
      </c>
      <c r="AH56" s="1">
        <v>3</v>
      </c>
      <c r="AJ56" s="1">
        <v>4</v>
      </c>
      <c r="AL56" s="1">
        <v>4</v>
      </c>
      <c r="AN56" s="1">
        <v>5</v>
      </c>
      <c r="AP56" s="1">
        <v>3</v>
      </c>
      <c r="AR56" s="1">
        <v>4</v>
      </c>
    </row>
    <row r="57" spans="1:46">
      <c r="A57" s="40">
        <v>27</v>
      </c>
      <c r="B57" s="40">
        <v>1</v>
      </c>
      <c r="D57" s="40" t="str">
        <f t="shared" ca="1" si="4"/>
        <v>Product Admin</v>
      </c>
      <c r="E57" s="40">
        <v>10</v>
      </c>
      <c r="F57" s="1">
        <v>3</v>
      </c>
      <c r="H57" s="1">
        <v>3</v>
      </c>
      <c r="J57" s="1">
        <v>3</v>
      </c>
      <c r="L57" s="1">
        <v>3</v>
      </c>
      <c r="N57" s="1">
        <v>4</v>
      </c>
      <c r="P57" s="1">
        <v>5</v>
      </c>
      <c r="R57" s="1">
        <v>5</v>
      </c>
      <c r="T57" s="1">
        <v>4</v>
      </c>
      <c r="V57" s="1">
        <v>4</v>
      </c>
      <c r="X57" s="1">
        <v>3</v>
      </c>
      <c r="Z57" s="1">
        <v>4</v>
      </c>
      <c r="AB57" s="1">
        <v>5</v>
      </c>
      <c r="AD57" s="1">
        <v>4</v>
      </c>
      <c r="AF57" s="1">
        <v>4</v>
      </c>
      <c r="AH57" s="1">
        <v>4</v>
      </c>
      <c r="AJ57" s="1">
        <v>4</v>
      </c>
      <c r="AL57" s="1">
        <v>3</v>
      </c>
      <c r="AN57" s="1">
        <v>5</v>
      </c>
      <c r="AP57" s="1">
        <v>5</v>
      </c>
      <c r="AR57" s="1">
        <v>4</v>
      </c>
    </row>
    <row r="58" spans="1:46">
      <c r="A58" s="40">
        <v>28</v>
      </c>
      <c r="B58" s="40">
        <v>1</v>
      </c>
      <c r="D58" s="40" t="str">
        <f t="shared" ca="1" si="4"/>
        <v>Product Admin</v>
      </c>
      <c r="E58" s="40">
        <v>10</v>
      </c>
      <c r="F58" s="1">
        <v>4</v>
      </c>
      <c r="H58" s="1">
        <v>5</v>
      </c>
      <c r="J58" s="1">
        <v>4</v>
      </c>
      <c r="L58" s="1">
        <v>4</v>
      </c>
      <c r="N58" s="1">
        <v>4</v>
      </c>
      <c r="P58" s="1">
        <v>5</v>
      </c>
      <c r="R58" s="1">
        <v>5</v>
      </c>
      <c r="T58" s="1">
        <v>5</v>
      </c>
      <c r="V58" s="1">
        <v>5</v>
      </c>
      <c r="X58" s="1">
        <v>4</v>
      </c>
      <c r="Z58" s="1">
        <v>5</v>
      </c>
      <c r="AB58" s="1">
        <v>5</v>
      </c>
      <c r="AD58" s="1">
        <v>4</v>
      </c>
      <c r="AF58" s="1">
        <v>4</v>
      </c>
      <c r="AH58" s="1">
        <v>4</v>
      </c>
      <c r="AJ58" s="1">
        <v>4</v>
      </c>
      <c r="AL58" s="1">
        <v>4</v>
      </c>
      <c r="AN58" s="1">
        <v>4</v>
      </c>
      <c r="AP58" s="1">
        <v>4</v>
      </c>
      <c r="AR58" s="1">
        <v>4</v>
      </c>
    </row>
    <row r="59" spans="1:46">
      <c r="A59" s="40">
        <v>29</v>
      </c>
      <c r="B59" s="40">
        <v>1</v>
      </c>
      <c r="D59" s="40" t="str">
        <f t="shared" ca="1" si="4"/>
        <v>Viewpoint</v>
      </c>
      <c r="E59" s="40">
        <v>7</v>
      </c>
      <c r="F59" s="1">
        <v>5</v>
      </c>
      <c r="H59" s="1">
        <v>5</v>
      </c>
      <c r="J59" s="1">
        <v>4</v>
      </c>
      <c r="L59" s="1">
        <v>5</v>
      </c>
      <c r="N59" s="1">
        <v>5</v>
      </c>
      <c r="P59" s="1">
        <v>5</v>
      </c>
      <c r="R59" s="1">
        <v>5</v>
      </c>
      <c r="T59" s="1">
        <v>5</v>
      </c>
      <c r="V59" s="1">
        <v>5</v>
      </c>
      <c r="X59" s="1">
        <v>5</v>
      </c>
      <c r="Z59" s="1">
        <v>5</v>
      </c>
      <c r="AB59" s="1">
        <v>5</v>
      </c>
      <c r="AD59" s="1">
        <v>5</v>
      </c>
      <c r="AF59" s="1">
        <v>5</v>
      </c>
      <c r="AH59" s="1">
        <v>5</v>
      </c>
      <c r="AJ59" s="1">
        <v>5</v>
      </c>
      <c r="AL59" s="1">
        <v>5</v>
      </c>
      <c r="AN59" s="1">
        <v>5</v>
      </c>
      <c r="AP59" s="1">
        <v>5</v>
      </c>
      <c r="AR59" s="1">
        <v>4</v>
      </c>
    </row>
    <row r="60" spans="1:46">
      <c r="A60" s="40">
        <v>30</v>
      </c>
      <c r="B60" s="40">
        <v>1</v>
      </c>
      <c r="D60" s="40" t="str">
        <f t="shared" ca="1" si="4"/>
        <v>IT Service</v>
      </c>
      <c r="E60" s="40">
        <v>9</v>
      </c>
      <c r="F60" s="1">
        <v>4</v>
      </c>
      <c r="H60" s="1">
        <v>4</v>
      </c>
      <c r="J60" s="1">
        <v>4</v>
      </c>
      <c r="L60" s="1">
        <v>3</v>
      </c>
      <c r="N60" s="1">
        <v>4</v>
      </c>
      <c r="P60" s="1">
        <v>4</v>
      </c>
      <c r="R60" s="1">
        <v>4</v>
      </c>
      <c r="T60" s="1">
        <v>4</v>
      </c>
      <c r="V60" s="1">
        <v>4</v>
      </c>
      <c r="X60" s="1">
        <v>4</v>
      </c>
      <c r="Z60" s="1">
        <v>4</v>
      </c>
      <c r="AB60" s="1">
        <v>4</v>
      </c>
      <c r="AD60" s="1">
        <v>6</v>
      </c>
      <c r="AF60" s="1">
        <v>6</v>
      </c>
      <c r="AH60" s="1">
        <v>6</v>
      </c>
      <c r="AJ60" s="1">
        <v>6</v>
      </c>
      <c r="AL60" s="1">
        <v>6</v>
      </c>
      <c r="AN60" s="1">
        <v>4</v>
      </c>
      <c r="AP60" s="1">
        <v>4</v>
      </c>
      <c r="AR60" s="1">
        <v>6</v>
      </c>
    </row>
    <row r="61" spans="1:46" ht="63.75">
      <c r="A61" s="40">
        <v>31</v>
      </c>
      <c r="B61" s="40">
        <v>1</v>
      </c>
      <c r="D61" s="40" t="str">
        <f t="shared" ca="1" si="4"/>
        <v>Viewpoint</v>
      </c>
      <c r="E61" s="40">
        <v>7</v>
      </c>
      <c r="F61" s="1">
        <v>4</v>
      </c>
      <c r="H61" s="1">
        <v>3</v>
      </c>
      <c r="J61" s="1">
        <v>4</v>
      </c>
      <c r="L61" s="1">
        <v>4</v>
      </c>
      <c r="N61" s="1">
        <v>4</v>
      </c>
      <c r="P61" s="1">
        <v>3</v>
      </c>
      <c r="R61" s="1">
        <v>2</v>
      </c>
      <c r="S61" s="1" t="s">
        <v>227</v>
      </c>
      <c r="T61" s="1">
        <v>4</v>
      </c>
      <c r="V61" s="1">
        <v>2</v>
      </c>
      <c r="W61" s="1" t="s">
        <v>228</v>
      </c>
      <c r="X61" s="1">
        <v>4</v>
      </c>
      <c r="Z61" s="1">
        <v>4</v>
      </c>
      <c r="AB61" s="1">
        <v>4</v>
      </c>
      <c r="AD61" s="1">
        <v>3</v>
      </c>
      <c r="AF61" s="1">
        <v>3</v>
      </c>
      <c r="AH61" s="1">
        <v>4</v>
      </c>
      <c r="AJ61" s="1">
        <v>4</v>
      </c>
      <c r="AL61" s="1">
        <v>2</v>
      </c>
      <c r="AM61" s="1" t="s">
        <v>229</v>
      </c>
      <c r="AN61" s="1">
        <v>4</v>
      </c>
      <c r="AP61" s="1">
        <v>2</v>
      </c>
      <c r="AQ61" s="1" t="s">
        <v>230</v>
      </c>
      <c r="AR61" s="1">
        <v>2</v>
      </c>
      <c r="AS61" s="1" t="s">
        <v>231</v>
      </c>
      <c r="AT61" s="1" t="s">
        <v>232</v>
      </c>
    </row>
    <row r="62" spans="1:46">
      <c r="A62" s="40">
        <v>32</v>
      </c>
      <c r="B62" s="40">
        <v>1</v>
      </c>
      <c r="D62" s="40" t="str">
        <f t="shared" ca="1" si="4"/>
        <v>Help Desk</v>
      </c>
      <c r="E62" s="40">
        <v>3</v>
      </c>
      <c r="F62" s="1">
        <v>4</v>
      </c>
      <c r="H62" s="1">
        <v>4</v>
      </c>
      <c r="J62" s="1">
        <v>4</v>
      </c>
      <c r="L62" s="1">
        <v>4</v>
      </c>
      <c r="N62" s="1">
        <v>4</v>
      </c>
      <c r="P62" s="1">
        <v>4</v>
      </c>
      <c r="R62" s="1">
        <v>4</v>
      </c>
      <c r="T62" s="1">
        <v>4</v>
      </c>
      <c r="V62" s="1">
        <v>4</v>
      </c>
      <c r="X62" s="1">
        <v>3</v>
      </c>
      <c r="Z62" s="1">
        <v>4</v>
      </c>
      <c r="AB62" s="1">
        <v>3</v>
      </c>
      <c r="AD62" s="1">
        <v>4</v>
      </c>
      <c r="AF62" s="1">
        <v>4</v>
      </c>
      <c r="AH62" s="1">
        <v>4</v>
      </c>
      <c r="AJ62" s="1">
        <v>3</v>
      </c>
      <c r="AL62" s="1">
        <v>4</v>
      </c>
      <c r="AN62" s="1">
        <v>3</v>
      </c>
      <c r="AP62" s="1">
        <v>4</v>
      </c>
      <c r="AR62" s="1">
        <v>4</v>
      </c>
    </row>
    <row r="63" spans="1:46" ht="25.5">
      <c r="A63" s="40">
        <v>33</v>
      </c>
      <c r="B63" s="40">
        <v>1</v>
      </c>
      <c r="D63" s="40" t="str">
        <f t="shared" ref="D63:D94" ca="1" si="5">LOOKUP(E63,INDIRECT(Team_Name_Lookup))</f>
        <v>IT Sales</v>
      </c>
      <c r="E63" s="40">
        <v>8</v>
      </c>
      <c r="F63" s="1">
        <v>4</v>
      </c>
      <c r="H63" s="1">
        <v>5</v>
      </c>
      <c r="J63" s="1">
        <v>3</v>
      </c>
      <c r="L63" s="1">
        <v>3</v>
      </c>
      <c r="N63" s="1">
        <v>2</v>
      </c>
      <c r="O63" s="1" t="s">
        <v>233</v>
      </c>
      <c r="P63" s="1">
        <v>3</v>
      </c>
      <c r="R63" s="1">
        <v>4</v>
      </c>
      <c r="T63" s="1">
        <v>4</v>
      </c>
      <c r="V63" s="1">
        <v>4</v>
      </c>
      <c r="X63" s="1">
        <v>4</v>
      </c>
      <c r="Z63" s="1">
        <v>5</v>
      </c>
      <c r="AB63" s="1">
        <v>5</v>
      </c>
      <c r="AD63" s="1">
        <v>4</v>
      </c>
      <c r="AF63" s="1">
        <v>3</v>
      </c>
      <c r="AH63" s="1">
        <v>4</v>
      </c>
      <c r="AJ63" s="1">
        <v>3</v>
      </c>
      <c r="AL63" s="1">
        <v>4</v>
      </c>
      <c r="AN63" s="1">
        <v>4</v>
      </c>
      <c r="AP63" s="1">
        <v>4</v>
      </c>
      <c r="AR63" s="1">
        <v>4</v>
      </c>
    </row>
    <row r="64" spans="1:46">
      <c r="A64" s="40">
        <v>34</v>
      </c>
      <c r="B64" s="40">
        <v>1</v>
      </c>
      <c r="D64" s="40" t="str">
        <f t="shared" ca="1" si="5"/>
        <v>IT Service</v>
      </c>
      <c r="E64" s="40">
        <v>9</v>
      </c>
      <c r="F64" s="1">
        <v>4</v>
      </c>
      <c r="H64" s="1">
        <v>4</v>
      </c>
      <c r="J64" s="1">
        <v>4</v>
      </c>
      <c r="L64" s="1">
        <v>4</v>
      </c>
      <c r="N64" s="1">
        <v>4</v>
      </c>
      <c r="P64" s="1">
        <v>4</v>
      </c>
      <c r="R64" s="1">
        <v>4</v>
      </c>
      <c r="T64" s="1">
        <v>4</v>
      </c>
      <c r="V64" s="1">
        <v>3</v>
      </c>
      <c r="X64" s="1">
        <v>3</v>
      </c>
      <c r="Z64" s="1">
        <v>4</v>
      </c>
      <c r="AB64" s="1">
        <v>4</v>
      </c>
      <c r="AD64" s="1">
        <v>3</v>
      </c>
      <c r="AF64" s="1">
        <v>4</v>
      </c>
      <c r="AH64" s="1">
        <v>4</v>
      </c>
      <c r="AJ64" s="1">
        <v>3</v>
      </c>
      <c r="AL64" s="1">
        <v>4</v>
      </c>
      <c r="AN64" s="1">
        <v>4</v>
      </c>
      <c r="AP64" s="1">
        <v>3</v>
      </c>
      <c r="AR64" s="1">
        <v>3</v>
      </c>
    </row>
    <row r="65" spans="1:46" ht="25.5">
      <c r="A65" s="40">
        <v>35</v>
      </c>
      <c r="B65" s="40">
        <v>1</v>
      </c>
      <c r="D65" s="40" t="str">
        <f t="shared" ca="1" si="5"/>
        <v>IT Service</v>
      </c>
      <c r="E65" s="40">
        <v>9</v>
      </c>
      <c r="F65" s="1">
        <v>4</v>
      </c>
      <c r="H65" s="1">
        <v>4</v>
      </c>
      <c r="J65" s="1">
        <v>4</v>
      </c>
      <c r="L65" s="1">
        <v>5</v>
      </c>
      <c r="N65" s="1">
        <v>5</v>
      </c>
      <c r="P65" s="1">
        <v>5</v>
      </c>
      <c r="R65" s="1">
        <v>4</v>
      </c>
      <c r="T65" s="1">
        <v>4</v>
      </c>
      <c r="V65" s="1">
        <v>4</v>
      </c>
      <c r="X65" s="1">
        <v>5</v>
      </c>
      <c r="Z65" s="1">
        <v>4</v>
      </c>
      <c r="AB65" s="1">
        <v>5</v>
      </c>
      <c r="AD65" s="1">
        <v>6</v>
      </c>
      <c r="AF65" s="1">
        <v>4</v>
      </c>
      <c r="AH65" s="1">
        <v>5</v>
      </c>
      <c r="AJ65" s="1">
        <v>5</v>
      </c>
      <c r="AL65" s="1">
        <v>4</v>
      </c>
      <c r="AN65" s="1">
        <v>3</v>
      </c>
      <c r="AP65" s="1">
        <v>3</v>
      </c>
      <c r="AR65" s="1">
        <v>2</v>
      </c>
      <c r="AS65" s="1" t="s">
        <v>234</v>
      </c>
    </row>
    <row r="66" spans="1:46">
      <c r="A66" s="40">
        <v>36</v>
      </c>
      <c r="B66" s="40">
        <v>1</v>
      </c>
      <c r="D66" s="40" t="str">
        <f t="shared" ca="1" si="5"/>
        <v>IT Sales</v>
      </c>
      <c r="E66" s="40">
        <v>8</v>
      </c>
      <c r="F66" s="1">
        <v>4</v>
      </c>
      <c r="H66" s="1">
        <v>4</v>
      </c>
      <c r="J66" s="1">
        <v>5</v>
      </c>
      <c r="L66" s="1">
        <v>5</v>
      </c>
      <c r="N66" s="1">
        <v>5</v>
      </c>
      <c r="P66" s="1">
        <v>5</v>
      </c>
      <c r="R66" s="1">
        <v>4</v>
      </c>
      <c r="T66" s="1">
        <v>4</v>
      </c>
      <c r="V66" s="1">
        <v>4</v>
      </c>
      <c r="X66" s="1">
        <v>4</v>
      </c>
      <c r="Z66" s="1">
        <v>5</v>
      </c>
      <c r="AB66" s="1">
        <v>5</v>
      </c>
      <c r="AD66" s="1">
        <v>5</v>
      </c>
      <c r="AF66" s="1">
        <v>4</v>
      </c>
      <c r="AH66" s="1">
        <v>4</v>
      </c>
      <c r="AJ66" s="1">
        <v>4</v>
      </c>
      <c r="AL66" s="1">
        <v>3</v>
      </c>
      <c r="AN66" s="1">
        <v>4</v>
      </c>
      <c r="AP66" s="1">
        <v>4</v>
      </c>
      <c r="AR66" s="1">
        <v>4</v>
      </c>
    </row>
    <row r="67" spans="1:46">
      <c r="A67" s="40">
        <v>37</v>
      </c>
      <c r="B67" s="40">
        <v>1</v>
      </c>
      <c r="D67" s="40" t="str">
        <f t="shared" ca="1" si="5"/>
        <v>IT Service</v>
      </c>
      <c r="E67" s="40">
        <v>9</v>
      </c>
      <c r="F67" s="1">
        <v>3</v>
      </c>
      <c r="H67" s="1">
        <v>3</v>
      </c>
      <c r="J67" s="1">
        <v>4</v>
      </c>
      <c r="L67" s="1">
        <v>5</v>
      </c>
      <c r="N67" s="1">
        <v>3</v>
      </c>
      <c r="P67" s="1">
        <v>5</v>
      </c>
      <c r="R67" s="1">
        <v>5</v>
      </c>
      <c r="T67" s="1">
        <v>5</v>
      </c>
      <c r="V67" s="1">
        <v>5</v>
      </c>
      <c r="X67" s="1">
        <v>5</v>
      </c>
      <c r="Z67" s="1">
        <v>3</v>
      </c>
      <c r="AB67" s="1">
        <v>4</v>
      </c>
      <c r="AD67" s="1">
        <v>5</v>
      </c>
      <c r="AF67" s="1">
        <v>5</v>
      </c>
      <c r="AH67" s="1">
        <v>4</v>
      </c>
      <c r="AJ67" s="1">
        <v>3</v>
      </c>
      <c r="AL67" s="1">
        <v>3</v>
      </c>
      <c r="AN67" s="1">
        <v>3</v>
      </c>
      <c r="AP67" s="1">
        <v>3</v>
      </c>
      <c r="AR67" s="1">
        <v>3</v>
      </c>
      <c r="AT67" s="1" t="s">
        <v>235</v>
      </c>
    </row>
    <row r="68" spans="1:46">
      <c r="A68" s="40">
        <v>38</v>
      </c>
      <c r="B68" s="40">
        <v>1</v>
      </c>
      <c r="D68" s="40" t="str">
        <f t="shared" ca="1" si="5"/>
        <v>Product Admin</v>
      </c>
      <c r="E68" s="40">
        <v>10</v>
      </c>
      <c r="F68" s="1">
        <v>4</v>
      </c>
      <c r="H68" s="1">
        <v>4</v>
      </c>
      <c r="J68" s="1">
        <v>5</v>
      </c>
      <c r="L68" s="1">
        <v>5</v>
      </c>
      <c r="N68" s="1">
        <v>4</v>
      </c>
      <c r="P68" s="1">
        <v>5</v>
      </c>
      <c r="R68" s="1">
        <v>5</v>
      </c>
      <c r="T68" s="1">
        <v>5</v>
      </c>
      <c r="V68" s="1">
        <v>4</v>
      </c>
      <c r="X68" s="1">
        <v>4</v>
      </c>
      <c r="Z68" s="1">
        <v>4</v>
      </c>
      <c r="AB68" s="1">
        <v>5</v>
      </c>
      <c r="AD68" s="1">
        <v>4</v>
      </c>
      <c r="AF68" s="1">
        <v>4</v>
      </c>
      <c r="AH68" s="1">
        <v>4</v>
      </c>
      <c r="AI68" s="1" t="s">
        <v>236</v>
      </c>
      <c r="AJ68" s="1">
        <v>4</v>
      </c>
      <c r="AL68" s="1">
        <v>4</v>
      </c>
      <c r="AN68" s="1">
        <v>4</v>
      </c>
      <c r="AO68" s="1" t="s">
        <v>237</v>
      </c>
      <c r="AP68" s="1">
        <v>4</v>
      </c>
      <c r="AR68" s="1">
        <v>4</v>
      </c>
      <c r="AT68" s="1" t="s">
        <v>238</v>
      </c>
    </row>
    <row r="69" spans="1:46">
      <c r="A69" s="40">
        <v>39</v>
      </c>
      <c r="B69" s="40">
        <v>1</v>
      </c>
      <c r="D69" s="40" t="str">
        <f t="shared" ca="1" si="5"/>
        <v>Help Desk</v>
      </c>
      <c r="E69" s="40">
        <v>3</v>
      </c>
      <c r="F69" s="1">
        <v>4</v>
      </c>
      <c r="H69" s="1">
        <v>4</v>
      </c>
      <c r="J69" s="1">
        <v>5</v>
      </c>
      <c r="L69" s="1">
        <v>4</v>
      </c>
      <c r="N69" s="1">
        <v>5</v>
      </c>
      <c r="P69" s="1">
        <v>4</v>
      </c>
      <c r="R69" s="1">
        <v>5</v>
      </c>
      <c r="T69" s="1">
        <v>5</v>
      </c>
      <c r="V69" s="1">
        <v>3</v>
      </c>
      <c r="X69" s="1">
        <v>4</v>
      </c>
      <c r="Z69" s="1">
        <v>4</v>
      </c>
      <c r="AB69" s="1">
        <v>4</v>
      </c>
      <c r="AD69" s="1">
        <v>4</v>
      </c>
      <c r="AF69" s="1">
        <v>4</v>
      </c>
      <c r="AH69" s="1">
        <v>4</v>
      </c>
      <c r="AJ69" s="1">
        <v>3</v>
      </c>
      <c r="AL69" s="1">
        <v>3</v>
      </c>
      <c r="AN69" s="1">
        <v>4</v>
      </c>
      <c r="AP69" s="1">
        <v>4</v>
      </c>
      <c r="AR69" s="1">
        <v>4</v>
      </c>
    </row>
    <row r="70" spans="1:46">
      <c r="A70" s="40">
        <v>40</v>
      </c>
      <c r="B70" s="40">
        <v>1</v>
      </c>
      <c r="D70" s="40" t="str">
        <f t="shared" ca="1" si="5"/>
        <v>Workflow</v>
      </c>
      <c r="E70" s="40">
        <v>11</v>
      </c>
      <c r="F70" s="1">
        <v>4</v>
      </c>
      <c r="H70" s="1">
        <v>5</v>
      </c>
      <c r="J70" s="1">
        <v>5</v>
      </c>
      <c r="L70" s="1">
        <v>5</v>
      </c>
      <c r="N70" s="1">
        <v>3</v>
      </c>
      <c r="P70" s="1">
        <v>5</v>
      </c>
      <c r="R70" s="1">
        <v>5</v>
      </c>
      <c r="T70" s="1">
        <v>5</v>
      </c>
      <c r="V70" s="1">
        <v>5</v>
      </c>
      <c r="X70" s="1">
        <v>4</v>
      </c>
      <c r="Z70" s="1">
        <v>5</v>
      </c>
      <c r="AB70" s="1">
        <v>5</v>
      </c>
      <c r="AD70" s="1">
        <v>5</v>
      </c>
      <c r="AF70" s="1">
        <v>3</v>
      </c>
      <c r="AH70" s="1">
        <v>4</v>
      </c>
      <c r="AJ70" s="1">
        <v>5</v>
      </c>
      <c r="AL70" s="1">
        <v>3</v>
      </c>
      <c r="AN70" s="1">
        <v>5</v>
      </c>
      <c r="AP70" s="1">
        <v>5</v>
      </c>
      <c r="AR70" s="1">
        <v>5</v>
      </c>
    </row>
    <row r="71" spans="1:46">
      <c r="A71" s="40">
        <v>41</v>
      </c>
      <c r="B71" s="40">
        <v>1</v>
      </c>
      <c r="D71" s="40" t="str">
        <f t="shared" ca="1" si="5"/>
        <v>Workflow</v>
      </c>
      <c r="E71" s="40">
        <v>11</v>
      </c>
      <c r="F71" s="1">
        <v>3</v>
      </c>
      <c r="H71" s="1">
        <v>3</v>
      </c>
      <c r="J71" s="1">
        <v>2</v>
      </c>
      <c r="K71" s="1" t="s">
        <v>239</v>
      </c>
      <c r="L71" s="1">
        <v>4</v>
      </c>
      <c r="N71" s="1">
        <v>4</v>
      </c>
      <c r="P71" s="1">
        <v>5</v>
      </c>
      <c r="R71" s="1">
        <v>5</v>
      </c>
      <c r="T71" s="1">
        <v>5</v>
      </c>
      <c r="V71" s="1">
        <v>4</v>
      </c>
      <c r="X71" s="1">
        <v>4</v>
      </c>
      <c r="Z71" s="1">
        <v>3</v>
      </c>
      <c r="AB71" s="1">
        <v>4</v>
      </c>
      <c r="AD71" s="1">
        <v>5</v>
      </c>
      <c r="AF71" s="1">
        <v>4</v>
      </c>
      <c r="AH71" s="1">
        <v>4</v>
      </c>
      <c r="AJ71" s="1">
        <v>4</v>
      </c>
      <c r="AL71" s="1">
        <v>4</v>
      </c>
      <c r="AN71" s="1">
        <v>4</v>
      </c>
      <c r="AP71" s="1">
        <v>4</v>
      </c>
      <c r="AR71" s="1">
        <v>3</v>
      </c>
    </row>
    <row r="72" spans="1:46" ht="38.25">
      <c r="A72" s="40">
        <v>42</v>
      </c>
      <c r="B72" s="40">
        <v>1</v>
      </c>
      <c r="D72" s="40" t="str">
        <f t="shared" ca="1" si="5"/>
        <v>IT Service</v>
      </c>
      <c r="E72" s="40">
        <v>9</v>
      </c>
      <c r="F72" s="1">
        <v>2</v>
      </c>
      <c r="G72" s="1" t="s">
        <v>240</v>
      </c>
      <c r="H72" s="1">
        <v>2</v>
      </c>
      <c r="I72" s="1" t="s">
        <v>241</v>
      </c>
      <c r="J72" s="1">
        <v>3</v>
      </c>
      <c r="L72" s="1">
        <v>3</v>
      </c>
      <c r="N72" s="1">
        <v>2</v>
      </c>
      <c r="O72" s="1" t="s">
        <v>242</v>
      </c>
      <c r="P72" s="1">
        <v>4</v>
      </c>
      <c r="R72" s="1">
        <v>5</v>
      </c>
      <c r="T72" s="1">
        <v>4</v>
      </c>
      <c r="V72" s="1">
        <v>4</v>
      </c>
      <c r="X72" s="1">
        <v>5</v>
      </c>
      <c r="Z72" s="1">
        <v>5</v>
      </c>
      <c r="AB72" s="1">
        <v>5</v>
      </c>
      <c r="AD72" s="1">
        <v>3</v>
      </c>
      <c r="AF72" s="1">
        <v>1</v>
      </c>
      <c r="AG72" s="1" t="s">
        <v>243</v>
      </c>
      <c r="AH72" s="1">
        <v>4</v>
      </c>
      <c r="AJ72" s="1">
        <v>4</v>
      </c>
      <c r="AL72" s="1">
        <v>3</v>
      </c>
      <c r="AN72" s="1">
        <v>5</v>
      </c>
      <c r="AP72" s="1">
        <v>3</v>
      </c>
      <c r="AR72" s="1">
        <v>3</v>
      </c>
    </row>
    <row r="73" spans="1:46">
      <c r="A73" s="40">
        <v>43</v>
      </c>
      <c r="B73" s="40">
        <v>1</v>
      </c>
      <c r="D73" s="40" t="str">
        <f t="shared" ca="1" si="5"/>
        <v>Help Desk</v>
      </c>
      <c r="E73" s="40">
        <v>3</v>
      </c>
      <c r="F73" s="1">
        <v>4</v>
      </c>
      <c r="H73" s="1">
        <v>5</v>
      </c>
      <c r="J73" s="1">
        <v>5</v>
      </c>
      <c r="L73" s="1">
        <v>4</v>
      </c>
      <c r="N73" s="1">
        <v>4</v>
      </c>
      <c r="P73" s="1">
        <v>4</v>
      </c>
      <c r="R73" s="1">
        <v>4</v>
      </c>
      <c r="T73" s="1">
        <v>4</v>
      </c>
      <c r="V73" s="1">
        <v>4</v>
      </c>
      <c r="X73" s="1">
        <v>4</v>
      </c>
      <c r="Z73" s="1">
        <v>5</v>
      </c>
      <c r="AB73" s="1">
        <v>5</v>
      </c>
      <c r="AD73" s="1">
        <v>2</v>
      </c>
      <c r="AE73" s="1" t="s">
        <v>244</v>
      </c>
      <c r="AF73" s="1">
        <v>3</v>
      </c>
      <c r="AG73" s="1" t="s">
        <v>245</v>
      </c>
      <c r="AH73" s="1">
        <v>4</v>
      </c>
      <c r="AJ73" s="1">
        <v>4</v>
      </c>
      <c r="AL73" s="1">
        <v>4</v>
      </c>
      <c r="AN73" s="1">
        <v>4</v>
      </c>
      <c r="AP73" s="1">
        <v>3</v>
      </c>
      <c r="AR73" s="1">
        <v>4</v>
      </c>
    </row>
    <row r="74" spans="1:46" ht="25.5">
      <c r="A74" s="40">
        <v>44</v>
      </c>
      <c r="B74" s="40">
        <v>1</v>
      </c>
      <c r="D74" s="40" t="str">
        <f t="shared" ca="1" si="5"/>
        <v>IT Sales</v>
      </c>
      <c r="E74" s="40">
        <v>8</v>
      </c>
      <c r="F74" s="1">
        <v>4</v>
      </c>
      <c r="H74" s="1">
        <v>3</v>
      </c>
      <c r="J74" s="1">
        <v>3</v>
      </c>
      <c r="L74" s="1">
        <v>4</v>
      </c>
      <c r="N74" s="1">
        <v>4</v>
      </c>
      <c r="P74" s="1">
        <v>4</v>
      </c>
      <c r="R74" s="1">
        <v>5</v>
      </c>
      <c r="T74" s="1">
        <v>5</v>
      </c>
      <c r="V74" s="1">
        <v>4</v>
      </c>
      <c r="X74" s="1">
        <v>5</v>
      </c>
      <c r="Z74" s="1">
        <v>5</v>
      </c>
      <c r="AB74" s="1">
        <v>5</v>
      </c>
      <c r="AD74" s="1">
        <v>3</v>
      </c>
      <c r="AE74" s="1" t="s">
        <v>246</v>
      </c>
      <c r="AF74" s="1">
        <v>3</v>
      </c>
      <c r="AG74" s="1" t="s">
        <v>247</v>
      </c>
      <c r="AH74" s="1">
        <v>4</v>
      </c>
      <c r="AJ74" s="1">
        <v>5</v>
      </c>
      <c r="AL74" s="1">
        <v>4</v>
      </c>
      <c r="AN74" s="1">
        <v>4</v>
      </c>
      <c r="AP74" s="1">
        <v>2</v>
      </c>
      <c r="AQ74" s="1" t="s">
        <v>248</v>
      </c>
      <c r="AR74" s="1">
        <v>2</v>
      </c>
      <c r="AS74" s="1" t="s">
        <v>249</v>
      </c>
    </row>
    <row r="75" spans="1:46">
      <c r="A75" s="40">
        <v>45</v>
      </c>
      <c r="B75" s="40">
        <v>1</v>
      </c>
      <c r="D75" s="40" t="str">
        <f t="shared" ca="1" si="5"/>
        <v>IT Service</v>
      </c>
      <c r="E75" s="40">
        <v>9</v>
      </c>
      <c r="F75" s="1">
        <v>4</v>
      </c>
      <c r="H75" s="1">
        <v>4</v>
      </c>
      <c r="J75" s="1">
        <v>4</v>
      </c>
      <c r="L75" s="1">
        <v>4</v>
      </c>
      <c r="N75" s="1">
        <v>4</v>
      </c>
      <c r="P75" s="1">
        <v>5</v>
      </c>
      <c r="R75" s="1">
        <v>3</v>
      </c>
      <c r="T75" s="1">
        <v>4</v>
      </c>
      <c r="V75" s="1">
        <v>4</v>
      </c>
      <c r="X75" s="1">
        <v>4</v>
      </c>
      <c r="Z75" s="1">
        <v>4</v>
      </c>
      <c r="AB75" s="1">
        <v>4</v>
      </c>
      <c r="AD75" s="1">
        <v>4</v>
      </c>
      <c r="AF75" s="1">
        <v>4</v>
      </c>
      <c r="AH75" s="1">
        <v>3</v>
      </c>
      <c r="AJ75" s="1">
        <v>4</v>
      </c>
      <c r="AL75" s="1">
        <v>3</v>
      </c>
      <c r="AN75" s="1">
        <v>4</v>
      </c>
      <c r="AP75" s="1">
        <v>4</v>
      </c>
      <c r="AR75" s="1">
        <v>3</v>
      </c>
    </row>
    <row r="76" spans="1:46" ht="38.25">
      <c r="A76" s="40">
        <v>46</v>
      </c>
      <c r="B76" s="40">
        <v>1</v>
      </c>
      <c r="D76" s="40" t="str">
        <f t="shared" ca="1" si="5"/>
        <v>IT Service</v>
      </c>
      <c r="E76" s="40">
        <v>9</v>
      </c>
      <c r="F76" s="1">
        <v>4</v>
      </c>
      <c r="H76" s="1">
        <v>5</v>
      </c>
      <c r="J76" s="1">
        <v>3</v>
      </c>
      <c r="L76" s="1">
        <v>4</v>
      </c>
      <c r="N76" s="1">
        <v>3</v>
      </c>
      <c r="P76" s="1">
        <v>5</v>
      </c>
      <c r="R76" s="1">
        <v>4</v>
      </c>
      <c r="T76" s="1">
        <v>4</v>
      </c>
      <c r="V76" s="1">
        <v>5</v>
      </c>
      <c r="X76" s="1">
        <v>4</v>
      </c>
      <c r="Z76" s="1">
        <v>4</v>
      </c>
      <c r="AB76" s="1">
        <v>4</v>
      </c>
      <c r="AD76" s="1">
        <v>3</v>
      </c>
      <c r="AF76" s="1">
        <v>4</v>
      </c>
      <c r="AH76" s="1">
        <v>4</v>
      </c>
      <c r="AJ76" s="1">
        <v>5</v>
      </c>
      <c r="AL76" s="1">
        <v>4</v>
      </c>
      <c r="AN76" s="1">
        <v>4</v>
      </c>
      <c r="AP76" s="1">
        <v>3</v>
      </c>
      <c r="AQ76" s="1" t="s">
        <v>250</v>
      </c>
      <c r="AR76" s="1">
        <v>2</v>
      </c>
      <c r="AS76" s="1" t="s">
        <v>251</v>
      </c>
      <c r="AT76" s="1" t="s">
        <v>252</v>
      </c>
    </row>
    <row r="77" spans="1:46">
      <c r="A77" s="40">
        <v>47</v>
      </c>
      <c r="B77" s="40">
        <v>1</v>
      </c>
      <c r="D77" s="40" t="str">
        <f t="shared" ca="1" si="5"/>
        <v>IT Sales</v>
      </c>
      <c r="E77" s="40">
        <v>8</v>
      </c>
      <c r="F77" s="1">
        <v>4</v>
      </c>
      <c r="H77" s="1">
        <v>2</v>
      </c>
      <c r="J77" s="1">
        <v>4</v>
      </c>
      <c r="L77" s="1">
        <v>3</v>
      </c>
      <c r="N77" s="1">
        <v>4</v>
      </c>
      <c r="P77" s="1">
        <v>4</v>
      </c>
      <c r="R77" s="1">
        <v>4</v>
      </c>
      <c r="T77" s="1">
        <v>4</v>
      </c>
      <c r="V77" s="1">
        <v>4</v>
      </c>
      <c r="X77" s="1">
        <v>5</v>
      </c>
      <c r="Z77" s="1">
        <v>4</v>
      </c>
      <c r="AB77" s="1">
        <v>4</v>
      </c>
      <c r="AD77" s="1">
        <v>4</v>
      </c>
      <c r="AF77" s="1">
        <v>3</v>
      </c>
      <c r="AH77" s="1">
        <v>4</v>
      </c>
      <c r="AJ77" s="1">
        <v>2</v>
      </c>
      <c r="AL77" s="1">
        <v>3</v>
      </c>
      <c r="AN77" s="1">
        <v>3</v>
      </c>
      <c r="AP77" s="1">
        <v>3</v>
      </c>
      <c r="AR77" s="1">
        <v>6</v>
      </c>
    </row>
    <row r="78" spans="1:46" ht="63.75">
      <c r="A78" s="40">
        <v>48</v>
      </c>
      <c r="B78" s="40">
        <v>1</v>
      </c>
      <c r="D78" s="40" t="str">
        <f t="shared" ca="1" si="5"/>
        <v>Product Admin</v>
      </c>
      <c r="E78" s="40">
        <v>10</v>
      </c>
      <c r="F78" s="1">
        <v>4</v>
      </c>
      <c r="H78" s="1">
        <v>4</v>
      </c>
      <c r="J78" s="1">
        <v>4</v>
      </c>
      <c r="L78" s="1">
        <v>5</v>
      </c>
      <c r="N78" s="1">
        <v>5</v>
      </c>
      <c r="P78" s="1">
        <v>5</v>
      </c>
      <c r="R78" s="1">
        <v>5</v>
      </c>
      <c r="T78" s="1">
        <v>5</v>
      </c>
      <c r="V78" s="1">
        <v>5</v>
      </c>
      <c r="X78" s="1">
        <v>5</v>
      </c>
      <c r="Z78" s="1">
        <v>5</v>
      </c>
      <c r="AB78" s="1">
        <v>4</v>
      </c>
      <c r="AD78" s="1">
        <v>4</v>
      </c>
      <c r="AF78" s="1">
        <v>4</v>
      </c>
      <c r="AH78" s="1">
        <v>5</v>
      </c>
      <c r="AJ78" s="1">
        <v>4</v>
      </c>
      <c r="AL78" s="1">
        <v>2</v>
      </c>
      <c r="AM78" s="1" t="s">
        <v>253</v>
      </c>
      <c r="AN78" s="1">
        <v>5</v>
      </c>
      <c r="AP78" s="1">
        <v>4</v>
      </c>
      <c r="AR78" s="1">
        <v>3</v>
      </c>
      <c r="AS78" s="1" t="s">
        <v>254</v>
      </c>
      <c r="AT78" s="1" t="s">
        <v>255</v>
      </c>
    </row>
    <row r="79" spans="1:46">
      <c r="A79" s="40">
        <v>49</v>
      </c>
      <c r="B79" s="40">
        <v>1</v>
      </c>
      <c r="D79" s="40" t="str">
        <f t="shared" ca="1" si="5"/>
        <v>IT Service</v>
      </c>
      <c r="E79" s="40">
        <v>9</v>
      </c>
      <c r="F79" s="1">
        <v>1</v>
      </c>
      <c r="G79" s="1" t="s">
        <v>256</v>
      </c>
      <c r="H79" s="1">
        <v>3</v>
      </c>
      <c r="J79" s="1">
        <v>3</v>
      </c>
      <c r="L79" s="1">
        <v>4</v>
      </c>
      <c r="N79" s="1">
        <v>4</v>
      </c>
      <c r="P79" s="1">
        <v>4</v>
      </c>
      <c r="R79" s="1">
        <v>4</v>
      </c>
      <c r="T79" s="1">
        <v>3</v>
      </c>
      <c r="V79" s="1">
        <v>3</v>
      </c>
      <c r="X79" s="1">
        <v>4</v>
      </c>
      <c r="Z79" s="1">
        <v>4</v>
      </c>
      <c r="AB79" s="1">
        <v>3</v>
      </c>
      <c r="AD79" s="1">
        <v>4</v>
      </c>
      <c r="AF79" s="1">
        <v>3</v>
      </c>
      <c r="AH79" s="1">
        <v>4</v>
      </c>
      <c r="AJ79" s="1">
        <v>4</v>
      </c>
      <c r="AL79" s="1">
        <v>1</v>
      </c>
      <c r="AM79" s="1" t="s">
        <v>257</v>
      </c>
      <c r="AN79" s="1">
        <v>2</v>
      </c>
      <c r="AO79" s="1" t="s">
        <v>258</v>
      </c>
      <c r="AP79" s="1">
        <v>2</v>
      </c>
      <c r="AR79" s="1">
        <v>3</v>
      </c>
      <c r="AT79" s="1" t="s">
        <v>259</v>
      </c>
    </row>
    <row r="80" spans="1:46" ht="38.25">
      <c r="A80" s="40">
        <v>50</v>
      </c>
      <c r="B80" s="40">
        <v>1</v>
      </c>
      <c r="D80" s="40" t="str">
        <f t="shared" ca="1" si="5"/>
        <v>Product Admin</v>
      </c>
      <c r="E80" s="40">
        <v>10</v>
      </c>
      <c r="F80" s="1">
        <v>4</v>
      </c>
      <c r="H80" s="1">
        <v>4</v>
      </c>
      <c r="J80" s="1">
        <v>5</v>
      </c>
      <c r="L80" s="1">
        <v>5</v>
      </c>
      <c r="N80" s="1">
        <v>3</v>
      </c>
      <c r="P80" s="1">
        <v>4</v>
      </c>
      <c r="R80" s="1">
        <v>4</v>
      </c>
      <c r="T80" s="1">
        <v>5</v>
      </c>
      <c r="V80" s="1">
        <v>4</v>
      </c>
      <c r="X80" s="1">
        <v>4</v>
      </c>
      <c r="Z80" s="1">
        <v>4</v>
      </c>
      <c r="AB80" s="1">
        <v>4</v>
      </c>
      <c r="AD80" s="1">
        <v>3</v>
      </c>
      <c r="AF80" s="1">
        <v>2</v>
      </c>
      <c r="AG80" s="1" t="s">
        <v>260</v>
      </c>
      <c r="AH80" s="1">
        <v>4</v>
      </c>
      <c r="AJ80" s="1">
        <v>4</v>
      </c>
      <c r="AL80" s="1">
        <v>4</v>
      </c>
      <c r="AN80" s="1">
        <v>2</v>
      </c>
      <c r="AO80" s="1" t="s">
        <v>261</v>
      </c>
      <c r="AP80" s="1">
        <v>3</v>
      </c>
      <c r="AR80" s="1">
        <v>2</v>
      </c>
      <c r="AS80" s="1" t="s">
        <v>262</v>
      </c>
      <c r="AT80" s="1" t="s">
        <v>263</v>
      </c>
    </row>
    <row r="81" spans="1:44">
      <c r="A81" s="40">
        <v>51</v>
      </c>
      <c r="B81" s="40">
        <v>1</v>
      </c>
      <c r="D81" s="40" t="str">
        <f t="shared" ca="1" si="5"/>
        <v>Data Services</v>
      </c>
      <c r="E81" s="40">
        <v>1</v>
      </c>
      <c r="F81" s="1">
        <v>4</v>
      </c>
      <c r="H81" s="1">
        <v>4</v>
      </c>
      <c r="J81" s="1">
        <v>4</v>
      </c>
      <c r="L81" s="1">
        <v>4</v>
      </c>
      <c r="N81" s="1">
        <v>4</v>
      </c>
      <c r="P81" s="1">
        <v>4</v>
      </c>
      <c r="R81" s="1">
        <v>4</v>
      </c>
      <c r="T81" s="1">
        <v>4</v>
      </c>
      <c r="V81" s="1">
        <v>4</v>
      </c>
      <c r="X81" s="1">
        <v>4</v>
      </c>
      <c r="Z81" s="1">
        <v>4</v>
      </c>
      <c r="AB81" s="1">
        <v>4</v>
      </c>
      <c r="AD81" s="1">
        <v>4</v>
      </c>
      <c r="AF81" s="1">
        <v>4</v>
      </c>
      <c r="AH81" s="1">
        <v>4</v>
      </c>
      <c r="AJ81" s="1">
        <v>4</v>
      </c>
      <c r="AL81" s="1">
        <v>2</v>
      </c>
      <c r="AN81" s="1">
        <v>5</v>
      </c>
      <c r="AP81" s="1">
        <v>4</v>
      </c>
      <c r="AR81" s="1">
        <v>4</v>
      </c>
    </row>
    <row r="82" spans="1:44">
      <c r="A82" s="40">
        <v>52</v>
      </c>
      <c r="B82" s="40">
        <v>1</v>
      </c>
      <c r="D82" s="40" t="str">
        <f t="shared" ca="1" si="5"/>
        <v>Product Admin</v>
      </c>
      <c r="E82" s="40">
        <v>10</v>
      </c>
      <c r="F82" s="1">
        <v>4</v>
      </c>
      <c r="H82" s="1">
        <v>5</v>
      </c>
      <c r="J82" s="1">
        <v>4</v>
      </c>
      <c r="L82" s="1">
        <v>3</v>
      </c>
      <c r="N82" s="1">
        <v>4</v>
      </c>
      <c r="P82" s="1">
        <v>4</v>
      </c>
      <c r="R82" s="1">
        <v>3</v>
      </c>
      <c r="T82" s="1">
        <v>4</v>
      </c>
      <c r="V82" s="1">
        <v>5</v>
      </c>
      <c r="X82" s="1">
        <v>4</v>
      </c>
      <c r="Z82" s="1">
        <v>4</v>
      </c>
      <c r="AB82" s="1">
        <v>5</v>
      </c>
      <c r="AD82" s="1">
        <v>3</v>
      </c>
      <c r="AF82" s="1">
        <v>4</v>
      </c>
      <c r="AH82" s="1">
        <v>4</v>
      </c>
      <c r="AJ82" s="1">
        <v>3</v>
      </c>
      <c r="AL82" s="1">
        <v>3</v>
      </c>
      <c r="AN82" s="1">
        <v>5</v>
      </c>
      <c r="AP82" s="1">
        <v>5</v>
      </c>
      <c r="AR82" s="1">
        <v>4</v>
      </c>
    </row>
    <row r="83" spans="1:44">
      <c r="A83" s="40">
        <v>53</v>
      </c>
      <c r="B83" s="40">
        <v>1</v>
      </c>
      <c r="D83" s="40" t="str">
        <f t="shared" ca="1" si="5"/>
        <v>IT Finance</v>
      </c>
      <c r="E83" s="40">
        <v>4</v>
      </c>
      <c r="F83" s="1">
        <v>4</v>
      </c>
      <c r="H83" s="1">
        <v>3</v>
      </c>
      <c r="J83" s="1">
        <v>4</v>
      </c>
      <c r="L83" s="1">
        <v>4</v>
      </c>
      <c r="N83" s="1">
        <v>5</v>
      </c>
      <c r="P83" s="1">
        <v>5</v>
      </c>
      <c r="R83" s="1">
        <v>5</v>
      </c>
      <c r="T83" s="1">
        <v>5</v>
      </c>
      <c r="V83" s="1">
        <v>4</v>
      </c>
      <c r="X83" s="1">
        <v>5</v>
      </c>
      <c r="Z83" s="1">
        <v>5</v>
      </c>
      <c r="AB83" s="1">
        <v>5</v>
      </c>
      <c r="AD83" s="1">
        <v>4</v>
      </c>
      <c r="AF83" s="1">
        <v>4</v>
      </c>
      <c r="AH83" s="1">
        <v>5</v>
      </c>
      <c r="AJ83" s="1">
        <v>3</v>
      </c>
      <c r="AL83" s="1">
        <v>5</v>
      </c>
      <c r="AN83" s="1">
        <v>3</v>
      </c>
      <c r="AP83" s="1">
        <v>4</v>
      </c>
      <c r="AR83" s="1">
        <v>4</v>
      </c>
    </row>
    <row r="84" spans="1:44">
      <c r="A84" s="40">
        <v>54</v>
      </c>
      <c r="B84" s="40">
        <v>1</v>
      </c>
      <c r="D84" s="40" t="str">
        <f t="shared" ca="1" si="5"/>
        <v>Data Services</v>
      </c>
      <c r="E84" s="40">
        <v>1</v>
      </c>
      <c r="F84" s="1">
        <v>4</v>
      </c>
      <c r="H84" s="1">
        <v>3</v>
      </c>
      <c r="J84" s="1">
        <v>3</v>
      </c>
      <c r="L84" s="1">
        <v>4</v>
      </c>
      <c r="N84" s="1">
        <v>4</v>
      </c>
      <c r="P84" s="1">
        <v>4</v>
      </c>
      <c r="R84" s="1">
        <v>3</v>
      </c>
      <c r="T84" s="1">
        <v>4</v>
      </c>
      <c r="V84" s="1">
        <v>3</v>
      </c>
      <c r="X84" s="1">
        <v>3</v>
      </c>
      <c r="Z84" s="1">
        <v>4</v>
      </c>
      <c r="AB84" s="1">
        <v>4</v>
      </c>
      <c r="AD84" s="1">
        <v>3</v>
      </c>
      <c r="AF84" s="1">
        <v>3</v>
      </c>
      <c r="AH84" s="1">
        <v>4</v>
      </c>
      <c r="AJ84" s="1">
        <v>4</v>
      </c>
      <c r="AL84" s="1">
        <v>3</v>
      </c>
      <c r="AN84" s="1">
        <v>3</v>
      </c>
      <c r="AP84" s="1">
        <v>3</v>
      </c>
      <c r="AR84" s="1">
        <v>4</v>
      </c>
    </row>
    <row r="85" spans="1:44">
      <c r="A85" s="40">
        <v>55</v>
      </c>
      <c r="B85" s="40">
        <v>1</v>
      </c>
      <c r="D85" s="40" t="str">
        <f t="shared" ca="1" si="5"/>
        <v>Other</v>
      </c>
      <c r="E85" s="40">
        <v>12</v>
      </c>
      <c r="F85" s="1">
        <v>3</v>
      </c>
      <c r="H85" s="1">
        <v>3</v>
      </c>
      <c r="J85" s="1">
        <v>3</v>
      </c>
      <c r="L85" s="1">
        <v>6</v>
      </c>
      <c r="N85" s="1">
        <v>4</v>
      </c>
      <c r="P85" s="1">
        <v>4</v>
      </c>
      <c r="R85" s="1">
        <v>4</v>
      </c>
      <c r="T85" s="1">
        <v>4</v>
      </c>
      <c r="V85" s="1">
        <v>3</v>
      </c>
      <c r="X85" s="1">
        <v>3</v>
      </c>
      <c r="Z85" s="1">
        <v>3</v>
      </c>
      <c r="AB85" s="1">
        <v>3</v>
      </c>
      <c r="AD85" s="1">
        <v>6</v>
      </c>
      <c r="AF85" s="1">
        <v>6</v>
      </c>
      <c r="AH85" s="1">
        <v>4</v>
      </c>
      <c r="AJ85" s="1">
        <v>2</v>
      </c>
      <c r="AL85" s="1">
        <v>6</v>
      </c>
      <c r="AN85" s="1">
        <v>5</v>
      </c>
      <c r="AP85" s="1">
        <v>6</v>
      </c>
      <c r="AR85" s="1">
        <v>6</v>
      </c>
    </row>
    <row r="86" spans="1:44">
      <c r="A86" s="40">
        <v>56</v>
      </c>
      <c r="B86" s="40">
        <v>1</v>
      </c>
      <c r="D86" s="40" t="str">
        <f t="shared" ca="1" si="5"/>
        <v>IT Operations</v>
      </c>
      <c r="E86" s="40">
        <v>5</v>
      </c>
      <c r="F86" s="1">
        <v>4</v>
      </c>
      <c r="H86" s="1">
        <v>4</v>
      </c>
      <c r="J86" s="1">
        <v>5</v>
      </c>
      <c r="L86" s="1">
        <v>2</v>
      </c>
      <c r="M86" s="1" t="s">
        <v>264</v>
      </c>
      <c r="N86" s="1">
        <v>4</v>
      </c>
      <c r="P86" s="1">
        <v>4</v>
      </c>
      <c r="R86" s="1">
        <v>4</v>
      </c>
      <c r="T86" s="1">
        <v>4</v>
      </c>
      <c r="V86" s="1">
        <v>4</v>
      </c>
      <c r="X86" s="1">
        <v>4</v>
      </c>
      <c r="Z86" s="1">
        <v>5</v>
      </c>
      <c r="AB86" s="1">
        <v>5</v>
      </c>
      <c r="AD86" s="1">
        <v>4</v>
      </c>
      <c r="AF86" s="1">
        <v>2</v>
      </c>
      <c r="AG86" s="1" t="s">
        <v>264</v>
      </c>
      <c r="AH86" s="1">
        <v>4</v>
      </c>
      <c r="AJ86" s="1">
        <v>4</v>
      </c>
      <c r="AL86" s="1">
        <v>2</v>
      </c>
      <c r="AM86" s="1" t="s">
        <v>265</v>
      </c>
      <c r="AN86" s="1">
        <v>5</v>
      </c>
      <c r="AP86" s="1">
        <v>5</v>
      </c>
      <c r="AR86" s="1">
        <v>5</v>
      </c>
    </row>
    <row r="87" spans="1:44">
      <c r="A87" s="40">
        <v>57</v>
      </c>
      <c r="B87" s="40">
        <v>1</v>
      </c>
      <c r="D87" s="40" t="str">
        <f t="shared" ca="1" si="5"/>
        <v>Data Services</v>
      </c>
      <c r="E87" s="40">
        <v>1</v>
      </c>
      <c r="F87" s="1">
        <v>5</v>
      </c>
      <c r="H87" s="1">
        <v>4</v>
      </c>
      <c r="J87" s="1">
        <v>5</v>
      </c>
      <c r="L87" s="1">
        <v>5</v>
      </c>
      <c r="N87" s="1">
        <v>5</v>
      </c>
      <c r="P87" s="1">
        <v>5</v>
      </c>
      <c r="R87" s="1">
        <v>5</v>
      </c>
      <c r="T87" s="1">
        <v>5</v>
      </c>
      <c r="V87" s="1">
        <v>5</v>
      </c>
      <c r="X87" s="1">
        <v>5</v>
      </c>
      <c r="Z87" s="1">
        <v>5</v>
      </c>
      <c r="AB87" s="1">
        <v>5</v>
      </c>
      <c r="AD87" s="1">
        <v>5</v>
      </c>
      <c r="AF87" s="1">
        <v>5</v>
      </c>
      <c r="AH87" s="1">
        <v>5</v>
      </c>
      <c r="AJ87" s="1">
        <v>5</v>
      </c>
      <c r="AL87" s="1">
        <v>4</v>
      </c>
      <c r="AN87" s="1">
        <v>4</v>
      </c>
      <c r="AP87" s="1">
        <v>4</v>
      </c>
      <c r="AR87" s="1">
        <v>5</v>
      </c>
    </row>
    <row r="88" spans="1:44">
      <c r="A88" s="40">
        <v>58</v>
      </c>
      <c r="B88" s="40">
        <v>1</v>
      </c>
      <c r="D88" s="40" t="str">
        <f t="shared" ca="1" si="5"/>
        <v>Data Services</v>
      </c>
      <c r="E88" s="40">
        <v>1</v>
      </c>
      <c r="F88" s="1">
        <v>5</v>
      </c>
      <c r="H88" s="1">
        <v>5</v>
      </c>
      <c r="J88" s="1">
        <v>5</v>
      </c>
      <c r="L88" s="1">
        <v>5</v>
      </c>
      <c r="N88" s="1">
        <v>5</v>
      </c>
      <c r="P88" s="1">
        <v>5</v>
      </c>
      <c r="R88" s="1">
        <v>5</v>
      </c>
      <c r="T88" s="1">
        <v>5</v>
      </c>
      <c r="V88" s="1">
        <v>5</v>
      </c>
      <c r="X88" s="1">
        <v>5</v>
      </c>
      <c r="Z88" s="1">
        <v>5</v>
      </c>
      <c r="AB88" s="1">
        <v>5</v>
      </c>
      <c r="AD88" s="1">
        <v>5</v>
      </c>
      <c r="AF88" s="1">
        <v>5</v>
      </c>
      <c r="AH88" s="1">
        <v>5</v>
      </c>
      <c r="AJ88" s="1">
        <v>5</v>
      </c>
      <c r="AL88" s="1">
        <v>5</v>
      </c>
      <c r="AN88" s="1">
        <v>5</v>
      </c>
      <c r="AP88" s="1">
        <v>5</v>
      </c>
      <c r="AR88" s="1">
        <v>5</v>
      </c>
    </row>
    <row r="89" spans="1:44">
      <c r="A89" s="40">
        <v>59</v>
      </c>
      <c r="B89" s="40">
        <v>1</v>
      </c>
      <c r="D89" s="40" t="str">
        <f t="shared" ca="1" si="5"/>
        <v>IT Sales</v>
      </c>
      <c r="E89" s="40">
        <v>8</v>
      </c>
      <c r="F89" s="1">
        <v>4</v>
      </c>
      <c r="H89" s="1">
        <v>4</v>
      </c>
      <c r="J89" s="1">
        <v>4</v>
      </c>
      <c r="L89" s="1">
        <v>4</v>
      </c>
      <c r="N89" s="1">
        <v>4</v>
      </c>
      <c r="P89" s="1">
        <v>5</v>
      </c>
      <c r="R89" s="1">
        <v>4</v>
      </c>
      <c r="T89" s="1">
        <v>4</v>
      </c>
      <c r="V89" s="1">
        <v>4</v>
      </c>
      <c r="X89" s="1">
        <v>4</v>
      </c>
      <c r="Z89" s="1">
        <v>4</v>
      </c>
      <c r="AB89" s="1">
        <v>4</v>
      </c>
      <c r="AD89" s="1">
        <v>4</v>
      </c>
      <c r="AF89" s="1">
        <v>4</v>
      </c>
      <c r="AH89" s="1">
        <v>4</v>
      </c>
      <c r="AJ89" s="1">
        <v>6</v>
      </c>
      <c r="AL89" s="1">
        <v>3</v>
      </c>
      <c r="AN89" s="1">
        <v>4</v>
      </c>
      <c r="AP89" s="1">
        <v>4</v>
      </c>
      <c r="AR89" s="1">
        <v>4</v>
      </c>
    </row>
    <row r="90" spans="1:44">
      <c r="A90" s="40">
        <v>60</v>
      </c>
      <c r="B90" s="40">
        <v>1</v>
      </c>
      <c r="D90" s="40" t="str">
        <f t="shared" ca="1" si="5"/>
        <v>Data Services</v>
      </c>
      <c r="E90" s="40">
        <v>1</v>
      </c>
      <c r="F90" s="1">
        <v>5</v>
      </c>
      <c r="H90" s="1">
        <v>5</v>
      </c>
      <c r="J90" s="1">
        <v>3</v>
      </c>
      <c r="L90" s="1">
        <v>4</v>
      </c>
      <c r="N90" s="1">
        <v>4</v>
      </c>
      <c r="P90" s="1">
        <v>5</v>
      </c>
      <c r="R90" s="1">
        <v>5</v>
      </c>
      <c r="T90" s="1">
        <v>5</v>
      </c>
      <c r="V90" s="1">
        <v>5</v>
      </c>
      <c r="X90" s="1">
        <v>5</v>
      </c>
      <c r="Z90" s="1">
        <v>5</v>
      </c>
      <c r="AB90" s="1">
        <v>4</v>
      </c>
      <c r="AD90" s="1">
        <v>3</v>
      </c>
      <c r="AF90" s="1">
        <v>3</v>
      </c>
      <c r="AH90" s="1">
        <v>5</v>
      </c>
      <c r="AJ90" s="1">
        <v>3</v>
      </c>
      <c r="AL90" s="1">
        <v>4</v>
      </c>
      <c r="AN90" s="1">
        <v>5</v>
      </c>
      <c r="AP90" s="1">
        <v>5</v>
      </c>
      <c r="AR90" s="1">
        <v>4</v>
      </c>
    </row>
    <row r="91" spans="1:44">
      <c r="A91" s="40">
        <v>61</v>
      </c>
      <c r="B91" s="40">
        <v>1</v>
      </c>
      <c r="D91" s="40" t="str">
        <f t="shared" ca="1" si="5"/>
        <v>IT Sales</v>
      </c>
      <c r="E91" s="40">
        <v>8</v>
      </c>
      <c r="F91" s="1">
        <v>3</v>
      </c>
      <c r="H91" s="1">
        <v>3</v>
      </c>
      <c r="J91" s="1">
        <v>5</v>
      </c>
      <c r="L91" s="1">
        <v>4</v>
      </c>
      <c r="N91" s="1">
        <v>4</v>
      </c>
      <c r="P91" s="1">
        <v>4</v>
      </c>
      <c r="R91" s="1">
        <v>5</v>
      </c>
      <c r="T91" s="1">
        <v>5</v>
      </c>
      <c r="V91" s="1">
        <v>4</v>
      </c>
      <c r="X91" s="1">
        <v>4</v>
      </c>
      <c r="Z91" s="1">
        <v>4</v>
      </c>
      <c r="AB91" s="1">
        <v>4</v>
      </c>
      <c r="AD91" s="1">
        <v>3</v>
      </c>
      <c r="AF91" s="1">
        <v>3</v>
      </c>
      <c r="AH91" s="1">
        <v>4</v>
      </c>
      <c r="AJ91" s="1">
        <v>3</v>
      </c>
      <c r="AL91" s="1">
        <v>4</v>
      </c>
      <c r="AN91" s="1">
        <v>4</v>
      </c>
      <c r="AP91" s="1">
        <v>3</v>
      </c>
      <c r="AR91" s="1">
        <v>3</v>
      </c>
    </row>
    <row r="92" spans="1:44" ht="25.5">
      <c r="A92" s="40">
        <v>62</v>
      </c>
      <c r="B92" s="40">
        <v>1</v>
      </c>
      <c r="D92" s="40" t="str">
        <f t="shared" ca="1" si="5"/>
        <v>IT Service</v>
      </c>
      <c r="E92" s="40">
        <v>9</v>
      </c>
      <c r="F92" s="1">
        <v>4</v>
      </c>
      <c r="H92" s="1">
        <v>3</v>
      </c>
      <c r="J92" s="1">
        <v>4</v>
      </c>
      <c r="L92" s="1">
        <v>4</v>
      </c>
      <c r="N92" s="1">
        <v>2</v>
      </c>
      <c r="O92" s="1" t="s">
        <v>266</v>
      </c>
      <c r="P92" s="1">
        <v>5</v>
      </c>
      <c r="R92" s="1">
        <v>5</v>
      </c>
      <c r="T92" s="1">
        <v>5</v>
      </c>
      <c r="V92" s="1">
        <v>4</v>
      </c>
      <c r="X92" s="1">
        <v>4</v>
      </c>
      <c r="Z92" s="1">
        <v>5</v>
      </c>
      <c r="AB92" s="1">
        <v>5</v>
      </c>
      <c r="AD92" s="1">
        <v>3</v>
      </c>
      <c r="AF92" s="1">
        <v>4</v>
      </c>
      <c r="AH92" s="1">
        <v>5</v>
      </c>
      <c r="AJ92" s="1">
        <v>5</v>
      </c>
      <c r="AL92" s="1">
        <v>3</v>
      </c>
      <c r="AN92" s="1">
        <v>4</v>
      </c>
      <c r="AP92" s="1">
        <v>4</v>
      </c>
      <c r="AR92" s="1">
        <v>4</v>
      </c>
    </row>
    <row r="93" spans="1:44">
      <c r="A93" s="40">
        <v>63</v>
      </c>
      <c r="B93" s="40">
        <v>1</v>
      </c>
      <c r="D93" s="40" t="str">
        <f t="shared" ca="1" si="5"/>
        <v>IT Producer</v>
      </c>
      <c r="E93" s="40">
        <v>6</v>
      </c>
      <c r="F93" s="1">
        <v>4</v>
      </c>
      <c r="H93" s="1">
        <v>5</v>
      </c>
      <c r="J93" s="1">
        <v>4</v>
      </c>
      <c r="L93" s="1">
        <v>4</v>
      </c>
      <c r="N93" s="1">
        <v>4</v>
      </c>
      <c r="P93" s="1">
        <v>4</v>
      </c>
      <c r="R93" s="1">
        <v>5</v>
      </c>
      <c r="T93" s="1">
        <v>5</v>
      </c>
      <c r="V93" s="1">
        <v>4</v>
      </c>
      <c r="X93" s="1">
        <v>4</v>
      </c>
      <c r="Z93" s="1">
        <v>4</v>
      </c>
      <c r="AB93" s="1">
        <v>5</v>
      </c>
      <c r="AD93" s="1">
        <v>4</v>
      </c>
      <c r="AF93" s="1">
        <v>4</v>
      </c>
      <c r="AH93" s="1">
        <v>4</v>
      </c>
      <c r="AJ93" s="1">
        <v>4</v>
      </c>
      <c r="AL93" s="1">
        <v>5</v>
      </c>
      <c r="AN93" s="1">
        <v>4</v>
      </c>
      <c r="AP93" s="1">
        <v>3</v>
      </c>
      <c r="AR93" s="1">
        <v>4</v>
      </c>
    </row>
    <row r="94" spans="1:44" ht="63.75">
      <c r="A94" s="40">
        <v>64</v>
      </c>
      <c r="B94" s="40">
        <v>1</v>
      </c>
      <c r="D94" s="40" t="str">
        <f t="shared" ca="1" si="5"/>
        <v>IT Service</v>
      </c>
      <c r="E94" s="40">
        <v>9</v>
      </c>
      <c r="F94" s="1">
        <v>4</v>
      </c>
      <c r="H94" s="1">
        <v>4</v>
      </c>
      <c r="J94" s="1">
        <v>3</v>
      </c>
      <c r="L94" s="1">
        <v>4</v>
      </c>
      <c r="N94" s="1">
        <v>2</v>
      </c>
      <c r="O94" s="1" t="s">
        <v>267</v>
      </c>
      <c r="P94" s="1">
        <v>4</v>
      </c>
      <c r="R94" s="1">
        <v>5</v>
      </c>
      <c r="T94" s="1">
        <v>5</v>
      </c>
      <c r="V94" s="1">
        <v>4</v>
      </c>
      <c r="X94" s="1">
        <v>4</v>
      </c>
      <c r="Z94" s="1">
        <v>4</v>
      </c>
      <c r="AB94" s="1">
        <v>4</v>
      </c>
      <c r="AD94" s="1">
        <v>4</v>
      </c>
      <c r="AF94" s="1">
        <v>4</v>
      </c>
      <c r="AH94" s="1">
        <v>4</v>
      </c>
      <c r="AJ94" s="1">
        <v>4</v>
      </c>
      <c r="AL94" s="1">
        <v>3</v>
      </c>
      <c r="AN94" s="1">
        <v>4</v>
      </c>
      <c r="AP94" s="1">
        <v>3</v>
      </c>
      <c r="AR94" s="1">
        <v>3</v>
      </c>
    </row>
    <row r="95" spans="1:44">
      <c r="A95" s="40">
        <v>65</v>
      </c>
      <c r="B95" s="40">
        <v>1</v>
      </c>
      <c r="D95" s="40" t="str">
        <f t="shared" ref="D95:D126" ca="1" si="6">LOOKUP(E95,INDIRECT(Team_Name_Lookup))</f>
        <v>IT Service</v>
      </c>
      <c r="E95" s="40">
        <v>9</v>
      </c>
      <c r="F95" s="1">
        <v>4</v>
      </c>
      <c r="H95" s="1">
        <v>4</v>
      </c>
      <c r="J95" s="1">
        <v>3</v>
      </c>
      <c r="L95" s="1">
        <v>4</v>
      </c>
      <c r="N95" s="1">
        <v>4</v>
      </c>
      <c r="P95" s="1">
        <v>4</v>
      </c>
      <c r="R95" s="1">
        <v>4</v>
      </c>
      <c r="T95" s="1">
        <v>4</v>
      </c>
      <c r="V95" s="1">
        <v>4</v>
      </c>
      <c r="X95" s="1">
        <v>3</v>
      </c>
      <c r="Z95" s="1">
        <v>4</v>
      </c>
      <c r="AB95" s="1">
        <v>4</v>
      </c>
      <c r="AD95" s="1">
        <v>4</v>
      </c>
      <c r="AF95" s="1">
        <v>3</v>
      </c>
      <c r="AH95" s="1">
        <v>4</v>
      </c>
      <c r="AJ95" s="1">
        <v>3</v>
      </c>
      <c r="AL95" s="1">
        <v>4</v>
      </c>
      <c r="AN95" s="1">
        <v>2</v>
      </c>
      <c r="AP95" s="1">
        <v>3</v>
      </c>
      <c r="AR95" s="1">
        <v>3</v>
      </c>
    </row>
    <row r="96" spans="1:44">
      <c r="A96" s="40">
        <v>66</v>
      </c>
      <c r="B96" s="40">
        <v>1</v>
      </c>
      <c r="D96" s="40" t="str">
        <f t="shared" ca="1" si="6"/>
        <v>IT Producer</v>
      </c>
      <c r="E96" s="40">
        <v>6</v>
      </c>
      <c r="F96" s="1">
        <v>4</v>
      </c>
      <c r="H96" s="1">
        <v>4</v>
      </c>
      <c r="J96" s="1">
        <v>4</v>
      </c>
      <c r="L96" s="1">
        <v>4</v>
      </c>
      <c r="N96" s="1">
        <v>4</v>
      </c>
      <c r="P96" s="1">
        <v>4</v>
      </c>
      <c r="R96" s="1">
        <v>4</v>
      </c>
      <c r="T96" s="1">
        <v>4</v>
      </c>
      <c r="V96" s="1">
        <v>4</v>
      </c>
      <c r="X96" s="1">
        <v>4</v>
      </c>
      <c r="Z96" s="1">
        <v>4</v>
      </c>
      <c r="AB96" s="1">
        <v>4</v>
      </c>
      <c r="AD96" s="1">
        <v>4</v>
      </c>
      <c r="AF96" s="1">
        <v>4</v>
      </c>
      <c r="AH96" s="1">
        <v>4</v>
      </c>
      <c r="AJ96" s="1">
        <v>4</v>
      </c>
      <c r="AL96" s="1">
        <v>4</v>
      </c>
      <c r="AN96" s="1">
        <v>4</v>
      </c>
      <c r="AP96" s="1">
        <v>6</v>
      </c>
      <c r="AR96" s="1">
        <v>6</v>
      </c>
    </row>
    <row r="97" spans="1:46" ht="38.25">
      <c r="A97" s="40">
        <v>67</v>
      </c>
      <c r="B97" s="40">
        <v>1</v>
      </c>
      <c r="D97" s="40" t="str">
        <f t="shared" ca="1" si="6"/>
        <v>IT Service</v>
      </c>
      <c r="E97" s="40">
        <v>9</v>
      </c>
      <c r="F97" s="1">
        <v>2</v>
      </c>
      <c r="G97" s="1" t="s">
        <v>268</v>
      </c>
      <c r="H97" s="1">
        <v>2</v>
      </c>
      <c r="I97" s="1" t="s">
        <v>269</v>
      </c>
      <c r="J97" s="1">
        <v>3</v>
      </c>
      <c r="L97" s="1">
        <v>3</v>
      </c>
      <c r="N97" s="1">
        <v>4</v>
      </c>
      <c r="P97" s="1">
        <v>3</v>
      </c>
      <c r="R97" s="1">
        <v>4</v>
      </c>
      <c r="T97" s="1">
        <v>4</v>
      </c>
      <c r="V97" s="1">
        <v>3</v>
      </c>
      <c r="X97" s="1">
        <v>3</v>
      </c>
      <c r="Z97" s="1">
        <v>3</v>
      </c>
      <c r="AB97" s="1">
        <v>3</v>
      </c>
      <c r="AD97" s="1">
        <v>1</v>
      </c>
      <c r="AE97" s="1" t="s">
        <v>270</v>
      </c>
      <c r="AF97" s="1">
        <v>4</v>
      </c>
      <c r="AH97" s="1">
        <v>4</v>
      </c>
      <c r="AJ97" s="1">
        <v>4</v>
      </c>
      <c r="AL97" s="1">
        <v>3</v>
      </c>
      <c r="AN97" s="1">
        <v>2</v>
      </c>
      <c r="AO97" s="1" t="s">
        <v>271</v>
      </c>
      <c r="AP97" s="1">
        <v>4</v>
      </c>
      <c r="AR97" s="1">
        <v>2</v>
      </c>
      <c r="AS97" s="1" t="s">
        <v>272</v>
      </c>
      <c r="AT97" s="1" t="s">
        <v>273</v>
      </c>
    </row>
    <row r="98" spans="1:46">
      <c r="A98" s="40">
        <v>68</v>
      </c>
      <c r="B98" s="40">
        <v>1</v>
      </c>
      <c r="D98" s="40" t="str">
        <f t="shared" ca="1" si="6"/>
        <v>IT Sales</v>
      </c>
      <c r="E98" s="40">
        <v>8</v>
      </c>
      <c r="F98" s="1">
        <v>1</v>
      </c>
      <c r="G98" s="1" t="s">
        <v>274</v>
      </c>
      <c r="H98" s="1">
        <v>1</v>
      </c>
      <c r="I98" s="1" t="s">
        <v>274</v>
      </c>
      <c r="J98" s="1">
        <v>1</v>
      </c>
      <c r="K98" s="1" t="s">
        <v>275</v>
      </c>
      <c r="L98" s="1">
        <v>1</v>
      </c>
      <c r="M98" s="1" t="s">
        <v>276</v>
      </c>
      <c r="N98" s="1">
        <v>1</v>
      </c>
      <c r="O98" s="1" t="s">
        <v>277</v>
      </c>
      <c r="P98" s="1">
        <v>4</v>
      </c>
      <c r="R98" s="1">
        <v>5</v>
      </c>
      <c r="T98" s="1">
        <v>5</v>
      </c>
      <c r="V98" s="1">
        <v>1</v>
      </c>
      <c r="W98" s="1" t="s">
        <v>278</v>
      </c>
      <c r="X98" s="1">
        <v>3</v>
      </c>
      <c r="Z98" s="1">
        <v>4</v>
      </c>
      <c r="AB98" s="1">
        <v>5</v>
      </c>
      <c r="AD98" s="1">
        <v>3</v>
      </c>
      <c r="AE98" s="1" t="s">
        <v>279</v>
      </c>
      <c r="AF98" s="1">
        <v>3</v>
      </c>
      <c r="AG98" s="1" t="s">
        <v>279</v>
      </c>
      <c r="AH98" s="1">
        <v>3</v>
      </c>
      <c r="AI98" s="1" t="s">
        <v>280</v>
      </c>
      <c r="AJ98" s="1">
        <v>1</v>
      </c>
      <c r="AK98" s="1" t="s">
        <v>281</v>
      </c>
      <c r="AL98" s="1">
        <v>1</v>
      </c>
      <c r="AM98" s="1" t="s">
        <v>282</v>
      </c>
      <c r="AN98" s="1">
        <v>1</v>
      </c>
      <c r="AO98" s="1" t="s">
        <v>283</v>
      </c>
      <c r="AP98" s="1">
        <v>6</v>
      </c>
      <c r="AR98" s="1">
        <v>6</v>
      </c>
      <c r="AT98" s="1" t="s">
        <v>274</v>
      </c>
    </row>
    <row r="99" spans="1:46">
      <c r="A99" s="40">
        <v>69</v>
      </c>
      <c r="B99" s="40">
        <v>1</v>
      </c>
      <c r="D99" s="40" t="str">
        <f t="shared" ca="1" si="6"/>
        <v>IT Operations</v>
      </c>
      <c r="E99" s="40">
        <v>5</v>
      </c>
      <c r="F99" s="1">
        <v>4</v>
      </c>
      <c r="H99" s="1">
        <v>4</v>
      </c>
      <c r="J99" s="1">
        <v>4</v>
      </c>
      <c r="L99" s="1">
        <v>4</v>
      </c>
      <c r="N99" s="1">
        <v>4</v>
      </c>
      <c r="P99" s="1">
        <v>4</v>
      </c>
      <c r="R99" s="1">
        <v>4</v>
      </c>
      <c r="T99" s="1">
        <v>4</v>
      </c>
      <c r="V99" s="1">
        <v>4</v>
      </c>
      <c r="X99" s="1">
        <v>4</v>
      </c>
      <c r="Z99" s="1">
        <v>4</v>
      </c>
      <c r="AB99" s="1">
        <v>4</v>
      </c>
      <c r="AD99" s="1">
        <v>3</v>
      </c>
      <c r="AF99" s="1">
        <v>3</v>
      </c>
      <c r="AH99" s="1">
        <v>4</v>
      </c>
      <c r="AJ99" s="1">
        <v>3</v>
      </c>
      <c r="AL99" s="1">
        <v>3</v>
      </c>
      <c r="AN99" s="1">
        <v>4</v>
      </c>
      <c r="AP99" s="1">
        <v>4</v>
      </c>
      <c r="AR99" s="1">
        <v>4</v>
      </c>
    </row>
    <row r="100" spans="1:46">
      <c r="A100" s="40">
        <v>70</v>
      </c>
      <c r="B100" s="40">
        <v>1</v>
      </c>
      <c r="D100" s="40" t="str">
        <f t="shared" ca="1" si="6"/>
        <v>IT Operations</v>
      </c>
      <c r="E100" s="40">
        <v>5</v>
      </c>
      <c r="F100" s="1">
        <v>4</v>
      </c>
      <c r="H100" s="1">
        <v>4</v>
      </c>
      <c r="J100" s="1">
        <v>4</v>
      </c>
      <c r="L100" s="1">
        <v>3</v>
      </c>
      <c r="N100" s="1">
        <v>4</v>
      </c>
      <c r="P100" s="1">
        <v>4</v>
      </c>
      <c r="R100" s="1">
        <v>4</v>
      </c>
      <c r="T100" s="1">
        <v>4</v>
      </c>
      <c r="V100" s="1">
        <v>4</v>
      </c>
      <c r="X100" s="1">
        <v>4</v>
      </c>
      <c r="Z100" s="1">
        <v>4</v>
      </c>
      <c r="AB100" s="1">
        <v>4</v>
      </c>
      <c r="AD100" s="1">
        <v>3</v>
      </c>
      <c r="AF100" s="1">
        <v>3</v>
      </c>
      <c r="AH100" s="1">
        <v>4</v>
      </c>
      <c r="AJ100" s="1">
        <v>3</v>
      </c>
      <c r="AL100" s="1">
        <v>2</v>
      </c>
      <c r="AM100" s="1" t="s">
        <v>284</v>
      </c>
      <c r="AN100" s="1">
        <v>4</v>
      </c>
      <c r="AP100" s="1">
        <v>4</v>
      </c>
      <c r="AR100" s="1">
        <v>4</v>
      </c>
    </row>
    <row r="101" spans="1:46">
      <c r="A101" s="40">
        <v>71</v>
      </c>
      <c r="B101" s="40">
        <v>1</v>
      </c>
      <c r="D101" s="40" t="str">
        <f t="shared" ca="1" si="6"/>
        <v>IT Operations</v>
      </c>
      <c r="E101" s="40">
        <v>5</v>
      </c>
      <c r="F101" s="1">
        <v>1</v>
      </c>
      <c r="H101" s="1">
        <v>2</v>
      </c>
      <c r="J101" s="1">
        <v>4</v>
      </c>
      <c r="L101" s="1">
        <v>4</v>
      </c>
      <c r="N101" s="1">
        <v>4</v>
      </c>
      <c r="P101" s="1">
        <v>5</v>
      </c>
      <c r="R101" s="1">
        <v>5</v>
      </c>
      <c r="T101" s="1">
        <v>4</v>
      </c>
      <c r="V101" s="1">
        <v>2</v>
      </c>
      <c r="W101" s="1" t="s">
        <v>285</v>
      </c>
      <c r="X101" s="1">
        <v>4</v>
      </c>
      <c r="Z101" s="1">
        <v>3</v>
      </c>
      <c r="AB101" s="1">
        <v>4</v>
      </c>
      <c r="AD101" s="1">
        <v>3</v>
      </c>
      <c r="AF101" s="1">
        <v>3</v>
      </c>
      <c r="AH101" s="1">
        <v>4</v>
      </c>
      <c r="AJ101" s="1">
        <v>3</v>
      </c>
      <c r="AL101" s="1">
        <v>3</v>
      </c>
      <c r="AN101" s="1">
        <v>2</v>
      </c>
      <c r="AO101" s="1" t="s">
        <v>286</v>
      </c>
      <c r="AP101" s="1">
        <v>2</v>
      </c>
      <c r="AR101" s="1">
        <v>3</v>
      </c>
      <c r="AT101" s="1" t="s">
        <v>287</v>
      </c>
    </row>
    <row r="102" spans="1:46">
      <c r="A102" s="40">
        <v>72</v>
      </c>
      <c r="B102" s="40">
        <v>1</v>
      </c>
      <c r="D102" s="40" t="str">
        <f t="shared" ca="1" si="6"/>
        <v>IT Operations</v>
      </c>
      <c r="E102" s="40">
        <v>5</v>
      </c>
      <c r="F102" s="1">
        <v>5</v>
      </c>
      <c r="H102" s="1">
        <v>5</v>
      </c>
      <c r="J102" s="1">
        <v>4</v>
      </c>
      <c r="L102" s="1">
        <v>4</v>
      </c>
      <c r="N102" s="1">
        <v>4</v>
      </c>
      <c r="P102" s="1">
        <v>5</v>
      </c>
      <c r="R102" s="1">
        <v>4</v>
      </c>
      <c r="T102" s="1">
        <v>4</v>
      </c>
      <c r="V102" s="1">
        <v>4</v>
      </c>
      <c r="X102" s="1">
        <v>5</v>
      </c>
      <c r="Z102" s="1">
        <v>5</v>
      </c>
      <c r="AB102" s="1">
        <v>5</v>
      </c>
      <c r="AD102" s="1">
        <v>4</v>
      </c>
      <c r="AF102" s="1">
        <v>3</v>
      </c>
      <c r="AH102" s="1">
        <v>5</v>
      </c>
      <c r="AJ102" s="1">
        <v>4</v>
      </c>
      <c r="AL102" s="1">
        <v>1</v>
      </c>
      <c r="AN102" s="1">
        <v>2</v>
      </c>
      <c r="AP102" s="1">
        <v>4</v>
      </c>
      <c r="AR102" s="1">
        <v>3</v>
      </c>
    </row>
    <row r="103" spans="1:46">
      <c r="A103" s="40">
        <v>73</v>
      </c>
      <c r="B103" s="40">
        <v>1</v>
      </c>
      <c r="D103" s="40" t="str">
        <f t="shared" ca="1" si="6"/>
        <v>IT Service</v>
      </c>
      <c r="E103" s="40">
        <v>9</v>
      </c>
      <c r="F103" s="1">
        <v>3</v>
      </c>
      <c r="H103" s="1">
        <v>3</v>
      </c>
      <c r="J103" s="1">
        <v>4</v>
      </c>
      <c r="L103" s="1">
        <v>4</v>
      </c>
      <c r="N103" s="1">
        <v>4</v>
      </c>
      <c r="P103" s="1">
        <v>4</v>
      </c>
      <c r="R103" s="1">
        <v>3</v>
      </c>
      <c r="T103" s="1">
        <v>4</v>
      </c>
      <c r="V103" s="1">
        <v>4</v>
      </c>
      <c r="X103" s="1">
        <v>3</v>
      </c>
      <c r="Z103" s="1">
        <v>4</v>
      </c>
      <c r="AB103" s="1">
        <v>4</v>
      </c>
      <c r="AD103" s="1">
        <v>4</v>
      </c>
      <c r="AF103" s="1">
        <v>3</v>
      </c>
      <c r="AH103" s="1">
        <v>3</v>
      </c>
      <c r="AJ103" s="1">
        <v>4</v>
      </c>
      <c r="AL103" s="1">
        <v>3</v>
      </c>
      <c r="AN103" s="1">
        <v>4</v>
      </c>
      <c r="AP103" s="1">
        <v>4</v>
      </c>
      <c r="AR103" s="1">
        <v>3</v>
      </c>
    </row>
    <row r="104" spans="1:46">
      <c r="A104" s="40">
        <v>74</v>
      </c>
      <c r="B104" s="40">
        <v>1</v>
      </c>
      <c r="D104" s="40" t="str">
        <f t="shared" ca="1" si="6"/>
        <v>IT Service</v>
      </c>
      <c r="E104" s="40">
        <v>9</v>
      </c>
      <c r="F104" s="1">
        <v>3</v>
      </c>
      <c r="H104" s="1">
        <v>4</v>
      </c>
      <c r="J104" s="1">
        <v>4</v>
      </c>
      <c r="L104" s="1">
        <v>5</v>
      </c>
      <c r="N104" s="1">
        <v>5</v>
      </c>
      <c r="P104" s="1">
        <v>5</v>
      </c>
      <c r="R104" s="1">
        <v>5</v>
      </c>
      <c r="T104" s="1">
        <v>5</v>
      </c>
      <c r="V104" s="1">
        <v>4</v>
      </c>
      <c r="X104" s="1">
        <v>4</v>
      </c>
      <c r="Z104" s="1">
        <v>5</v>
      </c>
      <c r="AB104" s="1">
        <v>5</v>
      </c>
      <c r="AD104" s="1">
        <v>5</v>
      </c>
      <c r="AF104" s="1">
        <v>5</v>
      </c>
      <c r="AH104" s="1">
        <v>4</v>
      </c>
      <c r="AJ104" s="1">
        <v>3</v>
      </c>
      <c r="AL104" s="1">
        <v>4</v>
      </c>
      <c r="AN104" s="1">
        <v>4</v>
      </c>
      <c r="AP104" s="1">
        <v>4</v>
      </c>
      <c r="AR104" s="1">
        <v>4</v>
      </c>
    </row>
    <row r="105" spans="1:46">
      <c r="A105" s="40">
        <v>75</v>
      </c>
      <c r="B105" s="40">
        <v>1</v>
      </c>
      <c r="D105" s="40" t="str">
        <f t="shared" ca="1" si="6"/>
        <v>IT Service</v>
      </c>
      <c r="E105" s="40">
        <v>9</v>
      </c>
      <c r="F105" s="1">
        <v>4</v>
      </c>
      <c r="H105" s="1">
        <v>4</v>
      </c>
      <c r="J105" s="1">
        <v>4</v>
      </c>
      <c r="L105" s="1">
        <v>3</v>
      </c>
      <c r="N105" s="1">
        <v>4</v>
      </c>
      <c r="P105" s="1">
        <v>4</v>
      </c>
      <c r="R105" s="1">
        <v>3</v>
      </c>
      <c r="T105" s="1">
        <v>4</v>
      </c>
      <c r="V105" s="1">
        <v>4</v>
      </c>
      <c r="X105" s="1">
        <v>5</v>
      </c>
      <c r="Z105" s="1">
        <v>5</v>
      </c>
      <c r="AB105" s="1">
        <v>5</v>
      </c>
      <c r="AD105" s="1">
        <v>3</v>
      </c>
      <c r="AF105" s="1">
        <v>3</v>
      </c>
      <c r="AH105" s="1">
        <v>4</v>
      </c>
      <c r="AJ105" s="1">
        <v>4</v>
      </c>
      <c r="AL105" s="1">
        <v>3</v>
      </c>
      <c r="AN105" s="1">
        <v>4</v>
      </c>
      <c r="AP105" s="1">
        <v>4</v>
      </c>
      <c r="AR105" s="1">
        <v>4</v>
      </c>
    </row>
    <row r="106" spans="1:46">
      <c r="A106" s="40">
        <v>76</v>
      </c>
      <c r="B106" s="40">
        <v>1</v>
      </c>
      <c r="D106" s="40" t="str">
        <f t="shared" ca="1" si="6"/>
        <v>IT Operations</v>
      </c>
      <c r="E106" s="40">
        <v>5</v>
      </c>
      <c r="F106" s="1">
        <v>4</v>
      </c>
      <c r="H106" s="1">
        <v>4</v>
      </c>
      <c r="J106" s="1">
        <v>3</v>
      </c>
      <c r="L106" s="1">
        <v>3</v>
      </c>
      <c r="N106" s="1">
        <v>4</v>
      </c>
      <c r="P106" s="1">
        <v>5</v>
      </c>
      <c r="R106" s="1">
        <v>4</v>
      </c>
      <c r="T106" s="1">
        <v>4</v>
      </c>
      <c r="V106" s="1">
        <v>4</v>
      </c>
      <c r="X106" s="1">
        <v>5</v>
      </c>
      <c r="Z106" s="1">
        <v>5</v>
      </c>
      <c r="AB106" s="1">
        <v>4</v>
      </c>
      <c r="AD106" s="1">
        <v>3</v>
      </c>
      <c r="AF106" s="1">
        <v>3</v>
      </c>
      <c r="AH106" s="1">
        <v>4</v>
      </c>
      <c r="AJ106" s="1">
        <v>3</v>
      </c>
      <c r="AL106" s="1">
        <v>3</v>
      </c>
      <c r="AN106" s="1">
        <v>4</v>
      </c>
      <c r="AP106" s="1">
        <v>3</v>
      </c>
      <c r="AR106" s="1">
        <v>3</v>
      </c>
    </row>
    <row r="107" spans="1:46" ht="89.25">
      <c r="A107" s="40">
        <v>77</v>
      </c>
      <c r="B107" s="40">
        <v>1</v>
      </c>
      <c r="D107" s="40" t="str">
        <f t="shared" ca="1" si="6"/>
        <v>Help Desk</v>
      </c>
      <c r="E107" s="40">
        <v>3</v>
      </c>
      <c r="F107" s="1">
        <v>3</v>
      </c>
      <c r="H107" s="1">
        <v>3</v>
      </c>
      <c r="J107" s="1">
        <v>4</v>
      </c>
      <c r="L107" s="1">
        <v>3</v>
      </c>
      <c r="N107" s="1">
        <v>4</v>
      </c>
      <c r="P107" s="1">
        <v>4</v>
      </c>
      <c r="R107" s="1">
        <v>4</v>
      </c>
      <c r="T107" s="1">
        <v>4</v>
      </c>
      <c r="V107" s="1">
        <v>4</v>
      </c>
      <c r="X107" s="1">
        <v>4</v>
      </c>
      <c r="Z107" s="1">
        <v>3</v>
      </c>
      <c r="AB107" s="1">
        <v>3</v>
      </c>
      <c r="AD107" s="1">
        <v>6</v>
      </c>
      <c r="AF107" s="1">
        <v>6</v>
      </c>
      <c r="AH107" s="1">
        <v>3</v>
      </c>
      <c r="AJ107" s="1">
        <v>6</v>
      </c>
      <c r="AL107" s="1">
        <v>6</v>
      </c>
      <c r="AN107" s="1">
        <v>3</v>
      </c>
      <c r="AP107" s="1">
        <v>4</v>
      </c>
      <c r="AR107" s="1">
        <v>6</v>
      </c>
      <c r="AT107" s="1" t="s">
        <v>288</v>
      </c>
    </row>
    <row r="108" spans="1:46">
      <c r="A108" s="40">
        <v>78</v>
      </c>
      <c r="B108" s="40">
        <v>1</v>
      </c>
      <c r="D108" s="40" t="str">
        <f t="shared" ca="1" si="6"/>
        <v>eBusiness</v>
      </c>
      <c r="E108" s="40">
        <v>2</v>
      </c>
      <c r="F108" s="1">
        <v>4</v>
      </c>
      <c r="H108" s="1">
        <v>4</v>
      </c>
      <c r="J108" s="1">
        <v>3</v>
      </c>
      <c r="L108" s="1">
        <v>4</v>
      </c>
      <c r="N108" s="1">
        <v>4</v>
      </c>
      <c r="P108" s="1">
        <v>4</v>
      </c>
      <c r="R108" s="1">
        <v>4</v>
      </c>
      <c r="T108" s="1">
        <v>4</v>
      </c>
      <c r="V108" s="1">
        <v>4</v>
      </c>
      <c r="X108" s="1">
        <v>3</v>
      </c>
      <c r="Z108" s="1">
        <v>4</v>
      </c>
      <c r="AB108" s="1">
        <v>4</v>
      </c>
      <c r="AD108" s="1">
        <v>4</v>
      </c>
      <c r="AF108" s="1">
        <v>4</v>
      </c>
      <c r="AH108" s="1">
        <v>3</v>
      </c>
      <c r="AJ108" s="1">
        <v>2</v>
      </c>
      <c r="AL108" s="1">
        <v>3</v>
      </c>
      <c r="AN108" s="1">
        <v>4</v>
      </c>
      <c r="AP108" s="1">
        <v>3</v>
      </c>
      <c r="AR108" s="1">
        <v>3</v>
      </c>
    </row>
    <row r="109" spans="1:46">
      <c r="A109" s="40">
        <v>79</v>
      </c>
      <c r="B109" s="40">
        <v>1</v>
      </c>
      <c r="D109" s="40" t="str">
        <f t="shared" ca="1" si="6"/>
        <v>Product Admin</v>
      </c>
      <c r="E109" s="40">
        <v>10</v>
      </c>
      <c r="F109" s="1">
        <v>4</v>
      </c>
      <c r="H109" s="1">
        <v>4</v>
      </c>
      <c r="J109" s="1">
        <v>5</v>
      </c>
      <c r="L109" s="1">
        <v>5</v>
      </c>
      <c r="N109" s="1">
        <v>5</v>
      </c>
      <c r="P109" s="1">
        <v>5</v>
      </c>
      <c r="R109" s="1">
        <v>5</v>
      </c>
      <c r="T109" s="1">
        <v>5</v>
      </c>
      <c r="V109" s="1">
        <v>5</v>
      </c>
      <c r="X109" s="1">
        <v>5</v>
      </c>
      <c r="Z109" s="1">
        <v>5</v>
      </c>
      <c r="AB109" s="1">
        <v>5</v>
      </c>
      <c r="AD109" s="1">
        <v>5</v>
      </c>
      <c r="AF109" s="1">
        <v>5</v>
      </c>
      <c r="AH109" s="1">
        <v>5</v>
      </c>
      <c r="AJ109" s="1">
        <v>4</v>
      </c>
      <c r="AL109" s="1">
        <v>5</v>
      </c>
      <c r="AN109" s="1">
        <v>5</v>
      </c>
      <c r="AP109" s="1">
        <v>5</v>
      </c>
      <c r="AR109" s="1">
        <v>5</v>
      </c>
    </row>
    <row r="110" spans="1:46" ht="76.5">
      <c r="A110" s="40">
        <v>80</v>
      </c>
      <c r="B110" s="40">
        <v>1</v>
      </c>
      <c r="D110" s="40" t="str">
        <f t="shared" ca="1" si="6"/>
        <v>IT Service</v>
      </c>
      <c r="E110" s="40">
        <v>9</v>
      </c>
      <c r="F110" s="1">
        <v>4</v>
      </c>
      <c r="H110" s="1">
        <v>4</v>
      </c>
      <c r="J110" s="1">
        <v>4</v>
      </c>
      <c r="L110" s="1">
        <v>4</v>
      </c>
      <c r="N110" s="1">
        <v>4</v>
      </c>
      <c r="P110" s="1">
        <v>3</v>
      </c>
      <c r="R110" s="1">
        <v>5</v>
      </c>
      <c r="T110" s="1">
        <v>5</v>
      </c>
      <c r="V110" s="1">
        <v>5</v>
      </c>
      <c r="X110" s="1">
        <v>5</v>
      </c>
      <c r="Z110" s="1">
        <v>5</v>
      </c>
      <c r="AB110" s="1">
        <v>5</v>
      </c>
      <c r="AD110" s="1">
        <v>3</v>
      </c>
      <c r="AF110" s="1">
        <v>2</v>
      </c>
      <c r="AG110" s="1" t="s">
        <v>289</v>
      </c>
      <c r="AH110" s="1">
        <v>5</v>
      </c>
      <c r="AJ110" s="1">
        <v>5</v>
      </c>
      <c r="AL110" s="1">
        <v>3</v>
      </c>
      <c r="AN110" s="1">
        <v>5</v>
      </c>
      <c r="AP110" s="1">
        <v>4</v>
      </c>
      <c r="AR110" s="1">
        <v>4</v>
      </c>
    </row>
    <row r="111" spans="1:46">
      <c r="A111" s="40">
        <v>81</v>
      </c>
      <c r="B111" s="40">
        <v>1</v>
      </c>
      <c r="D111" s="40" t="str">
        <f t="shared" ca="1" si="6"/>
        <v>Viewpoint</v>
      </c>
      <c r="E111" s="40">
        <v>7</v>
      </c>
      <c r="F111" s="1">
        <v>4</v>
      </c>
      <c r="H111" s="1">
        <v>4</v>
      </c>
      <c r="J111" s="1">
        <v>4</v>
      </c>
      <c r="L111" s="1">
        <v>4</v>
      </c>
      <c r="N111" s="1">
        <v>4</v>
      </c>
      <c r="P111" s="1">
        <v>5</v>
      </c>
      <c r="R111" s="1">
        <v>4</v>
      </c>
      <c r="T111" s="1">
        <v>4</v>
      </c>
      <c r="V111" s="1">
        <v>4</v>
      </c>
      <c r="X111" s="1">
        <v>4</v>
      </c>
      <c r="Z111" s="1">
        <v>4</v>
      </c>
      <c r="AB111" s="1">
        <v>4</v>
      </c>
      <c r="AD111" s="1">
        <v>4</v>
      </c>
      <c r="AF111" s="1">
        <v>4</v>
      </c>
      <c r="AH111" s="1">
        <v>3</v>
      </c>
      <c r="AJ111" s="1">
        <v>3</v>
      </c>
      <c r="AL111" s="1">
        <v>4</v>
      </c>
      <c r="AN111" s="1">
        <v>4</v>
      </c>
      <c r="AP111" s="1">
        <v>4</v>
      </c>
      <c r="AR111" s="1">
        <v>4</v>
      </c>
    </row>
    <row r="112" spans="1:46">
      <c r="A112" s="40">
        <v>82</v>
      </c>
      <c r="B112" s="40">
        <v>1</v>
      </c>
      <c r="D112" s="40" t="str">
        <f t="shared" ca="1" si="6"/>
        <v>Product Admin</v>
      </c>
      <c r="E112" s="40">
        <v>10</v>
      </c>
      <c r="F112" s="1">
        <v>4</v>
      </c>
      <c r="H112" s="1">
        <v>4</v>
      </c>
      <c r="J112" s="1">
        <v>3</v>
      </c>
      <c r="K112" s="1" t="s">
        <v>290</v>
      </c>
      <c r="L112" s="1">
        <v>4</v>
      </c>
      <c r="N112" s="1">
        <v>4</v>
      </c>
      <c r="P112" s="1">
        <v>4</v>
      </c>
      <c r="R112" s="1">
        <v>4</v>
      </c>
      <c r="T112" s="1">
        <v>4</v>
      </c>
      <c r="V112" s="1">
        <v>4</v>
      </c>
      <c r="X112" s="1">
        <v>4</v>
      </c>
      <c r="Z112" s="1">
        <v>3</v>
      </c>
      <c r="AB112" s="1">
        <v>3</v>
      </c>
      <c r="AD112" s="1">
        <v>4</v>
      </c>
      <c r="AF112" s="1">
        <v>3</v>
      </c>
      <c r="AH112" s="1">
        <v>4</v>
      </c>
      <c r="AJ112" s="1">
        <v>3</v>
      </c>
      <c r="AL112" s="1">
        <v>3</v>
      </c>
      <c r="AN112" s="1">
        <v>5</v>
      </c>
      <c r="AP112" s="1">
        <v>5</v>
      </c>
      <c r="AR112" s="1">
        <v>3</v>
      </c>
      <c r="AT112" s="1" t="s">
        <v>291</v>
      </c>
    </row>
    <row r="113" spans="1:46">
      <c r="A113" s="40">
        <v>83</v>
      </c>
      <c r="B113" s="40">
        <v>1</v>
      </c>
      <c r="D113" s="40" t="str">
        <f t="shared" ca="1" si="6"/>
        <v>IT Finance</v>
      </c>
      <c r="E113" s="40">
        <v>4</v>
      </c>
      <c r="F113" s="1">
        <v>4</v>
      </c>
      <c r="H113" s="1">
        <v>3</v>
      </c>
      <c r="J113" s="1">
        <v>5</v>
      </c>
      <c r="L113" s="1">
        <v>4</v>
      </c>
      <c r="N113" s="1">
        <v>3</v>
      </c>
      <c r="P113" s="1">
        <v>4</v>
      </c>
      <c r="R113" s="1">
        <v>5</v>
      </c>
      <c r="T113" s="1">
        <v>5</v>
      </c>
      <c r="V113" s="1">
        <v>4</v>
      </c>
      <c r="X113" s="1">
        <v>5</v>
      </c>
      <c r="Z113" s="1">
        <v>5</v>
      </c>
      <c r="AB113" s="1">
        <v>5</v>
      </c>
      <c r="AD113" s="1">
        <v>4</v>
      </c>
      <c r="AF113" s="1">
        <v>4</v>
      </c>
      <c r="AH113" s="1">
        <v>3</v>
      </c>
      <c r="AJ113" s="1">
        <v>3</v>
      </c>
      <c r="AL113" s="1">
        <v>4</v>
      </c>
      <c r="AN113" s="1">
        <v>4</v>
      </c>
      <c r="AP113" s="1">
        <v>4</v>
      </c>
      <c r="AR113" s="1">
        <v>4</v>
      </c>
    </row>
    <row r="114" spans="1:46">
      <c r="A114" s="40">
        <v>84</v>
      </c>
      <c r="B114" s="40">
        <v>1</v>
      </c>
      <c r="D114" s="40" t="str">
        <f t="shared" ca="1" si="6"/>
        <v>IT Sales</v>
      </c>
      <c r="E114" s="40">
        <v>8</v>
      </c>
      <c r="F114" s="1">
        <v>1</v>
      </c>
      <c r="G114" s="1" t="s">
        <v>292</v>
      </c>
      <c r="H114" s="1">
        <v>3</v>
      </c>
      <c r="J114" s="1">
        <v>3</v>
      </c>
      <c r="L114" s="1">
        <v>4</v>
      </c>
      <c r="N114" s="1">
        <v>4</v>
      </c>
      <c r="P114" s="1">
        <v>4</v>
      </c>
      <c r="R114" s="1">
        <v>4</v>
      </c>
      <c r="T114" s="1">
        <v>3</v>
      </c>
      <c r="V114" s="1">
        <v>3</v>
      </c>
      <c r="X114" s="1">
        <v>5</v>
      </c>
      <c r="Z114" s="1">
        <v>4</v>
      </c>
      <c r="AB114" s="1">
        <v>4</v>
      </c>
      <c r="AD114" s="1">
        <v>3</v>
      </c>
      <c r="AF114" s="1">
        <v>3</v>
      </c>
      <c r="AH114" s="1">
        <v>3</v>
      </c>
      <c r="AJ114" s="1">
        <v>4</v>
      </c>
      <c r="AL114" s="1">
        <v>4</v>
      </c>
      <c r="AN114" s="1">
        <v>3</v>
      </c>
      <c r="AP114" s="1">
        <v>3</v>
      </c>
      <c r="AR114" s="1">
        <v>3</v>
      </c>
    </row>
    <row r="115" spans="1:46" ht="38.25">
      <c r="A115" s="40">
        <v>85</v>
      </c>
      <c r="B115" s="40">
        <v>1</v>
      </c>
      <c r="D115" s="40" t="str">
        <f t="shared" ca="1" si="6"/>
        <v>IT Sales</v>
      </c>
      <c r="E115" s="40">
        <v>8</v>
      </c>
      <c r="F115" s="1">
        <v>4</v>
      </c>
      <c r="H115" s="1">
        <v>4</v>
      </c>
      <c r="J115" s="1">
        <v>5</v>
      </c>
      <c r="L115" s="1">
        <v>5</v>
      </c>
      <c r="N115" s="1">
        <v>3</v>
      </c>
      <c r="O115" s="1" t="s">
        <v>293</v>
      </c>
      <c r="P115" s="1">
        <v>4</v>
      </c>
      <c r="R115" s="1">
        <v>5</v>
      </c>
      <c r="T115" s="1">
        <v>5</v>
      </c>
      <c r="V115" s="1">
        <v>5</v>
      </c>
      <c r="X115" s="1">
        <v>5</v>
      </c>
      <c r="Z115" s="1">
        <v>5</v>
      </c>
      <c r="AB115" s="1">
        <v>5</v>
      </c>
      <c r="AD115" s="1">
        <v>4</v>
      </c>
      <c r="AF115" s="1">
        <v>4</v>
      </c>
      <c r="AH115" s="1">
        <v>6</v>
      </c>
      <c r="AJ115" s="1">
        <v>6</v>
      </c>
      <c r="AL115" s="1">
        <v>4</v>
      </c>
      <c r="AN115" s="1">
        <v>5</v>
      </c>
      <c r="AP115" s="1">
        <v>4</v>
      </c>
      <c r="AR115" s="1">
        <v>3</v>
      </c>
    </row>
    <row r="116" spans="1:46">
      <c r="A116" s="40">
        <v>86</v>
      </c>
      <c r="B116" s="40">
        <v>1</v>
      </c>
      <c r="D116" s="40" t="str">
        <f t="shared" ca="1" si="6"/>
        <v>IT Operations</v>
      </c>
      <c r="E116" s="40">
        <v>5</v>
      </c>
      <c r="F116" s="1">
        <v>5</v>
      </c>
      <c r="H116" s="1">
        <v>4</v>
      </c>
      <c r="J116" s="1">
        <v>4</v>
      </c>
      <c r="L116" s="1">
        <v>3</v>
      </c>
      <c r="N116" s="1">
        <v>4</v>
      </c>
      <c r="P116" s="1">
        <v>3</v>
      </c>
      <c r="R116" s="1">
        <v>4</v>
      </c>
      <c r="T116" s="1">
        <v>4</v>
      </c>
      <c r="V116" s="1">
        <v>4</v>
      </c>
      <c r="X116" s="1">
        <v>5</v>
      </c>
      <c r="Z116" s="1">
        <v>5</v>
      </c>
      <c r="AB116" s="1">
        <v>5</v>
      </c>
      <c r="AD116" s="1">
        <v>3</v>
      </c>
      <c r="AF116" s="1">
        <v>3</v>
      </c>
      <c r="AH116" s="1">
        <v>5</v>
      </c>
      <c r="AJ116" s="1">
        <v>3</v>
      </c>
      <c r="AL116" s="1">
        <v>3</v>
      </c>
      <c r="AN116" s="1">
        <v>5</v>
      </c>
      <c r="AP116" s="1">
        <v>4</v>
      </c>
      <c r="AR116" s="1">
        <v>4</v>
      </c>
    </row>
    <row r="117" spans="1:46">
      <c r="A117" s="40">
        <v>87</v>
      </c>
      <c r="B117" s="40">
        <v>1</v>
      </c>
      <c r="D117" s="40" t="str">
        <f t="shared" ca="1" si="6"/>
        <v>IT Operations</v>
      </c>
      <c r="E117" s="40">
        <v>5</v>
      </c>
      <c r="F117" s="1">
        <v>4</v>
      </c>
      <c r="H117" s="1">
        <v>5</v>
      </c>
      <c r="J117" s="1">
        <v>4</v>
      </c>
      <c r="L117" s="1">
        <v>3</v>
      </c>
      <c r="M117" s="1" t="s">
        <v>294</v>
      </c>
      <c r="N117" s="1">
        <v>4</v>
      </c>
      <c r="P117" s="1">
        <v>5</v>
      </c>
      <c r="R117" s="1">
        <v>4</v>
      </c>
      <c r="T117" s="1">
        <v>4</v>
      </c>
      <c r="V117" s="1">
        <v>4</v>
      </c>
      <c r="X117" s="1">
        <v>5</v>
      </c>
      <c r="Z117" s="1">
        <v>4</v>
      </c>
      <c r="AB117" s="1">
        <v>4</v>
      </c>
      <c r="AD117" s="1">
        <v>3</v>
      </c>
      <c r="AE117" s="1" t="s">
        <v>295</v>
      </c>
      <c r="AF117" s="1">
        <v>4</v>
      </c>
      <c r="AH117" s="1">
        <v>5</v>
      </c>
      <c r="AJ117" s="1">
        <v>2</v>
      </c>
      <c r="AL117" s="1">
        <v>3</v>
      </c>
      <c r="AM117" s="1" t="s">
        <v>296</v>
      </c>
      <c r="AN117" s="1">
        <v>5</v>
      </c>
      <c r="AP117" s="1">
        <v>4</v>
      </c>
      <c r="AR117" s="1">
        <v>4</v>
      </c>
    </row>
    <row r="118" spans="1:46">
      <c r="A118" s="40">
        <v>88</v>
      </c>
      <c r="B118" s="40">
        <v>1</v>
      </c>
      <c r="D118" s="40" t="str">
        <f t="shared" ca="1" si="6"/>
        <v>IT Producer</v>
      </c>
      <c r="E118" s="40">
        <v>6</v>
      </c>
      <c r="F118" s="1">
        <v>1</v>
      </c>
      <c r="G118" s="1" t="s">
        <v>297</v>
      </c>
      <c r="H118" s="1">
        <v>4</v>
      </c>
      <c r="J118" s="1">
        <v>4</v>
      </c>
      <c r="L118" s="1">
        <v>3</v>
      </c>
      <c r="N118" s="1">
        <v>3</v>
      </c>
      <c r="P118" s="1">
        <v>4</v>
      </c>
      <c r="R118" s="1">
        <v>5</v>
      </c>
      <c r="T118" s="1">
        <v>5</v>
      </c>
      <c r="V118" s="1">
        <v>2</v>
      </c>
      <c r="X118" s="1">
        <v>2</v>
      </c>
      <c r="Z118" s="1">
        <v>2</v>
      </c>
      <c r="AB118" s="1">
        <v>4</v>
      </c>
      <c r="AD118" s="1">
        <v>3</v>
      </c>
      <c r="AF118" s="1">
        <v>3</v>
      </c>
      <c r="AH118" s="1">
        <v>3</v>
      </c>
      <c r="AJ118" s="1">
        <v>3</v>
      </c>
      <c r="AL118" s="1">
        <v>4</v>
      </c>
      <c r="AN118" s="1">
        <v>3</v>
      </c>
      <c r="AP118" s="1">
        <v>3</v>
      </c>
      <c r="AR118" s="1">
        <v>4</v>
      </c>
    </row>
    <row r="119" spans="1:46">
      <c r="A119" s="40">
        <v>89</v>
      </c>
      <c r="B119" s="40">
        <v>1</v>
      </c>
      <c r="D119" s="40" t="str">
        <f t="shared" ca="1" si="6"/>
        <v>IT Sales</v>
      </c>
      <c r="E119" s="40">
        <v>8</v>
      </c>
      <c r="F119" s="1">
        <v>4</v>
      </c>
      <c r="H119" s="1">
        <v>4</v>
      </c>
      <c r="J119" s="1">
        <v>3</v>
      </c>
      <c r="L119" s="1">
        <v>4</v>
      </c>
      <c r="N119" s="1">
        <v>4</v>
      </c>
      <c r="P119" s="1">
        <v>4</v>
      </c>
      <c r="R119" s="1">
        <v>4</v>
      </c>
      <c r="T119" s="1">
        <v>4</v>
      </c>
      <c r="V119" s="1">
        <v>4</v>
      </c>
      <c r="X119" s="1">
        <v>5</v>
      </c>
      <c r="Z119" s="1">
        <v>4</v>
      </c>
      <c r="AB119" s="1">
        <v>5</v>
      </c>
      <c r="AD119" s="1">
        <v>4</v>
      </c>
      <c r="AF119" s="1">
        <v>3</v>
      </c>
      <c r="AH119" s="1">
        <v>3</v>
      </c>
      <c r="AJ119" s="1">
        <v>4</v>
      </c>
      <c r="AL119" s="1">
        <v>4</v>
      </c>
      <c r="AN119" s="1">
        <v>4</v>
      </c>
      <c r="AP119" s="1">
        <v>3</v>
      </c>
      <c r="AR119" s="1">
        <v>2</v>
      </c>
      <c r="AS119" s="1" t="s">
        <v>298</v>
      </c>
    </row>
    <row r="120" spans="1:46">
      <c r="A120" s="40">
        <v>90</v>
      </c>
      <c r="B120" s="40">
        <v>1</v>
      </c>
      <c r="D120" s="40" t="str">
        <f t="shared" ca="1" si="6"/>
        <v>IT Operations</v>
      </c>
      <c r="E120" s="40">
        <v>5</v>
      </c>
      <c r="F120" s="1">
        <v>3</v>
      </c>
      <c r="H120" s="1">
        <v>4</v>
      </c>
      <c r="J120" s="1">
        <v>4</v>
      </c>
      <c r="L120" s="1">
        <v>3</v>
      </c>
      <c r="N120" s="1">
        <v>2</v>
      </c>
      <c r="O120" s="1" t="s">
        <v>299</v>
      </c>
      <c r="P120" s="1">
        <v>4</v>
      </c>
      <c r="R120" s="1">
        <v>4</v>
      </c>
      <c r="T120" s="1">
        <v>4</v>
      </c>
      <c r="V120" s="1">
        <v>4</v>
      </c>
      <c r="X120" s="1">
        <v>4</v>
      </c>
      <c r="Z120" s="1">
        <v>4</v>
      </c>
      <c r="AB120" s="1">
        <v>4</v>
      </c>
      <c r="AD120" s="1">
        <v>4</v>
      </c>
      <c r="AF120" s="1">
        <v>4</v>
      </c>
      <c r="AH120" s="1">
        <v>4</v>
      </c>
      <c r="AJ120" s="1">
        <v>3</v>
      </c>
      <c r="AL120" s="1">
        <v>3</v>
      </c>
      <c r="AN120" s="1">
        <v>4</v>
      </c>
      <c r="AP120" s="1">
        <v>4</v>
      </c>
      <c r="AR120" s="1">
        <v>4</v>
      </c>
    </row>
    <row r="121" spans="1:46">
      <c r="A121" s="40">
        <v>91</v>
      </c>
      <c r="B121" s="40">
        <v>1</v>
      </c>
      <c r="D121" s="40" t="str">
        <f t="shared" ca="1" si="6"/>
        <v>IT Service</v>
      </c>
      <c r="E121" s="40">
        <v>9</v>
      </c>
      <c r="F121" s="1">
        <v>4</v>
      </c>
      <c r="H121" s="1">
        <v>4</v>
      </c>
      <c r="J121" s="1">
        <v>4</v>
      </c>
      <c r="L121" s="1">
        <v>4</v>
      </c>
      <c r="N121" s="1">
        <v>5</v>
      </c>
      <c r="P121" s="1">
        <v>5</v>
      </c>
      <c r="R121" s="1">
        <v>5</v>
      </c>
      <c r="T121" s="1">
        <v>5</v>
      </c>
      <c r="V121" s="1">
        <v>5</v>
      </c>
      <c r="X121" s="1">
        <v>2</v>
      </c>
      <c r="Y121" s="1" t="s">
        <v>300</v>
      </c>
      <c r="Z121" s="1">
        <v>4</v>
      </c>
      <c r="AB121" s="1">
        <v>4</v>
      </c>
      <c r="AD121" s="1">
        <v>4</v>
      </c>
      <c r="AF121" s="1">
        <v>5</v>
      </c>
      <c r="AH121" s="1">
        <v>5</v>
      </c>
      <c r="AJ121" s="1">
        <v>5</v>
      </c>
      <c r="AL121" s="1">
        <v>5</v>
      </c>
      <c r="AN121" s="1">
        <v>5</v>
      </c>
      <c r="AP121" s="1">
        <v>2</v>
      </c>
      <c r="AQ121" s="1" t="s">
        <v>301</v>
      </c>
      <c r="AR121" s="1">
        <v>4</v>
      </c>
    </row>
    <row r="122" spans="1:46" ht="38.25">
      <c r="A122" s="40">
        <v>92</v>
      </c>
      <c r="B122" s="40">
        <v>1</v>
      </c>
      <c r="D122" s="40" t="str">
        <f t="shared" ca="1" si="6"/>
        <v>IT Sales</v>
      </c>
      <c r="E122" s="40">
        <v>8</v>
      </c>
      <c r="F122" s="1">
        <v>4</v>
      </c>
      <c r="H122" s="1">
        <v>4</v>
      </c>
      <c r="J122" s="1">
        <v>4</v>
      </c>
      <c r="L122" s="1">
        <v>4</v>
      </c>
      <c r="N122" s="1">
        <v>4</v>
      </c>
      <c r="P122" s="1">
        <v>4</v>
      </c>
      <c r="R122" s="1">
        <v>5</v>
      </c>
      <c r="T122" s="1">
        <v>4</v>
      </c>
      <c r="V122" s="1">
        <v>4</v>
      </c>
      <c r="X122" s="1">
        <v>4</v>
      </c>
      <c r="Z122" s="1">
        <v>4</v>
      </c>
      <c r="AB122" s="1">
        <v>4</v>
      </c>
      <c r="AD122" s="1">
        <v>4</v>
      </c>
      <c r="AF122" s="1">
        <v>3</v>
      </c>
      <c r="AG122" s="1" t="s">
        <v>302</v>
      </c>
      <c r="AH122" s="1">
        <v>3</v>
      </c>
      <c r="AJ122" s="1">
        <v>5</v>
      </c>
      <c r="AL122" s="1">
        <v>4</v>
      </c>
      <c r="AN122" s="1">
        <v>4</v>
      </c>
      <c r="AP122" s="1">
        <v>3</v>
      </c>
      <c r="AQ122" s="1" t="s">
        <v>303</v>
      </c>
      <c r="AR122" s="1">
        <v>2</v>
      </c>
      <c r="AS122" s="1" t="s">
        <v>304</v>
      </c>
      <c r="AT122" s="1" t="s">
        <v>305</v>
      </c>
    </row>
    <row r="123" spans="1:46">
      <c r="A123" s="40">
        <v>93</v>
      </c>
      <c r="B123" s="40">
        <v>1</v>
      </c>
      <c r="D123" s="40" t="str">
        <f t="shared" ca="1" si="6"/>
        <v>IT Producer</v>
      </c>
      <c r="E123" s="40">
        <v>6</v>
      </c>
      <c r="F123" s="1">
        <v>3</v>
      </c>
      <c r="H123" s="1">
        <v>3</v>
      </c>
      <c r="J123" s="1">
        <v>4</v>
      </c>
      <c r="L123" s="1">
        <v>5</v>
      </c>
      <c r="N123" s="1">
        <v>5</v>
      </c>
      <c r="P123" s="1">
        <v>4</v>
      </c>
      <c r="R123" s="1">
        <v>5</v>
      </c>
      <c r="T123" s="1">
        <v>4</v>
      </c>
      <c r="V123" s="1">
        <v>4</v>
      </c>
      <c r="X123" s="1">
        <v>4</v>
      </c>
      <c r="Z123" s="1">
        <v>4</v>
      </c>
      <c r="AB123" s="1">
        <v>4</v>
      </c>
      <c r="AD123" s="1">
        <v>4</v>
      </c>
      <c r="AF123" s="1">
        <v>3</v>
      </c>
      <c r="AH123" s="1">
        <v>4</v>
      </c>
      <c r="AJ123" s="1">
        <v>4</v>
      </c>
      <c r="AL123" s="1">
        <v>4</v>
      </c>
      <c r="AN123" s="1">
        <v>3</v>
      </c>
      <c r="AP123" s="1">
        <v>3</v>
      </c>
      <c r="AR123" s="1">
        <v>4</v>
      </c>
    </row>
    <row r="124" spans="1:46">
      <c r="A124" s="40">
        <v>94</v>
      </c>
      <c r="B124" s="40">
        <v>1</v>
      </c>
      <c r="D124" s="40" t="str">
        <f t="shared" ca="1" si="6"/>
        <v>IT Producer</v>
      </c>
      <c r="E124" s="40">
        <v>6</v>
      </c>
      <c r="F124" s="1">
        <v>4</v>
      </c>
      <c r="H124" s="1">
        <v>4</v>
      </c>
      <c r="J124" s="1">
        <v>4</v>
      </c>
      <c r="L124" s="1">
        <v>4</v>
      </c>
      <c r="N124" s="1">
        <v>4</v>
      </c>
      <c r="P124" s="1">
        <v>4</v>
      </c>
      <c r="R124" s="1">
        <v>4</v>
      </c>
      <c r="T124" s="1">
        <v>4</v>
      </c>
      <c r="V124" s="1">
        <v>3</v>
      </c>
      <c r="X124" s="1">
        <v>4</v>
      </c>
      <c r="Z124" s="1">
        <v>4</v>
      </c>
      <c r="AB124" s="1">
        <v>4</v>
      </c>
      <c r="AD124" s="1">
        <v>3</v>
      </c>
      <c r="AF124" s="1">
        <v>3</v>
      </c>
      <c r="AH124" s="1">
        <v>4</v>
      </c>
      <c r="AJ124" s="1">
        <v>4</v>
      </c>
      <c r="AL124" s="1">
        <v>3</v>
      </c>
      <c r="AN124" s="1">
        <v>4</v>
      </c>
      <c r="AP124" s="1">
        <v>3</v>
      </c>
      <c r="AR124" s="1">
        <v>3</v>
      </c>
    </row>
    <row r="125" spans="1:46">
      <c r="A125" s="40">
        <v>95</v>
      </c>
      <c r="B125" s="40">
        <v>1</v>
      </c>
      <c r="D125" s="40" t="str">
        <f t="shared" ca="1" si="6"/>
        <v>Data Services</v>
      </c>
      <c r="E125" s="40">
        <v>1</v>
      </c>
      <c r="F125" s="1">
        <v>4</v>
      </c>
      <c r="H125" s="1">
        <v>4</v>
      </c>
      <c r="J125" s="1">
        <v>6</v>
      </c>
      <c r="L125" s="1">
        <v>4</v>
      </c>
      <c r="N125" s="1">
        <v>4</v>
      </c>
      <c r="P125" s="1">
        <v>4</v>
      </c>
      <c r="R125" s="1">
        <v>4</v>
      </c>
      <c r="T125" s="1">
        <v>4</v>
      </c>
      <c r="V125" s="1">
        <v>4</v>
      </c>
      <c r="X125" s="1">
        <v>4</v>
      </c>
      <c r="Z125" s="1">
        <v>4</v>
      </c>
      <c r="AB125" s="1">
        <v>4</v>
      </c>
      <c r="AD125" s="1">
        <v>4</v>
      </c>
      <c r="AF125" s="1">
        <v>4</v>
      </c>
      <c r="AH125" s="1">
        <v>4</v>
      </c>
      <c r="AJ125" s="1">
        <v>3</v>
      </c>
      <c r="AL125" s="1">
        <v>4</v>
      </c>
      <c r="AN125" s="1">
        <v>4</v>
      </c>
      <c r="AP125" s="1">
        <v>4</v>
      </c>
      <c r="AR125" s="1">
        <v>4</v>
      </c>
    </row>
    <row r="126" spans="1:46" ht="38.25">
      <c r="A126" s="40">
        <v>96</v>
      </c>
      <c r="B126" s="40">
        <v>1</v>
      </c>
      <c r="D126" s="40" t="str">
        <f t="shared" ca="1" si="6"/>
        <v>Viewpoint</v>
      </c>
      <c r="E126" s="40">
        <v>7</v>
      </c>
      <c r="F126" s="1">
        <v>4</v>
      </c>
      <c r="H126" s="1">
        <v>4</v>
      </c>
      <c r="J126" s="1">
        <v>4</v>
      </c>
      <c r="L126" s="1">
        <v>4</v>
      </c>
      <c r="N126" s="1">
        <v>4</v>
      </c>
      <c r="P126" s="1">
        <v>4</v>
      </c>
      <c r="R126" s="1">
        <v>4</v>
      </c>
      <c r="T126" s="1">
        <v>4</v>
      </c>
      <c r="V126" s="1">
        <v>4</v>
      </c>
      <c r="X126" s="1">
        <v>4</v>
      </c>
      <c r="Z126" s="1">
        <v>5</v>
      </c>
      <c r="AB126" s="1">
        <v>5</v>
      </c>
      <c r="AD126" s="1">
        <v>5</v>
      </c>
      <c r="AF126" s="1">
        <v>5</v>
      </c>
      <c r="AH126" s="1">
        <v>5</v>
      </c>
      <c r="AJ126" s="1">
        <v>6</v>
      </c>
      <c r="AL126" s="1">
        <v>4</v>
      </c>
      <c r="AN126" s="1">
        <v>4</v>
      </c>
      <c r="AP126" s="1">
        <v>4</v>
      </c>
      <c r="AR126" s="1">
        <v>2</v>
      </c>
      <c r="AS126" s="1" t="s">
        <v>306</v>
      </c>
      <c r="AT126" s="1" t="s">
        <v>307</v>
      </c>
    </row>
    <row r="127" spans="1:46">
      <c r="A127" s="40">
        <v>97</v>
      </c>
      <c r="B127" s="40">
        <v>1</v>
      </c>
      <c r="D127" s="40" t="str">
        <f t="shared" ref="D127:D158" ca="1" si="7">LOOKUP(E127,INDIRECT(Team_Name_Lookup))</f>
        <v>Viewpoint</v>
      </c>
      <c r="E127" s="40">
        <v>7</v>
      </c>
      <c r="F127" s="1">
        <v>3</v>
      </c>
      <c r="H127" s="1">
        <v>4</v>
      </c>
      <c r="J127" s="1">
        <v>4</v>
      </c>
      <c r="L127" s="1">
        <v>5</v>
      </c>
      <c r="N127" s="1">
        <v>5</v>
      </c>
      <c r="P127" s="1">
        <v>4</v>
      </c>
      <c r="R127" s="1">
        <v>5</v>
      </c>
      <c r="T127" s="1">
        <v>5</v>
      </c>
      <c r="V127" s="1">
        <v>4</v>
      </c>
      <c r="X127" s="1">
        <v>4</v>
      </c>
      <c r="Z127" s="1">
        <v>4</v>
      </c>
      <c r="AB127" s="1">
        <v>4</v>
      </c>
      <c r="AD127" s="1">
        <v>5</v>
      </c>
      <c r="AF127" s="1">
        <v>5</v>
      </c>
      <c r="AH127" s="1">
        <v>4</v>
      </c>
      <c r="AJ127" s="1">
        <v>4</v>
      </c>
      <c r="AL127" s="1">
        <v>3</v>
      </c>
      <c r="AN127" s="1">
        <v>4</v>
      </c>
      <c r="AP127" s="1">
        <v>3</v>
      </c>
      <c r="AQ127" s="1" t="s">
        <v>308</v>
      </c>
      <c r="AR127" s="1">
        <v>4</v>
      </c>
    </row>
    <row r="128" spans="1:46">
      <c r="A128" s="40">
        <v>98</v>
      </c>
      <c r="B128" s="40">
        <v>1</v>
      </c>
      <c r="D128" s="40" t="str">
        <f t="shared" ca="1" si="7"/>
        <v>IT Service</v>
      </c>
      <c r="E128" s="40">
        <v>9</v>
      </c>
      <c r="F128" s="1">
        <v>3</v>
      </c>
      <c r="H128" s="1">
        <v>3</v>
      </c>
      <c r="J128" s="1">
        <v>3</v>
      </c>
      <c r="L128" s="1">
        <v>4</v>
      </c>
      <c r="N128" s="1">
        <v>4</v>
      </c>
      <c r="P128" s="1">
        <v>3</v>
      </c>
      <c r="R128" s="1">
        <v>4</v>
      </c>
      <c r="T128" s="1">
        <v>4</v>
      </c>
      <c r="V128" s="1">
        <v>2</v>
      </c>
      <c r="W128" s="1" t="s">
        <v>309</v>
      </c>
      <c r="X128" s="1">
        <v>2</v>
      </c>
      <c r="Y128" s="1" t="s">
        <v>310</v>
      </c>
      <c r="Z128" s="1">
        <v>3</v>
      </c>
      <c r="AB128" s="1">
        <v>3</v>
      </c>
      <c r="AD128" s="1">
        <v>3</v>
      </c>
      <c r="AF128" s="1">
        <v>4</v>
      </c>
      <c r="AH128" s="1">
        <v>2</v>
      </c>
      <c r="AI128" s="1" t="s">
        <v>311</v>
      </c>
      <c r="AJ128" s="1">
        <v>2</v>
      </c>
      <c r="AK128" s="1" t="s">
        <v>312</v>
      </c>
      <c r="AL128" s="1">
        <v>3</v>
      </c>
      <c r="AN128" s="1">
        <v>4</v>
      </c>
      <c r="AP128" s="1">
        <v>4</v>
      </c>
      <c r="AR128" s="1">
        <v>4</v>
      </c>
    </row>
    <row r="129" spans="1:46">
      <c r="A129" s="40">
        <v>99</v>
      </c>
      <c r="B129" s="40">
        <v>1</v>
      </c>
      <c r="D129" s="40" t="str">
        <f t="shared" ca="1" si="7"/>
        <v>IT Sales</v>
      </c>
      <c r="E129" s="40">
        <v>8</v>
      </c>
      <c r="F129" s="1">
        <v>4</v>
      </c>
      <c r="H129" s="1">
        <v>5</v>
      </c>
      <c r="J129" s="1">
        <v>4</v>
      </c>
      <c r="L129" s="1">
        <v>4</v>
      </c>
      <c r="N129" s="1">
        <v>5</v>
      </c>
      <c r="P129" s="1">
        <v>4</v>
      </c>
      <c r="R129" s="1">
        <v>6</v>
      </c>
      <c r="T129" s="1">
        <v>4</v>
      </c>
      <c r="V129" s="1">
        <v>4</v>
      </c>
      <c r="X129" s="1">
        <v>5</v>
      </c>
      <c r="Z129" s="1">
        <v>5</v>
      </c>
      <c r="AB129" s="1">
        <v>5</v>
      </c>
      <c r="AD129" s="1">
        <v>4</v>
      </c>
      <c r="AF129" s="1">
        <v>4</v>
      </c>
      <c r="AH129" s="1">
        <v>3</v>
      </c>
      <c r="AJ129" s="1">
        <v>3</v>
      </c>
      <c r="AL129" s="1">
        <v>1</v>
      </c>
      <c r="AM129" s="1" t="s">
        <v>313</v>
      </c>
      <c r="AN129" s="1">
        <v>4</v>
      </c>
      <c r="AP129" s="1">
        <v>4</v>
      </c>
      <c r="AR129" s="1">
        <v>3</v>
      </c>
    </row>
    <row r="130" spans="1:46">
      <c r="A130" s="40">
        <v>100</v>
      </c>
      <c r="B130" s="40">
        <v>1</v>
      </c>
      <c r="D130" s="40" t="str">
        <f t="shared" ca="1" si="7"/>
        <v>eBusiness</v>
      </c>
      <c r="E130" s="40">
        <v>2</v>
      </c>
      <c r="F130" s="1">
        <v>3</v>
      </c>
      <c r="H130" s="1">
        <v>3</v>
      </c>
      <c r="J130" s="1">
        <v>3</v>
      </c>
      <c r="L130" s="1">
        <v>3</v>
      </c>
      <c r="N130" s="1">
        <v>3</v>
      </c>
      <c r="P130" s="1">
        <v>3</v>
      </c>
      <c r="R130" s="1">
        <v>3</v>
      </c>
      <c r="T130" s="1">
        <v>3</v>
      </c>
      <c r="V130" s="1">
        <v>3</v>
      </c>
      <c r="X130" s="1">
        <v>3</v>
      </c>
      <c r="Z130" s="1">
        <v>3</v>
      </c>
      <c r="AB130" s="1">
        <v>3</v>
      </c>
      <c r="AD130" s="1">
        <v>3</v>
      </c>
      <c r="AF130" s="1">
        <v>3</v>
      </c>
      <c r="AH130" s="1">
        <v>3</v>
      </c>
      <c r="AJ130" s="1">
        <v>3</v>
      </c>
      <c r="AL130" s="1">
        <v>3</v>
      </c>
      <c r="AN130" s="1">
        <v>3</v>
      </c>
      <c r="AP130" s="1">
        <v>3</v>
      </c>
      <c r="AR130" s="1">
        <v>3</v>
      </c>
    </row>
    <row r="131" spans="1:46" ht="25.5">
      <c r="A131" s="40">
        <v>101</v>
      </c>
      <c r="B131" s="40">
        <v>1</v>
      </c>
      <c r="D131" s="40" t="str">
        <f t="shared" ca="1" si="7"/>
        <v>IT Operations</v>
      </c>
      <c r="E131" s="40">
        <v>5</v>
      </c>
      <c r="F131" s="1">
        <v>2</v>
      </c>
      <c r="G131" s="1" t="s">
        <v>314</v>
      </c>
      <c r="H131" s="1">
        <v>4</v>
      </c>
      <c r="J131" s="1">
        <v>3</v>
      </c>
      <c r="K131" s="1" t="s">
        <v>315</v>
      </c>
      <c r="L131" s="1">
        <v>2</v>
      </c>
      <c r="M131" s="1" t="s">
        <v>316</v>
      </c>
      <c r="N131" s="1">
        <v>2</v>
      </c>
      <c r="O131" s="1" t="s">
        <v>317</v>
      </c>
      <c r="P131" s="1">
        <v>5</v>
      </c>
      <c r="R131" s="1">
        <v>4</v>
      </c>
      <c r="T131" s="1">
        <v>4</v>
      </c>
      <c r="V131" s="1">
        <v>4</v>
      </c>
      <c r="X131" s="1">
        <v>3</v>
      </c>
      <c r="Z131" s="1">
        <v>4</v>
      </c>
      <c r="AB131" s="1">
        <v>5</v>
      </c>
      <c r="AD131" s="1">
        <v>2</v>
      </c>
      <c r="AE131" s="1" t="s">
        <v>318</v>
      </c>
      <c r="AF131" s="1">
        <v>3</v>
      </c>
      <c r="AH131" s="1">
        <v>5</v>
      </c>
      <c r="AJ131" s="1">
        <v>2</v>
      </c>
      <c r="AK131" s="1" t="s">
        <v>319</v>
      </c>
      <c r="AL131" s="1">
        <v>2</v>
      </c>
      <c r="AM131" s="1" t="s">
        <v>320</v>
      </c>
      <c r="AN131" s="1">
        <v>4</v>
      </c>
      <c r="AP131" s="1">
        <v>4</v>
      </c>
      <c r="AR131" s="1">
        <v>4</v>
      </c>
    </row>
    <row r="132" spans="1:46">
      <c r="A132" s="40">
        <v>102</v>
      </c>
      <c r="B132" s="40">
        <v>1</v>
      </c>
      <c r="D132" s="40" t="str">
        <f t="shared" ca="1" si="7"/>
        <v>Viewpoint</v>
      </c>
      <c r="E132" s="40">
        <v>7</v>
      </c>
      <c r="F132" s="1">
        <v>4</v>
      </c>
      <c r="H132" s="1">
        <v>4</v>
      </c>
      <c r="J132" s="1">
        <v>4</v>
      </c>
      <c r="L132" s="1">
        <v>5</v>
      </c>
      <c r="N132" s="1">
        <v>5</v>
      </c>
      <c r="P132" s="1">
        <v>3</v>
      </c>
      <c r="R132" s="1">
        <v>4</v>
      </c>
      <c r="T132" s="1">
        <v>5</v>
      </c>
      <c r="V132" s="1">
        <v>4</v>
      </c>
      <c r="X132" s="1">
        <v>4</v>
      </c>
      <c r="Z132" s="1">
        <v>5</v>
      </c>
      <c r="AB132" s="1">
        <v>5</v>
      </c>
      <c r="AD132" s="1">
        <v>5</v>
      </c>
      <c r="AF132" s="1">
        <v>4</v>
      </c>
      <c r="AH132" s="1">
        <v>4</v>
      </c>
      <c r="AJ132" s="1">
        <v>4</v>
      </c>
      <c r="AL132" s="1">
        <v>3</v>
      </c>
      <c r="AN132" s="1">
        <v>3</v>
      </c>
      <c r="AP132" s="1">
        <v>3</v>
      </c>
      <c r="AR132" s="1">
        <v>3</v>
      </c>
    </row>
    <row r="133" spans="1:46" ht="25.5">
      <c r="A133" s="40">
        <v>103</v>
      </c>
      <c r="B133" s="40">
        <v>1</v>
      </c>
      <c r="D133" s="40" t="str">
        <f t="shared" ca="1" si="7"/>
        <v>eBusiness</v>
      </c>
      <c r="E133" s="40">
        <v>2</v>
      </c>
      <c r="F133" s="1">
        <v>3</v>
      </c>
      <c r="H133" s="1">
        <v>3</v>
      </c>
      <c r="J133" s="1">
        <v>3</v>
      </c>
      <c r="L133" s="1">
        <v>3</v>
      </c>
      <c r="N133" s="1">
        <v>3</v>
      </c>
      <c r="P133" s="1">
        <v>3</v>
      </c>
      <c r="R133" s="1">
        <v>3</v>
      </c>
      <c r="T133" s="1">
        <v>3</v>
      </c>
      <c r="V133" s="1">
        <v>3</v>
      </c>
      <c r="X133" s="1">
        <v>3</v>
      </c>
      <c r="Z133" s="1">
        <v>3</v>
      </c>
      <c r="AB133" s="1">
        <v>3</v>
      </c>
      <c r="AD133" s="1">
        <v>3</v>
      </c>
      <c r="AF133" s="1">
        <v>3</v>
      </c>
      <c r="AH133" s="1">
        <v>3</v>
      </c>
      <c r="AJ133" s="1">
        <v>3</v>
      </c>
      <c r="AL133" s="1">
        <v>3</v>
      </c>
      <c r="AN133" s="1">
        <v>3</v>
      </c>
      <c r="AP133" s="1">
        <v>3</v>
      </c>
      <c r="AR133" s="1">
        <v>3</v>
      </c>
      <c r="AT133" s="1" t="s">
        <v>321</v>
      </c>
    </row>
    <row r="134" spans="1:46" ht="25.5">
      <c r="A134" s="40">
        <v>104</v>
      </c>
      <c r="B134" s="40">
        <v>1</v>
      </c>
      <c r="D134" s="40" t="str">
        <f t="shared" ca="1" si="7"/>
        <v>Product Admin</v>
      </c>
      <c r="E134" s="40">
        <v>10</v>
      </c>
      <c r="F134" s="1">
        <v>3</v>
      </c>
      <c r="H134" s="1">
        <v>3</v>
      </c>
      <c r="J134" s="1">
        <v>5</v>
      </c>
      <c r="L134" s="1">
        <v>4</v>
      </c>
      <c r="N134" s="1">
        <v>5</v>
      </c>
      <c r="P134" s="1">
        <v>5</v>
      </c>
      <c r="R134" s="1">
        <v>5</v>
      </c>
      <c r="T134" s="1">
        <v>5</v>
      </c>
      <c r="V134" s="1">
        <v>3</v>
      </c>
      <c r="X134" s="1">
        <v>3</v>
      </c>
      <c r="Z134" s="1">
        <v>3</v>
      </c>
      <c r="AB134" s="1">
        <v>4</v>
      </c>
      <c r="AD134" s="1">
        <v>3</v>
      </c>
      <c r="AF134" s="1">
        <v>2</v>
      </c>
      <c r="AG134" s="1" t="s">
        <v>322</v>
      </c>
      <c r="AH134" s="1">
        <v>4</v>
      </c>
      <c r="AJ134" s="1">
        <v>4</v>
      </c>
      <c r="AL134" s="1">
        <v>2</v>
      </c>
      <c r="AN134" s="1">
        <v>3</v>
      </c>
      <c r="AP134" s="1">
        <v>3</v>
      </c>
      <c r="AR134" s="1">
        <v>4</v>
      </c>
    </row>
    <row r="135" spans="1:46">
      <c r="A135" s="40">
        <v>105</v>
      </c>
      <c r="B135" s="40">
        <v>1</v>
      </c>
      <c r="D135" s="40" t="str">
        <f t="shared" ca="1" si="7"/>
        <v>Workflow</v>
      </c>
      <c r="E135" s="40">
        <v>11</v>
      </c>
      <c r="F135" s="1">
        <v>3</v>
      </c>
      <c r="H135" s="1">
        <v>4</v>
      </c>
      <c r="J135" s="1">
        <v>5</v>
      </c>
      <c r="L135" s="1">
        <v>4</v>
      </c>
      <c r="N135" s="1">
        <v>4</v>
      </c>
      <c r="P135" s="1">
        <v>4</v>
      </c>
      <c r="R135" s="1">
        <v>5</v>
      </c>
      <c r="T135" s="1">
        <v>4</v>
      </c>
      <c r="V135" s="1">
        <v>3</v>
      </c>
      <c r="X135" s="1">
        <v>4</v>
      </c>
      <c r="Z135" s="1">
        <v>4</v>
      </c>
      <c r="AB135" s="1">
        <v>4</v>
      </c>
      <c r="AD135" s="1">
        <v>4</v>
      </c>
      <c r="AF135" s="1">
        <v>4</v>
      </c>
      <c r="AH135" s="1">
        <v>4</v>
      </c>
      <c r="AJ135" s="1">
        <v>4</v>
      </c>
      <c r="AL135" s="1">
        <v>3</v>
      </c>
      <c r="AN135" s="1">
        <v>3</v>
      </c>
      <c r="AP135" s="1">
        <v>6</v>
      </c>
      <c r="AR135" s="1">
        <v>4</v>
      </c>
    </row>
    <row r="136" spans="1:46">
      <c r="A136" s="40">
        <v>106</v>
      </c>
      <c r="B136" s="40">
        <v>1</v>
      </c>
      <c r="D136" s="40" t="str">
        <f t="shared" ca="1" si="7"/>
        <v>IT Finance</v>
      </c>
      <c r="E136" s="40">
        <v>4</v>
      </c>
      <c r="F136" s="1">
        <v>5</v>
      </c>
      <c r="H136" s="1">
        <v>5</v>
      </c>
      <c r="J136" s="1">
        <v>5</v>
      </c>
      <c r="L136" s="1">
        <v>5</v>
      </c>
      <c r="N136" s="1">
        <v>5</v>
      </c>
      <c r="P136" s="1">
        <v>5</v>
      </c>
      <c r="R136" s="1">
        <v>5</v>
      </c>
      <c r="T136" s="1">
        <v>5</v>
      </c>
      <c r="V136" s="1">
        <v>5</v>
      </c>
      <c r="X136" s="1">
        <v>5</v>
      </c>
      <c r="Z136" s="1">
        <v>5</v>
      </c>
      <c r="AB136" s="1">
        <v>5</v>
      </c>
      <c r="AD136" s="1">
        <v>5</v>
      </c>
      <c r="AF136" s="1">
        <v>5</v>
      </c>
      <c r="AH136" s="1">
        <v>5</v>
      </c>
      <c r="AJ136" s="1">
        <v>5</v>
      </c>
      <c r="AL136" s="1">
        <v>5</v>
      </c>
      <c r="AN136" s="1">
        <v>5</v>
      </c>
      <c r="AP136" s="1">
        <v>5</v>
      </c>
      <c r="AR136" s="1">
        <v>5</v>
      </c>
    </row>
    <row r="137" spans="1:46">
      <c r="A137" s="40">
        <v>107</v>
      </c>
      <c r="B137" s="40">
        <v>1</v>
      </c>
      <c r="D137" s="40" t="str">
        <f t="shared" ca="1" si="7"/>
        <v>IT Service</v>
      </c>
      <c r="E137" s="40">
        <v>9</v>
      </c>
      <c r="F137" s="1">
        <v>3</v>
      </c>
      <c r="H137" s="1">
        <v>4</v>
      </c>
      <c r="J137" s="1">
        <v>4</v>
      </c>
      <c r="L137" s="1">
        <v>4</v>
      </c>
      <c r="N137" s="1">
        <v>4</v>
      </c>
      <c r="P137" s="1">
        <v>5</v>
      </c>
      <c r="R137" s="1">
        <v>4</v>
      </c>
      <c r="T137" s="1">
        <v>4</v>
      </c>
      <c r="V137" s="1">
        <v>4</v>
      </c>
      <c r="X137" s="1">
        <v>4</v>
      </c>
      <c r="Z137" s="1">
        <v>5</v>
      </c>
      <c r="AB137" s="1">
        <v>4</v>
      </c>
      <c r="AD137" s="1">
        <v>4</v>
      </c>
      <c r="AF137" s="1">
        <v>3</v>
      </c>
      <c r="AH137" s="1">
        <v>4</v>
      </c>
      <c r="AJ137" s="1">
        <v>4</v>
      </c>
      <c r="AL137" s="1">
        <v>4</v>
      </c>
      <c r="AN137" s="1">
        <v>4</v>
      </c>
      <c r="AP137" s="1">
        <v>4</v>
      </c>
      <c r="AR137" s="1">
        <v>4</v>
      </c>
    </row>
    <row r="138" spans="1:46">
      <c r="A138" s="40">
        <v>108</v>
      </c>
      <c r="B138" s="40">
        <v>1</v>
      </c>
      <c r="D138" s="40" t="str">
        <f t="shared" ca="1" si="7"/>
        <v>IT Service</v>
      </c>
      <c r="E138" s="40">
        <v>9</v>
      </c>
      <c r="F138" s="1">
        <v>4</v>
      </c>
      <c r="H138" s="1">
        <v>4</v>
      </c>
      <c r="J138" s="1">
        <v>3</v>
      </c>
      <c r="L138" s="1">
        <v>4</v>
      </c>
      <c r="N138" s="1">
        <v>4</v>
      </c>
      <c r="P138" s="1">
        <v>5</v>
      </c>
      <c r="R138" s="1">
        <v>4</v>
      </c>
      <c r="T138" s="1">
        <v>4</v>
      </c>
      <c r="V138" s="1">
        <v>4</v>
      </c>
      <c r="X138" s="1">
        <v>3</v>
      </c>
      <c r="Z138" s="1">
        <v>4</v>
      </c>
      <c r="AB138" s="1">
        <v>4</v>
      </c>
      <c r="AD138" s="1">
        <v>4</v>
      </c>
      <c r="AF138" s="1">
        <v>4</v>
      </c>
      <c r="AH138" s="1">
        <v>4</v>
      </c>
      <c r="AJ138" s="1">
        <v>3</v>
      </c>
      <c r="AL138" s="1">
        <v>4</v>
      </c>
      <c r="AN138" s="1">
        <v>4</v>
      </c>
      <c r="AP138" s="1">
        <v>4</v>
      </c>
      <c r="AR138" s="1">
        <v>4</v>
      </c>
    </row>
    <row r="139" spans="1:46">
      <c r="A139" s="40">
        <v>109</v>
      </c>
      <c r="B139" s="40">
        <v>1</v>
      </c>
      <c r="D139" s="40" t="str">
        <f t="shared" ca="1" si="7"/>
        <v>Help Desk</v>
      </c>
      <c r="E139" s="40">
        <v>3</v>
      </c>
      <c r="F139" s="1">
        <v>3</v>
      </c>
      <c r="H139" s="1">
        <v>4</v>
      </c>
      <c r="J139" s="1">
        <v>3</v>
      </c>
      <c r="L139" s="1">
        <v>3</v>
      </c>
      <c r="N139" s="1">
        <v>3</v>
      </c>
      <c r="P139" s="1">
        <v>3</v>
      </c>
      <c r="R139" s="1">
        <v>4</v>
      </c>
      <c r="T139" s="1">
        <v>5</v>
      </c>
      <c r="V139" s="1">
        <v>4</v>
      </c>
      <c r="X139" s="1">
        <v>4</v>
      </c>
      <c r="Z139" s="1">
        <v>4</v>
      </c>
      <c r="AB139" s="1">
        <v>4</v>
      </c>
      <c r="AD139" s="1">
        <v>3</v>
      </c>
      <c r="AF139" s="1">
        <v>3</v>
      </c>
      <c r="AH139" s="1">
        <v>3</v>
      </c>
      <c r="AJ139" s="1">
        <v>3</v>
      </c>
      <c r="AL139" s="1">
        <v>4</v>
      </c>
      <c r="AN139" s="1">
        <v>4</v>
      </c>
      <c r="AP139" s="1">
        <v>3</v>
      </c>
      <c r="AR139" s="1">
        <v>4</v>
      </c>
    </row>
    <row r="140" spans="1:46" ht="25.5">
      <c r="A140" s="40">
        <v>110</v>
      </c>
      <c r="B140" s="40">
        <v>1</v>
      </c>
      <c r="D140" s="40" t="str">
        <f t="shared" ca="1" si="7"/>
        <v>IT Service</v>
      </c>
      <c r="E140" s="40">
        <v>9</v>
      </c>
      <c r="F140" s="1">
        <v>4</v>
      </c>
      <c r="H140" s="1">
        <v>3</v>
      </c>
      <c r="J140" s="1">
        <v>4</v>
      </c>
      <c r="L140" s="1">
        <v>4</v>
      </c>
      <c r="N140" s="1">
        <v>4</v>
      </c>
      <c r="P140" s="1">
        <v>3</v>
      </c>
      <c r="R140" s="1">
        <v>2</v>
      </c>
      <c r="S140" s="1" t="s">
        <v>323</v>
      </c>
      <c r="T140" s="1">
        <v>4</v>
      </c>
      <c r="V140" s="1">
        <v>2</v>
      </c>
      <c r="W140" s="1" t="s">
        <v>324</v>
      </c>
      <c r="X140" s="1">
        <v>4</v>
      </c>
      <c r="Z140" s="1">
        <v>4</v>
      </c>
      <c r="AB140" s="1">
        <v>4</v>
      </c>
      <c r="AD140" s="1">
        <v>3</v>
      </c>
      <c r="AF140" s="1">
        <v>3</v>
      </c>
      <c r="AH140" s="1">
        <v>4</v>
      </c>
      <c r="AJ140" s="1">
        <v>2</v>
      </c>
      <c r="AK140" s="1" t="s">
        <v>325</v>
      </c>
      <c r="AL140" s="1">
        <v>2</v>
      </c>
      <c r="AM140" s="1" t="s">
        <v>326</v>
      </c>
      <c r="AN140" s="1">
        <v>4</v>
      </c>
      <c r="AP140" s="1">
        <v>3</v>
      </c>
      <c r="AR140" s="1">
        <v>4</v>
      </c>
    </row>
    <row r="141" spans="1:46">
      <c r="A141" s="40">
        <v>111</v>
      </c>
      <c r="B141" s="40">
        <v>1</v>
      </c>
      <c r="D141" s="40" t="str">
        <f t="shared" ca="1" si="7"/>
        <v>IT Service</v>
      </c>
      <c r="E141" s="40">
        <v>9</v>
      </c>
      <c r="F141" s="1">
        <v>4</v>
      </c>
      <c r="H141" s="1">
        <v>3</v>
      </c>
      <c r="J141" s="1">
        <v>4</v>
      </c>
      <c r="L141" s="1">
        <v>4</v>
      </c>
      <c r="N141" s="1">
        <v>4</v>
      </c>
      <c r="P141" s="1">
        <v>4</v>
      </c>
      <c r="R141" s="1">
        <v>4</v>
      </c>
      <c r="T141" s="1">
        <v>4</v>
      </c>
      <c r="V141" s="1">
        <v>4</v>
      </c>
      <c r="X141" s="1">
        <v>2</v>
      </c>
      <c r="Z141" s="1">
        <v>3</v>
      </c>
      <c r="AB141" s="1">
        <v>2</v>
      </c>
      <c r="AC141" s="1" t="s">
        <v>327</v>
      </c>
      <c r="AD141" s="1">
        <v>4</v>
      </c>
      <c r="AF141" s="1">
        <v>3</v>
      </c>
      <c r="AH141" s="1">
        <v>4</v>
      </c>
      <c r="AJ141" s="1">
        <v>5</v>
      </c>
      <c r="AL141" s="1">
        <v>3</v>
      </c>
      <c r="AN141" s="1">
        <v>2</v>
      </c>
      <c r="AO141" s="1" t="s">
        <v>328</v>
      </c>
      <c r="AP141" s="1">
        <v>4</v>
      </c>
      <c r="AR141" s="1">
        <v>4</v>
      </c>
    </row>
    <row r="142" spans="1:46">
      <c r="A142" s="40">
        <v>112</v>
      </c>
      <c r="B142" s="40">
        <v>1</v>
      </c>
      <c r="D142" s="40" t="str">
        <f t="shared" ca="1" si="7"/>
        <v>IT Operations</v>
      </c>
      <c r="E142" s="40">
        <v>5</v>
      </c>
      <c r="F142" s="1">
        <v>4</v>
      </c>
      <c r="H142" s="1">
        <v>4</v>
      </c>
      <c r="J142" s="1">
        <v>4</v>
      </c>
      <c r="L142" s="1">
        <v>3</v>
      </c>
      <c r="N142" s="1">
        <v>4</v>
      </c>
      <c r="P142" s="1">
        <v>4</v>
      </c>
      <c r="R142" s="1">
        <v>4</v>
      </c>
      <c r="T142" s="1">
        <v>4</v>
      </c>
      <c r="V142" s="1">
        <v>4</v>
      </c>
      <c r="X142" s="1">
        <v>4</v>
      </c>
      <c r="Z142" s="1">
        <v>4</v>
      </c>
      <c r="AB142" s="1">
        <v>4</v>
      </c>
      <c r="AD142" s="1">
        <v>3</v>
      </c>
      <c r="AF142" s="1">
        <v>3</v>
      </c>
      <c r="AH142" s="1">
        <v>4</v>
      </c>
      <c r="AJ142" s="1">
        <v>4</v>
      </c>
      <c r="AL142" s="1">
        <v>3</v>
      </c>
      <c r="AN142" s="1">
        <v>4</v>
      </c>
      <c r="AP142" s="1">
        <v>4</v>
      </c>
      <c r="AR142" s="1">
        <v>4</v>
      </c>
    </row>
    <row r="143" spans="1:46">
      <c r="A143" s="40">
        <v>113</v>
      </c>
      <c r="B143" s="40">
        <v>1</v>
      </c>
      <c r="D143" s="40" t="str">
        <f t="shared" ca="1" si="7"/>
        <v>IT Producer</v>
      </c>
      <c r="E143" s="40">
        <v>6</v>
      </c>
      <c r="F143" s="1">
        <v>2</v>
      </c>
      <c r="H143" s="1">
        <v>3</v>
      </c>
      <c r="J143" s="1">
        <v>3</v>
      </c>
      <c r="L143" s="1">
        <v>4</v>
      </c>
      <c r="N143" s="1">
        <v>4</v>
      </c>
      <c r="P143" s="1">
        <v>4</v>
      </c>
      <c r="R143" s="1">
        <v>4</v>
      </c>
      <c r="T143" s="1">
        <v>4</v>
      </c>
      <c r="V143" s="1">
        <v>3</v>
      </c>
      <c r="X143" s="1">
        <v>3</v>
      </c>
      <c r="Z143" s="1">
        <v>4</v>
      </c>
      <c r="AB143" s="1">
        <v>4</v>
      </c>
      <c r="AD143" s="1">
        <v>3</v>
      </c>
      <c r="AF143" s="1">
        <v>4</v>
      </c>
      <c r="AH143" s="1">
        <v>4</v>
      </c>
      <c r="AJ143" s="1">
        <v>2</v>
      </c>
      <c r="AL143" s="1">
        <v>3</v>
      </c>
      <c r="AN143" s="1">
        <v>4</v>
      </c>
      <c r="AP143" s="1">
        <v>4</v>
      </c>
      <c r="AR143" s="1">
        <v>4</v>
      </c>
    </row>
    <row r="144" spans="1:46">
      <c r="A144" s="40">
        <v>114</v>
      </c>
      <c r="B144" s="40">
        <v>1</v>
      </c>
      <c r="D144" s="40" t="str">
        <f t="shared" ca="1" si="7"/>
        <v>IT Operations</v>
      </c>
      <c r="E144" s="40">
        <v>5</v>
      </c>
      <c r="F144" s="1">
        <v>4</v>
      </c>
      <c r="H144" s="1">
        <v>4</v>
      </c>
      <c r="J144" s="1">
        <v>3</v>
      </c>
      <c r="L144" s="1">
        <v>3</v>
      </c>
      <c r="N144" s="1">
        <v>4</v>
      </c>
      <c r="P144" s="1">
        <v>5</v>
      </c>
      <c r="R144" s="1">
        <v>5</v>
      </c>
      <c r="T144" s="1">
        <v>4</v>
      </c>
      <c r="V144" s="1">
        <v>4</v>
      </c>
      <c r="X144" s="1">
        <v>5</v>
      </c>
      <c r="Z144" s="1">
        <v>5</v>
      </c>
      <c r="AB144" s="1">
        <v>4</v>
      </c>
      <c r="AD144" s="1">
        <v>3</v>
      </c>
      <c r="AF144" s="1">
        <v>3</v>
      </c>
      <c r="AH144" s="1">
        <v>3</v>
      </c>
      <c r="AJ144" s="1">
        <v>3</v>
      </c>
      <c r="AL144" s="1">
        <v>3</v>
      </c>
      <c r="AN144" s="1">
        <v>5</v>
      </c>
      <c r="AP144" s="1">
        <v>3</v>
      </c>
      <c r="AR144" s="1">
        <v>3</v>
      </c>
      <c r="AT144" s="1" t="s">
        <v>329</v>
      </c>
    </row>
    <row r="145" spans="1:46">
      <c r="A145" s="40">
        <v>115</v>
      </c>
      <c r="B145" s="40">
        <v>1</v>
      </c>
      <c r="D145" s="40" t="str">
        <f t="shared" ca="1" si="7"/>
        <v>IT Service</v>
      </c>
      <c r="E145" s="40">
        <v>9</v>
      </c>
      <c r="F145" s="1">
        <v>4</v>
      </c>
      <c r="H145" s="1">
        <v>4</v>
      </c>
      <c r="J145" s="1">
        <v>4</v>
      </c>
      <c r="L145" s="1">
        <v>4</v>
      </c>
      <c r="N145" s="1">
        <v>4</v>
      </c>
      <c r="P145" s="1">
        <v>4</v>
      </c>
      <c r="R145" s="1">
        <v>5</v>
      </c>
      <c r="T145" s="1">
        <v>5</v>
      </c>
      <c r="V145" s="1">
        <v>4</v>
      </c>
      <c r="X145" s="1">
        <v>4</v>
      </c>
      <c r="Z145" s="1">
        <v>5</v>
      </c>
      <c r="AB145" s="1">
        <v>4</v>
      </c>
      <c r="AD145" s="1">
        <v>4</v>
      </c>
      <c r="AF145" s="1">
        <v>4</v>
      </c>
      <c r="AH145" s="1">
        <v>4</v>
      </c>
      <c r="AJ145" s="1">
        <v>4</v>
      </c>
      <c r="AL145" s="1">
        <v>4</v>
      </c>
      <c r="AN145" s="1">
        <v>5</v>
      </c>
      <c r="AP145" s="1">
        <v>4</v>
      </c>
      <c r="AR145" s="1">
        <v>3</v>
      </c>
    </row>
    <row r="146" spans="1:46">
      <c r="A146" s="40">
        <v>116</v>
      </c>
      <c r="B146" s="40">
        <v>1</v>
      </c>
      <c r="D146" s="40" t="str">
        <f t="shared" ca="1" si="7"/>
        <v>IT Service</v>
      </c>
      <c r="E146" s="40">
        <v>9</v>
      </c>
      <c r="F146" s="1">
        <v>4</v>
      </c>
      <c r="H146" s="1">
        <v>4</v>
      </c>
      <c r="J146" s="1">
        <v>4</v>
      </c>
      <c r="L146" s="1">
        <v>4</v>
      </c>
      <c r="N146" s="1">
        <v>4</v>
      </c>
      <c r="P146" s="1">
        <v>4</v>
      </c>
      <c r="R146" s="1">
        <v>4</v>
      </c>
      <c r="T146" s="1">
        <v>4</v>
      </c>
      <c r="V146" s="1">
        <v>4</v>
      </c>
      <c r="W146" s="1" t="s">
        <v>330</v>
      </c>
      <c r="X146" s="1">
        <v>4</v>
      </c>
      <c r="Z146" s="1">
        <v>4</v>
      </c>
      <c r="AB146" s="1">
        <v>4</v>
      </c>
      <c r="AD146" s="1">
        <v>4</v>
      </c>
      <c r="AF146" s="1">
        <v>5</v>
      </c>
      <c r="AH146" s="1">
        <v>4</v>
      </c>
      <c r="AJ146" s="1">
        <v>6</v>
      </c>
      <c r="AL146" s="1">
        <v>4</v>
      </c>
      <c r="AN146" s="1">
        <v>4</v>
      </c>
      <c r="AP146" s="1">
        <v>4</v>
      </c>
      <c r="AR146" s="1">
        <v>3</v>
      </c>
    </row>
    <row r="147" spans="1:46">
      <c r="A147" s="40">
        <v>117</v>
      </c>
      <c r="B147" s="40">
        <v>1</v>
      </c>
      <c r="D147" s="40" t="str">
        <f t="shared" ca="1" si="7"/>
        <v>IT Service</v>
      </c>
      <c r="E147" s="40">
        <v>9</v>
      </c>
      <c r="F147" s="1">
        <v>3</v>
      </c>
      <c r="H147" s="1">
        <v>3</v>
      </c>
      <c r="J147" s="1">
        <v>3</v>
      </c>
      <c r="L147" s="1">
        <v>3</v>
      </c>
      <c r="N147" s="1">
        <v>3</v>
      </c>
      <c r="P147" s="1">
        <v>3</v>
      </c>
      <c r="R147" s="1">
        <v>3</v>
      </c>
      <c r="T147" s="1">
        <v>3</v>
      </c>
      <c r="V147" s="1">
        <v>2</v>
      </c>
      <c r="X147" s="1">
        <v>3</v>
      </c>
      <c r="Z147" s="1">
        <v>3</v>
      </c>
      <c r="AB147" s="1">
        <v>3</v>
      </c>
      <c r="AD147" s="1">
        <v>3</v>
      </c>
      <c r="AF147" s="1">
        <v>3</v>
      </c>
      <c r="AH147" s="1">
        <v>3</v>
      </c>
      <c r="AJ147" s="1">
        <v>6</v>
      </c>
      <c r="AL147" s="1">
        <v>6</v>
      </c>
      <c r="AN147" s="1">
        <v>3</v>
      </c>
      <c r="AP147" s="1">
        <v>3</v>
      </c>
      <c r="AR147" s="1">
        <v>3</v>
      </c>
    </row>
    <row r="148" spans="1:46">
      <c r="A148" s="40">
        <v>118</v>
      </c>
      <c r="B148" s="40">
        <v>1</v>
      </c>
      <c r="D148" s="40" t="str">
        <f t="shared" ca="1" si="7"/>
        <v>IT Service</v>
      </c>
      <c r="E148" s="40">
        <v>9</v>
      </c>
      <c r="F148" s="1">
        <v>4</v>
      </c>
      <c r="H148" s="1">
        <v>5</v>
      </c>
      <c r="J148" s="1">
        <v>3</v>
      </c>
      <c r="L148" s="1">
        <v>4</v>
      </c>
      <c r="N148" s="1">
        <v>4</v>
      </c>
      <c r="P148" s="1">
        <v>5</v>
      </c>
      <c r="R148" s="1">
        <v>5</v>
      </c>
      <c r="T148" s="1">
        <v>4</v>
      </c>
      <c r="V148" s="1">
        <v>4</v>
      </c>
      <c r="X148" s="1">
        <v>4</v>
      </c>
      <c r="Z148" s="1">
        <v>5</v>
      </c>
      <c r="AB148" s="1">
        <v>5</v>
      </c>
      <c r="AD148" s="1">
        <v>4</v>
      </c>
      <c r="AF148" s="1">
        <v>4</v>
      </c>
      <c r="AH148" s="1">
        <v>4</v>
      </c>
      <c r="AJ148" s="1">
        <v>4</v>
      </c>
      <c r="AL148" s="1">
        <v>3</v>
      </c>
      <c r="AN148" s="1">
        <v>3</v>
      </c>
      <c r="AP148" s="1">
        <v>3</v>
      </c>
      <c r="AR148" s="1">
        <v>4</v>
      </c>
    </row>
    <row r="149" spans="1:46">
      <c r="A149" s="40">
        <v>119</v>
      </c>
      <c r="B149" s="40">
        <v>1</v>
      </c>
      <c r="D149" s="40" t="str">
        <f t="shared" ca="1" si="7"/>
        <v>eBusiness</v>
      </c>
      <c r="E149" s="40">
        <v>2</v>
      </c>
      <c r="F149" s="1">
        <v>3</v>
      </c>
      <c r="H149" s="1">
        <v>3</v>
      </c>
      <c r="J149" s="1">
        <v>4</v>
      </c>
      <c r="L149" s="1">
        <v>6</v>
      </c>
      <c r="N149" s="1">
        <v>3</v>
      </c>
      <c r="P149" s="1">
        <v>3</v>
      </c>
      <c r="R149" s="1">
        <v>3</v>
      </c>
      <c r="T149" s="1">
        <v>4</v>
      </c>
      <c r="V149" s="1">
        <v>3</v>
      </c>
      <c r="X149" s="1">
        <v>3</v>
      </c>
      <c r="Z149" s="1">
        <v>4</v>
      </c>
      <c r="AB149" s="1">
        <v>4</v>
      </c>
      <c r="AD149" s="1">
        <v>6</v>
      </c>
      <c r="AF149" s="1">
        <v>6</v>
      </c>
      <c r="AH149" s="1">
        <v>4</v>
      </c>
      <c r="AJ149" s="1">
        <v>3</v>
      </c>
      <c r="AL149" s="1">
        <v>3</v>
      </c>
      <c r="AN149" s="1">
        <v>4</v>
      </c>
      <c r="AP149" s="1">
        <v>3</v>
      </c>
      <c r="AR149" s="1">
        <v>3</v>
      </c>
    </row>
    <row r="150" spans="1:46">
      <c r="A150" s="40">
        <v>120</v>
      </c>
      <c r="B150" s="40">
        <v>1</v>
      </c>
      <c r="D150" s="40" t="str">
        <f t="shared" ca="1" si="7"/>
        <v>IT Service</v>
      </c>
      <c r="E150" s="40">
        <v>9</v>
      </c>
      <c r="F150" s="1">
        <v>4</v>
      </c>
      <c r="H150" s="1">
        <v>4</v>
      </c>
      <c r="J150" s="1">
        <v>4</v>
      </c>
      <c r="L150" s="1">
        <v>4</v>
      </c>
      <c r="N150" s="1">
        <v>4</v>
      </c>
      <c r="P150" s="1">
        <v>5</v>
      </c>
      <c r="R150" s="1">
        <v>5</v>
      </c>
      <c r="T150" s="1">
        <v>5</v>
      </c>
      <c r="V150" s="1">
        <v>4</v>
      </c>
      <c r="X150" s="1">
        <v>4</v>
      </c>
      <c r="Z150" s="1">
        <v>5</v>
      </c>
      <c r="AB150" s="1">
        <v>5</v>
      </c>
      <c r="AD150" s="1">
        <v>4</v>
      </c>
      <c r="AF150" s="1">
        <v>4</v>
      </c>
      <c r="AH150" s="1">
        <v>4</v>
      </c>
      <c r="AJ150" s="1">
        <v>3</v>
      </c>
      <c r="AL150" s="1">
        <v>3</v>
      </c>
      <c r="AN150" s="1">
        <v>5</v>
      </c>
      <c r="AP150" s="1">
        <v>5</v>
      </c>
      <c r="AR150" s="1">
        <v>4</v>
      </c>
    </row>
    <row r="151" spans="1:46">
      <c r="A151" s="40">
        <v>121</v>
      </c>
      <c r="B151" s="40">
        <v>1</v>
      </c>
      <c r="D151" s="40" t="str">
        <f t="shared" ca="1" si="7"/>
        <v>Viewpoint</v>
      </c>
      <c r="E151" s="40">
        <v>7</v>
      </c>
      <c r="F151" s="1">
        <v>4</v>
      </c>
      <c r="H151" s="1">
        <v>4</v>
      </c>
      <c r="J151" s="1">
        <v>4</v>
      </c>
      <c r="L151" s="1">
        <v>3</v>
      </c>
      <c r="N151" s="1">
        <v>5</v>
      </c>
      <c r="P151" s="1">
        <v>5</v>
      </c>
      <c r="R151" s="1">
        <v>5</v>
      </c>
      <c r="T151" s="1">
        <v>4</v>
      </c>
      <c r="V151" s="1">
        <v>3</v>
      </c>
      <c r="X151" s="1">
        <v>4</v>
      </c>
      <c r="Z151" s="1">
        <v>3</v>
      </c>
      <c r="AB151" s="1">
        <v>4</v>
      </c>
      <c r="AD151" s="1">
        <v>4</v>
      </c>
      <c r="AF151" s="1">
        <v>4</v>
      </c>
      <c r="AH151" s="1">
        <v>5</v>
      </c>
      <c r="AJ151" s="1">
        <v>4</v>
      </c>
      <c r="AL151" s="1">
        <v>6</v>
      </c>
      <c r="AN151" s="1">
        <v>4</v>
      </c>
      <c r="AP151" s="1">
        <v>4</v>
      </c>
      <c r="AR151" s="1">
        <v>5</v>
      </c>
    </row>
    <row r="152" spans="1:46" ht="38.25">
      <c r="A152" s="40">
        <v>122</v>
      </c>
      <c r="B152" s="40">
        <v>1</v>
      </c>
      <c r="D152" s="40" t="str">
        <f t="shared" ca="1" si="7"/>
        <v>IT Sales</v>
      </c>
      <c r="E152" s="40">
        <v>8</v>
      </c>
      <c r="F152" s="1">
        <v>3</v>
      </c>
      <c r="H152" s="1">
        <v>3</v>
      </c>
      <c r="J152" s="1">
        <v>4</v>
      </c>
      <c r="L152" s="1">
        <v>6</v>
      </c>
      <c r="N152" s="1">
        <v>4</v>
      </c>
      <c r="P152" s="1">
        <v>4</v>
      </c>
      <c r="R152" s="1">
        <v>4</v>
      </c>
      <c r="T152" s="1">
        <v>4</v>
      </c>
      <c r="V152" s="1">
        <v>3</v>
      </c>
      <c r="X152" s="1">
        <v>3</v>
      </c>
      <c r="Z152" s="1">
        <v>3</v>
      </c>
      <c r="AB152" s="1">
        <v>4</v>
      </c>
      <c r="AD152" s="1">
        <v>6</v>
      </c>
      <c r="AF152" s="1">
        <v>6</v>
      </c>
      <c r="AH152" s="1">
        <v>4</v>
      </c>
      <c r="AJ152" s="1">
        <v>4</v>
      </c>
      <c r="AL152" s="1">
        <v>2</v>
      </c>
      <c r="AM152" s="1" t="s">
        <v>331</v>
      </c>
      <c r="AN152" s="1">
        <v>5</v>
      </c>
      <c r="AP152" s="1">
        <v>6</v>
      </c>
      <c r="AQ152" s="1" t="s">
        <v>332</v>
      </c>
      <c r="AR152" s="1">
        <v>6</v>
      </c>
      <c r="AT152" s="1" t="s">
        <v>333</v>
      </c>
    </row>
    <row r="153" spans="1:46">
      <c r="A153" s="40">
        <v>123</v>
      </c>
      <c r="B153" s="40">
        <v>1</v>
      </c>
      <c r="D153" s="40" t="str">
        <f t="shared" ca="1" si="7"/>
        <v>IT Producer</v>
      </c>
      <c r="E153" s="40">
        <v>6</v>
      </c>
      <c r="F153" s="1">
        <v>4</v>
      </c>
      <c r="H153" s="1">
        <v>4</v>
      </c>
      <c r="J153" s="1">
        <v>3</v>
      </c>
      <c r="L153" s="1">
        <v>4</v>
      </c>
      <c r="N153" s="1">
        <v>3</v>
      </c>
      <c r="P153" s="1">
        <v>5</v>
      </c>
      <c r="R153" s="1">
        <v>5</v>
      </c>
      <c r="T153" s="1">
        <v>5</v>
      </c>
      <c r="V153" s="1">
        <v>4</v>
      </c>
      <c r="X153" s="1">
        <v>4</v>
      </c>
      <c r="Z153" s="1">
        <v>4</v>
      </c>
      <c r="AB153" s="1">
        <v>5</v>
      </c>
      <c r="AD153" s="1">
        <v>5</v>
      </c>
      <c r="AF153" s="1">
        <v>4</v>
      </c>
      <c r="AH153" s="1">
        <v>5</v>
      </c>
      <c r="AJ153" s="1">
        <v>5</v>
      </c>
      <c r="AL153" s="1">
        <v>5</v>
      </c>
      <c r="AN153" s="1">
        <v>5</v>
      </c>
      <c r="AP153" s="1">
        <v>5</v>
      </c>
      <c r="AR153" s="1">
        <v>5</v>
      </c>
    </row>
    <row r="154" spans="1:46">
      <c r="A154" s="40">
        <v>124</v>
      </c>
      <c r="B154" s="40">
        <v>1</v>
      </c>
      <c r="D154" s="40" t="str">
        <f t="shared" ca="1" si="7"/>
        <v>Workflow</v>
      </c>
      <c r="E154" s="40">
        <v>11</v>
      </c>
      <c r="F154" s="1">
        <v>4</v>
      </c>
      <c r="H154" s="1">
        <v>4</v>
      </c>
      <c r="J154" s="1">
        <v>2</v>
      </c>
      <c r="K154" s="1" t="s">
        <v>334</v>
      </c>
      <c r="L154" s="1">
        <v>5</v>
      </c>
      <c r="N154" s="1">
        <v>3</v>
      </c>
      <c r="O154" s="1" t="s">
        <v>335</v>
      </c>
      <c r="P154" s="1">
        <v>5</v>
      </c>
      <c r="R154" s="1">
        <v>4</v>
      </c>
      <c r="T154" s="1">
        <v>5</v>
      </c>
      <c r="V154" s="1">
        <v>4</v>
      </c>
      <c r="X154" s="1">
        <v>4</v>
      </c>
      <c r="Z154" s="1">
        <v>4</v>
      </c>
      <c r="AB154" s="1">
        <v>4</v>
      </c>
      <c r="AD154" s="1">
        <v>5</v>
      </c>
      <c r="AF154" s="1">
        <v>4</v>
      </c>
      <c r="AH154" s="1">
        <v>3</v>
      </c>
      <c r="AJ154" s="1">
        <v>3</v>
      </c>
      <c r="AL154" s="1">
        <v>4</v>
      </c>
      <c r="AN154" s="1">
        <v>4</v>
      </c>
      <c r="AP154" s="1">
        <v>3</v>
      </c>
      <c r="AR154" s="1">
        <v>2</v>
      </c>
      <c r="AS154" s="1" t="s">
        <v>336</v>
      </c>
    </row>
    <row r="155" spans="1:46">
      <c r="A155" s="40">
        <v>125</v>
      </c>
      <c r="B155" s="40">
        <v>1</v>
      </c>
      <c r="D155" s="40" t="str">
        <f t="shared" ca="1" si="7"/>
        <v>Help Desk</v>
      </c>
      <c r="E155" s="40">
        <v>3</v>
      </c>
      <c r="F155" s="1">
        <v>4</v>
      </c>
      <c r="H155" s="1">
        <v>4</v>
      </c>
      <c r="J155" s="1">
        <v>5</v>
      </c>
      <c r="L155" s="1">
        <v>6</v>
      </c>
      <c r="N155" s="1">
        <v>4</v>
      </c>
      <c r="P155" s="1">
        <v>5</v>
      </c>
      <c r="R155" s="1">
        <v>5</v>
      </c>
      <c r="T155" s="1">
        <v>5</v>
      </c>
      <c r="V155" s="1">
        <v>4</v>
      </c>
      <c r="X155" s="1">
        <v>4</v>
      </c>
      <c r="Z155" s="1">
        <v>5</v>
      </c>
      <c r="AB155" s="1">
        <v>4</v>
      </c>
      <c r="AD155" s="1">
        <v>6</v>
      </c>
      <c r="AF155" s="1">
        <v>6</v>
      </c>
      <c r="AH155" s="1">
        <v>4</v>
      </c>
      <c r="AJ155" s="1">
        <v>6</v>
      </c>
      <c r="AL155" s="1">
        <v>6</v>
      </c>
      <c r="AN155" s="1">
        <v>4</v>
      </c>
      <c r="AP155" s="1">
        <v>4</v>
      </c>
      <c r="AR155" s="1">
        <v>4</v>
      </c>
    </row>
    <row r="156" spans="1:46" ht="25.5">
      <c r="A156" s="40">
        <v>126</v>
      </c>
      <c r="B156" s="40">
        <v>1</v>
      </c>
      <c r="D156" s="40" t="str">
        <f t="shared" ca="1" si="7"/>
        <v>Product Admin</v>
      </c>
      <c r="E156" s="40">
        <v>10</v>
      </c>
      <c r="F156" s="1">
        <v>4</v>
      </c>
      <c r="H156" s="1">
        <v>4</v>
      </c>
      <c r="J156" s="1">
        <v>4</v>
      </c>
      <c r="L156" s="1">
        <v>4</v>
      </c>
      <c r="N156" s="1">
        <v>4</v>
      </c>
      <c r="P156" s="1">
        <v>4</v>
      </c>
      <c r="R156" s="1">
        <v>4</v>
      </c>
      <c r="T156" s="1">
        <v>4</v>
      </c>
      <c r="V156" s="1">
        <v>4</v>
      </c>
      <c r="X156" s="1">
        <v>4</v>
      </c>
      <c r="Z156" s="1">
        <v>4</v>
      </c>
      <c r="AB156" s="1">
        <v>4</v>
      </c>
      <c r="AD156" s="1">
        <v>4</v>
      </c>
      <c r="AF156" s="1">
        <v>5</v>
      </c>
      <c r="AH156" s="1">
        <v>2</v>
      </c>
      <c r="AI156" s="1" t="s">
        <v>337</v>
      </c>
      <c r="AJ156" s="1">
        <v>2</v>
      </c>
      <c r="AK156" s="1" t="s">
        <v>338</v>
      </c>
      <c r="AL156" s="1">
        <v>2</v>
      </c>
      <c r="AM156" s="1" t="s">
        <v>339</v>
      </c>
      <c r="AN156" s="1">
        <v>4</v>
      </c>
      <c r="AP156" s="1">
        <v>4</v>
      </c>
      <c r="AR156" s="1">
        <v>2</v>
      </c>
      <c r="AS156" s="1" t="s">
        <v>340</v>
      </c>
    </row>
    <row r="157" spans="1:46" ht="38.25">
      <c r="A157" s="40">
        <v>127</v>
      </c>
      <c r="B157" s="40">
        <v>1</v>
      </c>
      <c r="D157" s="40" t="str">
        <f t="shared" ca="1" si="7"/>
        <v>IT Service</v>
      </c>
      <c r="E157" s="40">
        <v>9</v>
      </c>
      <c r="F157" s="1">
        <v>4</v>
      </c>
      <c r="H157" s="1">
        <v>4</v>
      </c>
      <c r="J157" s="1">
        <v>4</v>
      </c>
      <c r="L157" s="1">
        <v>4</v>
      </c>
      <c r="N157" s="1">
        <v>4</v>
      </c>
      <c r="P157" s="1">
        <v>4</v>
      </c>
      <c r="R157" s="1">
        <v>4</v>
      </c>
      <c r="T157" s="1">
        <v>4</v>
      </c>
      <c r="V157" s="1">
        <v>4</v>
      </c>
      <c r="X157" s="1">
        <v>5</v>
      </c>
      <c r="Z157" s="1">
        <v>4</v>
      </c>
      <c r="AB157" s="1">
        <v>4</v>
      </c>
      <c r="AD157" s="1">
        <v>5</v>
      </c>
      <c r="AF157" s="1">
        <v>4</v>
      </c>
      <c r="AH157" s="1">
        <v>4</v>
      </c>
      <c r="AJ157" s="1">
        <v>5</v>
      </c>
      <c r="AL157" s="1">
        <v>4</v>
      </c>
      <c r="AN157" s="1">
        <v>4</v>
      </c>
      <c r="AP157" s="1">
        <v>3</v>
      </c>
      <c r="AR157" s="1">
        <v>4</v>
      </c>
      <c r="AT157" s="1" t="s">
        <v>341</v>
      </c>
    </row>
    <row r="158" spans="1:46">
      <c r="A158" s="40">
        <v>128</v>
      </c>
      <c r="B158" s="40">
        <v>1</v>
      </c>
      <c r="D158" s="40" t="str">
        <f t="shared" ca="1" si="7"/>
        <v>Workflow</v>
      </c>
      <c r="E158" s="40">
        <v>11</v>
      </c>
      <c r="F158" s="1">
        <v>3</v>
      </c>
      <c r="H158" s="1">
        <v>3</v>
      </c>
      <c r="J158" s="1">
        <v>4</v>
      </c>
      <c r="L158" s="1">
        <v>3</v>
      </c>
      <c r="N158" s="1">
        <v>3</v>
      </c>
      <c r="P158" s="1">
        <v>5</v>
      </c>
      <c r="R158" s="1">
        <v>4</v>
      </c>
      <c r="T158" s="1">
        <v>4</v>
      </c>
      <c r="V158" s="1">
        <v>3</v>
      </c>
      <c r="X158" s="1">
        <v>3</v>
      </c>
      <c r="Z158" s="1">
        <v>3</v>
      </c>
      <c r="AB158" s="1">
        <v>3</v>
      </c>
      <c r="AD158" s="1">
        <v>3</v>
      </c>
      <c r="AF158" s="1">
        <v>3</v>
      </c>
      <c r="AH158" s="1">
        <v>6</v>
      </c>
      <c r="AJ158" s="1">
        <v>6</v>
      </c>
      <c r="AL158" s="1">
        <v>3</v>
      </c>
      <c r="AN158" s="1">
        <v>3</v>
      </c>
      <c r="AP158" s="1">
        <v>3</v>
      </c>
      <c r="AR158" s="1">
        <v>3</v>
      </c>
    </row>
    <row r="159" spans="1:46">
      <c r="A159" s="40">
        <v>129</v>
      </c>
      <c r="B159" s="40">
        <v>1</v>
      </c>
      <c r="D159" s="40" t="str">
        <f t="shared" ref="D159:D186" ca="1" si="8">LOOKUP(E159,INDIRECT(Team_Name_Lookup))</f>
        <v>IT Service</v>
      </c>
      <c r="E159" s="40">
        <v>9</v>
      </c>
      <c r="F159" s="1">
        <v>3</v>
      </c>
      <c r="H159" s="1">
        <v>3</v>
      </c>
      <c r="J159" s="1">
        <v>5</v>
      </c>
      <c r="L159" s="1">
        <v>5</v>
      </c>
      <c r="N159" s="1">
        <v>4</v>
      </c>
      <c r="P159" s="1">
        <v>4</v>
      </c>
      <c r="R159" s="1">
        <v>4</v>
      </c>
      <c r="T159" s="1">
        <v>5</v>
      </c>
      <c r="V159" s="1">
        <v>4</v>
      </c>
      <c r="X159" s="1">
        <v>3</v>
      </c>
      <c r="Z159" s="1">
        <v>3</v>
      </c>
      <c r="AB159" s="1">
        <v>4</v>
      </c>
      <c r="AD159" s="1">
        <v>5</v>
      </c>
      <c r="AF159" s="1">
        <v>4</v>
      </c>
      <c r="AH159" s="1">
        <v>5</v>
      </c>
      <c r="AJ159" s="1">
        <v>5</v>
      </c>
      <c r="AL159" s="1">
        <v>3</v>
      </c>
      <c r="AN159" s="1">
        <v>5</v>
      </c>
      <c r="AP159" s="1">
        <v>5</v>
      </c>
      <c r="AR159" s="1">
        <v>4</v>
      </c>
    </row>
    <row r="160" spans="1:46" ht="25.5">
      <c r="A160" s="40">
        <v>130</v>
      </c>
      <c r="B160" s="40">
        <v>1</v>
      </c>
      <c r="D160" s="40" t="str">
        <f t="shared" ca="1" si="8"/>
        <v>IT Sales</v>
      </c>
      <c r="E160" s="40">
        <v>8</v>
      </c>
      <c r="F160" s="1">
        <v>3</v>
      </c>
      <c r="H160" s="1">
        <v>3</v>
      </c>
      <c r="J160" s="1">
        <v>3</v>
      </c>
      <c r="L160" s="1">
        <v>3</v>
      </c>
      <c r="N160" s="1">
        <v>3</v>
      </c>
      <c r="P160" s="1">
        <v>4</v>
      </c>
      <c r="R160" s="1">
        <v>4</v>
      </c>
      <c r="T160" s="1">
        <v>3</v>
      </c>
      <c r="V160" s="1">
        <v>2</v>
      </c>
      <c r="W160" s="1" t="s">
        <v>342</v>
      </c>
      <c r="X160" s="1">
        <v>4</v>
      </c>
      <c r="Z160" s="1">
        <v>3</v>
      </c>
      <c r="AB160" s="1">
        <v>4</v>
      </c>
      <c r="AD160" s="1">
        <v>3</v>
      </c>
      <c r="AF160" s="1">
        <v>4</v>
      </c>
      <c r="AH160" s="1">
        <v>4</v>
      </c>
      <c r="AJ160" s="1">
        <v>4</v>
      </c>
      <c r="AL160" s="1">
        <v>4</v>
      </c>
      <c r="AN160" s="1">
        <v>5</v>
      </c>
      <c r="AP160" s="1">
        <v>5</v>
      </c>
      <c r="AR160" s="1">
        <v>2</v>
      </c>
      <c r="AS160" s="1" t="s">
        <v>343</v>
      </c>
    </row>
    <row r="161" spans="1:46" ht="25.5">
      <c r="A161" s="40">
        <v>131</v>
      </c>
      <c r="B161" s="40">
        <v>1</v>
      </c>
      <c r="D161" s="40" t="str">
        <f t="shared" ca="1" si="8"/>
        <v>Help Desk</v>
      </c>
      <c r="E161" s="40">
        <v>3</v>
      </c>
      <c r="F161" s="1">
        <v>1</v>
      </c>
      <c r="G161" s="1" t="s">
        <v>344</v>
      </c>
      <c r="H161" s="1">
        <v>2</v>
      </c>
      <c r="I161" s="1" t="s">
        <v>345</v>
      </c>
      <c r="J161" s="1">
        <v>2</v>
      </c>
      <c r="K161" s="1" t="s">
        <v>346</v>
      </c>
      <c r="L161" s="1">
        <v>2</v>
      </c>
      <c r="M161" s="1" t="s">
        <v>347</v>
      </c>
      <c r="N161" s="1">
        <v>3</v>
      </c>
      <c r="P161" s="1">
        <v>2</v>
      </c>
      <c r="Q161" s="1" t="s">
        <v>348</v>
      </c>
      <c r="R161" s="1">
        <v>4</v>
      </c>
      <c r="T161" s="1">
        <v>4</v>
      </c>
      <c r="V161" s="1">
        <v>2</v>
      </c>
      <c r="W161" s="1" t="s">
        <v>349</v>
      </c>
      <c r="X161" s="1">
        <v>3</v>
      </c>
      <c r="Z161" s="1">
        <v>3</v>
      </c>
      <c r="AB161" s="1">
        <v>2</v>
      </c>
      <c r="AC161" s="1" t="s">
        <v>350</v>
      </c>
      <c r="AD161" s="1">
        <v>2</v>
      </c>
      <c r="AE161" s="1" t="s">
        <v>351</v>
      </c>
      <c r="AF161" s="1">
        <v>2</v>
      </c>
      <c r="AG161" s="1" t="s">
        <v>352</v>
      </c>
      <c r="AH161" s="1">
        <v>3</v>
      </c>
      <c r="AJ161" s="1">
        <v>2</v>
      </c>
      <c r="AK161" s="1" t="s">
        <v>353</v>
      </c>
      <c r="AL161" s="1">
        <v>1</v>
      </c>
      <c r="AM161" s="1" t="s">
        <v>354</v>
      </c>
      <c r="AN161" s="1">
        <v>3</v>
      </c>
      <c r="AP161" s="1">
        <v>3</v>
      </c>
      <c r="AR161" s="1">
        <v>3</v>
      </c>
    </row>
    <row r="162" spans="1:46">
      <c r="A162" s="40">
        <v>132</v>
      </c>
      <c r="B162" s="40">
        <v>1</v>
      </c>
      <c r="D162" s="40" t="str">
        <f t="shared" ca="1" si="8"/>
        <v>IT Service</v>
      </c>
      <c r="E162" s="40">
        <v>9</v>
      </c>
      <c r="F162" s="1">
        <v>4</v>
      </c>
      <c r="H162" s="1">
        <v>4</v>
      </c>
      <c r="J162" s="1">
        <v>4</v>
      </c>
      <c r="L162" s="1">
        <v>4</v>
      </c>
      <c r="N162" s="1">
        <v>4</v>
      </c>
      <c r="P162" s="1">
        <v>4</v>
      </c>
      <c r="R162" s="1">
        <v>4</v>
      </c>
      <c r="T162" s="1">
        <v>4</v>
      </c>
      <c r="V162" s="1">
        <v>4</v>
      </c>
      <c r="X162" s="1">
        <v>4</v>
      </c>
      <c r="Z162" s="1">
        <v>4</v>
      </c>
      <c r="AB162" s="1">
        <v>4</v>
      </c>
      <c r="AD162" s="1">
        <v>4</v>
      </c>
      <c r="AF162" s="1">
        <v>4</v>
      </c>
      <c r="AH162" s="1">
        <v>4</v>
      </c>
      <c r="AJ162" s="1">
        <v>4</v>
      </c>
      <c r="AL162" s="1">
        <v>3</v>
      </c>
      <c r="AN162" s="1">
        <v>4</v>
      </c>
      <c r="AP162" s="1">
        <v>4</v>
      </c>
      <c r="AR162" s="1">
        <v>5</v>
      </c>
    </row>
    <row r="163" spans="1:46" ht="25.5">
      <c r="A163" s="40">
        <v>133</v>
      </c>
      <c r="B163" s="40">
        <v>1</v>
      </c>
      <c r="D163" s="40" t="str">
        <f t="shared" ca="1" si="8"/>
        <v>Product Admin</v>
      </c>
      <c r="E163" s="40">
        <v>10</v>
      </c>
      <c r="F163" s="1">
        <v>4</v>
      </c>
      <c r="H163" s="1">
        <v>5</v>
      </c>
      <c r="J163" s="1">
        <v>4</v>
      </c>
      <c r="L163" s="1">
        <v>3</v>
      </c>
      <c r="N163" s="1">
        <v>4</v>
      </c>
      <c r="P163" s="1">
        <v>5</v>
      </c>
      <c r="R163" s="1">
        <v>4</v>
      </c>
      <c r="T163" s="1">
        <v>5</v>
      </c>
      <c r="V163" s="1">
        <v>4</v>
      </c>
      <c r="X163" s="1">
        <v>4</v>
      </c>
      <c r="Z163" s="1">
        <v>4</v>
      </c>
      <c r="AB163" s="1">
        <v>4</v>
      </c>
      <c r="AD163" s="1">
        <v>4</v>
      </c>
      <c r="AF163" s="1">
        <v>4</v>
      </c>
      <c r="AH163" s="1">
        <v>4</v>
      </c>
      <c r="AJ163" s="1">
        <v>5</v>
      </c>
      <c r="AL163" s="1">
        <v>5</v>
      </c>
      <c r="AN163" s="1">
        <v>2</v>
      </c>
      <c r="AO163" s="1" t="s">
        <v>355</v>
      </c>
      <c r="AP163" s="1">
        <v>1</v>
      </c>
      <c r="AQ163" s="1" t="s">
        <v>356</v>
      </c>
      <c r="AR163" s="1">
        <v>4</v>
      </c>
      <c r="AT163" s="1" t="s">
        <v>357</v>
      </c>
    </row>
    <row r="164" spans="1:46">
      <c r="A164" s="40">
        <v>134</v>
      </c>
      <c r="B164" s="40">
        <v>1</v>
      </c>
      <c r="D164" s="40" t="str">
        <f t="shared" ca="1" si="8"/>
        <v>eBusiness</v>
      </c>
      <c r="E164" s="40">
        <v>2</v>
      </c>
      <c r="F164" s="1">
        <v>4</v>
      </c>
      <c r="H164" s="1">
        <v>4</v>
      </c>
      <c r="J164" s="1">
        <v>4</v>
      </c>
      <c r="L164" s="1">
        <v>4</v>
      </c>
      <c r="N164" s="1">
        <v>4</v>
      </c>
      <c r="P164" s="1">
        <v>4</v>
      </c>
      <c r="R164" s="1">
        <v>4</v>
      </c>
      <c r="T164" s="1">
        <v>4</v>
      </c>
      <c r="V164" s="1">
        <v>4</v>
      </c>
      <c r="X164" s="1">
        <v>4</v>
      </c>
      <c r="Z164" s="1">
        <v>4</v>
      </c>
      <c r="AB164" s="1">
        <v>4</v>
      </c>
      <c r="AD164" s="1">
        <v>4</v>
      </c>
      <c r="AF164" s="1">
        <v>4</v>
      </c>
      <c r="AH164" s="1">
        <v>4</v>
      </c>
      <c r="AJ164" s="1">
        <v>4</v>
      </c>
      <c r="AL164" s="1">
        <v>4</v>
      </c>
      <c r="AN164" s="1">
        <v>5</v>
      </c>
      <c r="AP164" s="1">
        <v>4</v>
      </c>
      <c r="AR164" s="1">
        <v>4</v>
      </c>
    </row>
    <row r="165" spans="1:46">
      <c r="A165" s="40">
        <v>135</v>
      </c>
      <c r="B165" s="40">
        <v>1</v>
      </c>
      <c r="D165" s="40" t="str">
        <f t="shared" ca="1" si="8"/>
        <v>Product Admin</v>
      </c>
      <c r="E165" s="40">
        <v>10</v>
      </c>
      <c r="F165" s="1">
        <v>2</v>
      </c>
      <c r="G165" s="1" t="s">
        <v>358</v>
      </c>
      <c r="H165" s="1">
        <v>3</v>
      </c>
      <c r="J165" s="1">
        <v>3</v>
      </c>
      <c r="L165" s="1">
        <v>4</v>
      </c>
      <c r="N165" s="1">
        <v>3</v>
      </c>
      <c r="P165" s="1">
        <v>4</v>
      </c>
      <c r="R165" s="1">
        <v>4</v>
      </c>
      <c r="T165" s="1">
        <v>2</v>
      </c>
      <c r="U165" s="1" t="s">
        <v>359</v>
      </c>
      <c r="V165" s="1">
        <v>3</v>
      </c>
      <c r="X165" s="1">
        <v>2</v>
      </c>
      <c r="Y165" s="1" t="s">
        <v>360</v>
      </c>
      <c r="Z165" s="1">
        <v>4</v>
      </c>
      <c r="AB165" s="1">
        <v>4</v>
      </c>
      <c r="AD165" s="1">
        <v>4</v>
      </c>
      <c r="AF165" s="1">
        <v>3</v>
      </c>
      <c r="AH165" s="1">
        <v>3</v>
      </c>
      <c r="AJ165" s="1">
        <v>4</v>
      </c>
      <c r="AL165" s="1">
        <v>3</v>
      </c>
      <c r="AN165" s="1">
        <v>3</v>
      </c>
      <c r="AP165" s="1">
        <v>3</v>
      </c>
      <c r="AR165" s="1">
        <v>3</v>
      </c>
    </row>
    <row r="166" spans="1:46">
      <c r="A166" s="40">
        <v>136</v>
      </c>
      <c r="B166" s="40">
        <v>1</v>
      </c>
      <c r="D166" s="40" t="str">
        <f t="shared" ca="1" si="8"/>
        <v>Product Admin</v>
      </c>
      <c r="E166" s="40">
        <v>10</v>
      </c>
      <c r="F166" s="1">
        <v>4</v>
      </c>
      <c r="H166" s="1">
        <v>4</v>
      </c>
      <c r="J166" s="1">
        <v>3</v>
      </c>
      <c r="L166" s="1">
        <v>4</v>
      </c>
      <c r="N166" s="1">
        <v>4</v>
      </c>
      <c r="P166" s="1">
        <v>5</v>
      </c>
      <c r="R166" s="1">
        <v>4</v>
      </c>
      <c r="T166" s="1">
        <v>4</v>
      </c>
      <c r="V166" s="1">
        <v>4</v>
      </c>
      <c r="X166" s="1">
        <v>4</v>
      </c>
      <c r="Z166" s="1">
        <v>5</v>
      </c>
      <c r="AB166" s="1">
        <v>4</v>
      </c>
      <c r="AD166" s="1">
        <v>4</v>
      </c>
      <c r="AF166" s="1">
        <v>4</v>
      </c>
      <c r="AH166" s="1">
        <v>4</v>
      </c>
      <c r="AJ166" s="1">
        <v>4</v>
      </c>
      <c r="AL166" s="1">
        <v>4</v>
      </c>
      <c r="AN166" s="1">
        <v>4</v>
      </c>
      <c r="AP166" s="1">
        <v>4</v>
      </c>
      <c r="AR166" s="1">
        <v>4</v>
      </c>
    </row>
    <row r="167" spans="1:46">
      <c r="A167" s="40">
        <v>137</v>
      </c>
      <c r="B167" s="40">
        <v>1</v>
      </c>
      <c r="D167" s="40" t="str">
        <f t="shared" ca="1" si="8"/>
        <v>eBusiness</v>
      </c>
      <c r="E167" s="40">
        <v>2</v>
      </c>
      <c r="F167" s="1">
        <v>4</v>
      </c>
      <c r="H167" s="1">
        <v>4</v>
      </c>
      <c r="J167" s="1">
        <v>4</v>
      </c>
      <c r="L167" s="1">
        <v>4</v>
      </c>
      <c r="N167" s="1">
        <v>4</v>
      </c>
      <c r="P167" s="1">
        <v>4</v>
      </c>
      <c r="R167" s="1">
        <v>4</v>
      </c>
      <c r="T167" s="1">
        <v>4</v>
      </c>
      <c r="V167" s="1">
        <v>4</v>
      </c>
      <c r="X167" s="1">
        <v>4</v>
      </c>
      <c r="Z167" s="1">
        <v>4</v>
      </c>
      <c r="AB167" s="1">
        <v>4</v>
      </c>
      <c r="AD167" s="1">
        <v>4</v>
      </c>
      <c r="AF167" s="1">
        <v>3</v>
      </c>
      <c r="AH167" s="1">
        <v>5</v>
      </c>
      <c r="AJ167" s="1">
        <v>3</v>
      </c>
      <c r="AL167" s="1">
        <v>4</v>
      </c>
      <c r="AN167" s="1">
        <v>4</v>
      </c>
      <c r="AP167" s="1">
        <v>3</v>
      </c>
      <c r="AR167" s="1">
        <v>4</v>
      </c>
    </row>
    <row r="168" spans="1:46" ht="25.5">
      <c r="A168" s="40">
        <v>138</v>
      </c>
      <c r="B168" s="40">
        <v>1</v>
      </c>
      <c r="D168" s="40" t="str">
        <f t="shared" ca="1" si="8"/>
        <v>Product Admin</v>
      </c>
      <c r="E168" s="40">
        <v>10</v>
      </c>
      <c r="F168" s="1">
        <v>4</v>
      </c>
      <c r="H168" s="1">
        <v>4</v>
      </c>
      <c r="J168" s="1">
        <v>3</v>
      </c>
      <c r="K168" s="1" t="s">
        <v>361</v>
      </c>
      <c r="L168" s="1">
        <v>3</v>
      </c>
      <c r="M168" s="1" t="s">
        <v>362</v>
      </c>
      <c r="N168" s="1">
        <v>4</v>
      </c>
      <c r="P168" s="1">
        <v>4</v>
      </c>
      <c r="R168" s="1">
        <v>4</v>
      </c>
      <c r="T168" s="1">
        <v>4</v>
      </c>
      <c r="V168" s="1">
        <v>4</v>
      </c>
      <c r="X168" s="1">
        <v>4</v>
      </c>
      <c r="Z168" s="1">
        <v>4</v>
      </c>
      <c r="AB168" s="1">
        <v>4</v>
      </c>
      <c r="AD168" s="1">
        <v>4</v>
      </c>
      <c r="AF168" s="1">
        <v>4</v>
      </c>
      <c r="AH168" s="1">
        <v>2</v>
      </c>
      <c r="AI168" s="1" t="s">
        <v>363</v>
      </c>
      <c r="AJ168" s="1">
        <v>2</v>
      </c>
      <c r="AK168" s="1" t="s">
        <v>364</v>
      </c>
      <c r="AL168" s="1">
        <v>3</v>
      </c>
      <c r="AM168" s="1" t="s">
        <v>365</v>
      </c>
      <c r="AN168" s="1">
        <v>3</v>
      </c>
      <c r="AO168" s="1" t="s">
        <v>366</v>
      </c>
      <c r="AP168" s="1">
        <v>3</v>
      </c>
      <c r="AQ168" s="1" t="s">
        <v>367</v>
      </c>
      <c r="AR168" s="1">
        <v>4</v>
      </c>
    </row>
    <row r="169" spans="1:46">
      <c r="A169" s="40">
        <v>139</v>
      </c>
      <c r="B169" s="40">
        <v>1</v>
      </c>
      <c r="D169" s="40" t="str">
        <f t="shared" ca="1" si="8"/>
        <v>Workflow</v>
      </c>
      <c r="E169" s="40">
        <v>11</v>
      </c>
      <c r="F169" s="1">
        <v>3</v>
      </c>
      <c r="H169" s="1">
        <v>3</v>
      </c>
      <c r="J169" s="1">
        <v>3</v>
      </c>
      <c r="L169" s="1">
        <v>4</v>
      </c>
      <c r="N169" s="1">
        <v>3</v>
      </c>
      <c r="P169" s="1">
        <v>3</v>
      </c>
      <c r="R169" s="1">
        <v>5</v>
      </c>
      <c r="T169" s="1">
        <v>5</v>
      </c>
      <c r="V169" s="1">
        <v>3</v>
      </c>
      <c r="X169" s="1">
        <v>4</v>
      </c>
      <c r="Z169" s="1">
        <v>4</v>
      </c>
      <c r="AB169" s="1">
        <v>4</v>
      </c>
      <c r="AD169" s="1">
        <v>2</v>
      </c>
      <c r="AE169" s="1" t="s">
        <v>368</v>
      </c>
      <c r="AF169" s="1">
        <v>1</v>
      </c>
      <c r="AG169" s="1" t="s">
        <v>369</v>
      </c>
      <c r="AH169" s="1">
        <v>4</v>
      </c>
      <c r="AJ169" s="1">
        <v>3</v>
      </c>
      <c r="AL169" s="1">
        <v>3</v>
      </c>
      <c r="AN169" s="1">
        <v>3</v>
      </c>
      <c r="AP169" s="1">
        <v>3</v>
      </c>
      <c r="AR169" s="1">
        <v>3</v>
      </c>
    </row>
    <row r="170" spans="1:46">
      <c r="A170" s="40">
        <v>140</v>
      </c>
      <c r="B170" s="40">
        <v>1</v>
      </c>
      <c r="D170" s="40" t="str">
        <f t="shared" ca="1" si="8"/>
        <v>IT Service</v>
      </c>
      <c r="E170" s="40">
        <v>9</v>
      </c>
      <c r="F170" s="1">
        <v>3</v>
      </c>
      <c r="H170" s="1">
        <v>3</v>
      </c>
      <c r="J170" s="1">
        <v>3</v>
      </c>
      <c r="L170" s="1">
        <v>3</v>
      </c>
      <c r="N170" s="1">
        <v>3</v>
      </c>
      <c r="P170" s="1">
        <v>3</v>
      </c>
      <c r="R170" s="1">
        <v>3</v>
      </c>
      <c r="T170" s="1">
        <v>3</v>
      </c>
      <c r="V170" s="1">
        <v>3</v>
      </c>
      <c r="X170" s="1">
        <v>3</v>
      </c>
      <c r="Z170" s="1">
        <v>4</v>
      </c>
      <c r="AB170" s="1">
        <v>4</v>
      </c>
      <c r="AD170" s="1">
        <v>3</v>
      </c>
      <c r="AF170" s="1">
        <v>3</v>
      </c>
      <c r="AH170" s="1">
        <v>3</v>
      </c>
      <c r="AJ170" s="1">
        <v>4</v>
      </c>
      <c r="AL170" s="1">
        <v>3</v>
      </c>
      <c r="AN170" s="1">
        <v>3</v>
      </c>
      <c r="AP170" s="1">
        <v>3</v>
      </c>
      <c r="AR170" s="1">
        <v>3</v>
      </c>
    </row>
    <row r="171" spans="1:46">
      <c r="A171" s="40">
        <v>141</v>
      </c>
      <c r="B171" s="40">
        <v>1</v>
      </c>
      <c r="D171" s="40" t="str">
        <f t="shared" ca="1" si="8"/>
        <v>Product Admin</v>
      </c>
      <c r="E171" s="40">
        <v>10</v>
      </c>
      <c r="F171" s="1">
        <v>4</v>
      </c>
      <c r="H171" s="1">
        <v>3</v>
      </c>
      <c r="J171" s="1">
        <v>3</v>
      </c>
      <c r="L171" s="1">
        <v>3</v>
      </c>
      <c r="N171" s="1">
        <v>4</v>
      </c>
      <c r="P171" s="1">
        <v>4</v>
      </c>
      <c r="R171" s="1">
        <v>4</v>
      </c>
      <c r="T171" s="1">
        <v>4</v>
      </c>
      <c r="V171" s="1">
        <v>4</v>
      </c>
      <c r="X171" s="1">
        <v>3</v>
      </c>
      <c r="Z171" s="1">
        <v>4</v>
      </c>
      <c r="AB171" s="1">
        <v>4</v>
      </c>
      <c r="AD171" s="1">
        <v>3</v>
      </c>
      <c r="AF171" s="1">
        <v>3</v>
      </c>
      <c r="AH171" s="1">
        <v>3</v>
      </c>
      <c r="AJ171" s="1">
        <v>6</v>
      </c>
      <c r="AL171" s="1">
        <v>3</v>
      </c>
      <c r="AN171" s="1">
        <v>5</v>
      </c>
      <c r="AP171" s="1">
        <v>5</v>
      </c>
      <c r="AR171" s="1">
        <v>3</v>
      </c>
    </row>
    <row r="172" spans="1:46">
      <c r="A172" s="40">
        <v>142</v>
      </c>
      <c r="B172" s="40">
        <v>1</v>
      </c>
      <c r="D172" s="40" t="str">
        <f t="shared" ca="1" si="8"/>
        <v>Product Admin</v>
      </c>
      <c r="E172" s="40">
        <v>10</v>
      </c>
      <c r="F172" s="1">
        <v>4</v>
      </c>
      <c r="H172" s="1">
        <v>4</v>
      </c>
      <c r="J172" s="1">
        <v>5</v>
      </c>
      <c r="L172" s="1">
        <v>5</v>
      </c>
      <c r="N172" s="1">
        <v>5</v>
      </c>
      <c r="P172" s="1">
        <v>5</v>
      </c>
      <c r="R172" s="1">
        <v>5</v>
      </c>
      <c r="T172" s="1">
        <v>5</v>
      </c>
      <c r="V172" s="1">
        <v>4</v>
      </c>
      <c r="X172" s="1">
        <v>5</v>
      </c>
      <c r="Z172" s="1">
        <v>4</v>
      </c>
      <c r="AB172" s="1">
        <v>5</v>
      </c>
      <c r="AD172" s="1">
        <v>4</v>
      </c>
      <c r="AF172" s="1">
        <v>5</v>
      </c>
      <c r="AH172" s="1">
        <v>4</v>
      </c>
      <c r="AJ172" s="1">
        <v>5</v>
      </c>
      <c r="AL172" s="1">
        <v>5</v>
      </c>
      <c r="AN172" s="1">
        <v>5</v>
      </c>
      <c r="AP172" s="1">
        <v>4</v>
      </c>
      <c r="AR172" s="1">
        <v>6</v>
      </c>
    </row>
    <row r="173" spans="1:46">
      <c r="A173" s="40">
        <v>143</v>
      </c>
      <c r="B173" s="40">
        <v>1</v>
      </c>
      <c r="D173" s="40" t="str">
        <f t="shared" ca="1" si="8"/>
        <v>Product Admin</v>
      </c>
      <c r="E173" s="40">
        <v>10</v>
      </c>
      <c r="F173" s="1">
        <v>3</v>
      </c>
      <c r="H173" s="1">
        <v>3</v>
      </c>
      <c r="J173" s="1">
        <v>3</v>
      </c>
      <c r="L173" s="1">
        <v>3</v>
      </c>
      <c r="N173" s="1">
        <v>4</v>
      </c>
      <c r="P173" s="1">
        <v>4</v>
      </c>
      <c r="R173" s="1">
        <v>4</v>
      </c>
      <c r="T173" s="1">
        <v>4</v>
      </c>
      <c r="V173" s="1">
        <v>3</v>
      </c>
      <c r="X173" s="1">
        <v>4</v>
      </c>
      <c r="Z173" s="1">
        <v>4</v>
      </c>
      <c r="AB173" s="1">
        <v>4</v>
      </c>
      <c r="AD173" s="1">
        <v>3</v>
      </c>
      <c r="AF173" s="1">
        <v>4</v>
      </c>
      <c r="AH173" s="1">
        <v>3</v>
      </c>
      <c r="AJ173" s="1">
        <v>3</v>
      </c>
      <c r="AL173" s="1">
        <v>3</v>
      </c>
      <c r="AN173" s="1">
        <v>3</v>
      </c>
      <c r="AP173" s="1">
        <v>3</v>
      </c>
      <c r="AR173" s="1">
        <v>3</v>
      </c>
    </row>
    <row r="174" spans="1:46" ht="51">
      <c r="A174" s="40">
        <v>144</v>
      </c>
      <c r="B174" s="40">
        <v>1</v>
      </c>
      <c r="D174" s="40" t="str">
        <f t="shared" ca="1" si="8"/>
        <v>Data Services</v>
      </c>
      <c r="E174" s="40">
        <v>1</v>
      </c>
      <c r="F174" s="1">
        <v>4</v>
      </c>
      <c r="H174" s="1">
        <v>3</v>
      </c>
      <c r="I174" s="1" t="s">
        <v>370</v>
      </c>
      <c r="J174" s="1">
        <v>3</v>
      </c>
      <c r="K174" s="1" t="s">
        <v>371</v>
      </c>
      <c r="L174" s="1">
        <v>3</v>
      </c>
      <c r="M174" s="1" t="s">
        <v>372</v>
      </c>
      <c r="N174" s="1">
        <v>2</v>
      </c>
      <c r="O174" s="1" t="s">
        <v>373</v>
      </c>
      <c r="P174" s="1">
        <v>5</v>
      </c>
      <c r="R174" s="1">
        <v>3</v>
      </c>
      <c r="S174" s="1" t="s">
        <v>374</v>
      </c>
      <c r="T174" s="1">
        <v>4</v>
      </c>
      <c r="U174" s="1" t="s">
        <v>375</v>
      </c>
      <c r="V174" s="1">
        <v>3</v>
      </c>
      <c r="W174" s="1" t="s">
        <v>376</v>
      </c>
      <c r="X174" s="1">
        <v>4</v>
      </c>
      <c r="Y174" s="1" t="s">
        <v>377</v>
      </c>
      <c r="Z174" s="1">
        <v>4</v>
      </c>
      <c r="AA174" s="1" t="s">
        <v>378</v>
      </c>
      <c r="AB174" s="1">
        <v>5</v>
      </c>
      <c r="AC174" s="1" t="s">
        <v>379</v>
      </c>
      <c r="AD174" s="1">
        <v>3</v>
      </c>
      <c r="AE174" s="1" t="s">
        <v>380</v>
      </c>
      <c r="AF174" s="1">
        <v>2</v>
      </c>
      <c r="AG174" s="1" t="s">
        <v>381</v>
      </c>
      <c r="AH174" s="1">
        <v>3</v>
      </c>
      <c r="AJ174" s="1">
        <v>2</v>
      </c>
      <c r="AK174" s="1" t="s">
        <v>382</v>
      </c>
      <c r="AL174" s="1">
        <v>2</v>
      </c>
      <c r="AM174" s="1" t="s">
        <v>383</v>
      </c>
      <c r="AN174" s="1">
        <v>5</v>
      </c>
      <c r="AO174" s="1" t="s">
        <v>384</v>
      </c>
      <c r="AP174" s="1">
        <v>5</v>
      </c>
      <c r="AQ174" s="1" t="s">
        <v>385</v>
      </c>
      <c r="AR174" s="1">
        <v>4</v>
      </c>
      <c r="AT174" s="1" t="s">
        <v>386</v>
      </c>
    </row>
    <row r="175" spans="1:46" ht="51">
      <c r="A175" s="40">
        <v>145</v>
      </c>
      <c r="B175" s="40">
        <v>1</v>
      </c>
      <c r="D175" s="40" t="str">
        <f t="shared" ca="1" si="8"/>
        <v>Help Desk</v>
      </c>
      <c r="E175" s="40">
        <v>3</v>
      </c>
      <c r="F175" s="1">
        <v>5</v>
      </c>
      <c r="H175" s="1">
        <v>5</v>
      </c>
      <c r="J175" s="1">
        <v>5</v>
      </c>
      <c r="L175" s="1">
        <v>3</v>
      </c>
      <c r="M175" s="1" t="s">
        <v>387</v>
      </c>
      <c r="N175" s="1">
        <v>4</v>
      </c>
      <c r="O175" s="1" t="s">
        <v>388</v>
      </c>
      <c r="P175" s="1">
        <v>5</v>
      </c>
      <c r="R175" s="1">
        <v>5</v>
      </c>
      <c r="T175" s="1">
        <v>5</v>
      </c>
      <c r="V175" s="1">
        <v>5</v>
      </c>
      <c r="X175" s="1">
        <v>5</v>
      </c>
      <c r="Z175" s="1">
        <v>5</v>
      </c>
      <c r="AB175" s="1">
        <v>5</v>
      </c>
      <c r="AD175" s="1">
        <v>4</v>
      </c>
      <c r="AE175" s="1" t="s">
        <v>389</v>
      </c>
      <c r="AF175" s="1">
        <v>4</v>
      </c>
      <c r="AG175" s="1" t="s">
        <v>390</v>
      </c>
      <c r="AH175" s="1">
        <v>5</v>
      </c>
      <c r="AJ175" s="1">
        <v>5</v>
      </c>
      <c r="AL175" s="1">
        <v>2</v>
      </c>
      <c r="AM175" s="1" t="s">
        <v>391</v>
      </c>
      <c r="AN175" s="1">
        <v>4</v>
      </c>
      <c r="AP175" s="1">
        <v>4</v>
      </c>
      <c r="AR175" s="1">
        <v>2</v>
      </c>
      <c r="AS175" s="1" t="s">
        <v>392</v>
      </c>
      <c r="AT175" s="1" t="s">
        <v>393</v>
      </c>
    </row>
    <row r="176" spans="1:46">
      <c r="A176" s="40">
        <v>146</v>
      </c>
      <c r="B176" s="40">
        <v>1</v>
      </c>
      <c r="D176" s="40" t="str">
        <f t="shared" ca="1" si="8"/>
        <v>SSI</v>
      </c>
      <c r="E176" s="40">
        <v>13</v>
      </c>
      <c r="F176" s="1">
        <v>4</v>
      </c>
      <c r="H176" s="1">
        <v>4</v>
      </c>
      <c r="J176" s="1">
        <v>4</v>
      </c>
      <c r="L176" s="1">
        <v>4</v>
      </c>
      <c r="N176" s="1">
        <v>4</v>
      </c>
      <c r="P176" s="1">
        <v>4</v>
      </c>
      <c r="R176" s="1">
        <v>5</v>
      </c>
      <c r="T176" s="1">
        <v>5</v>
      </c>
      <c r="V176" s="1">
        <v>3</v>
      </c>
      <c r="X176" s="1">
        <v>3</v>
      </c>
      <c r="Z176" s="1">
        <v>4</v>
      </c>
      <c r="AB176" s="1">
        <v>5</v>
      </c>
      <c r="AD176" s="1">
        <v>4</v>
      </c>
      <c r="AF176" s="1">
        <v>3</v>
      </c>
      <c r="AH176" s="1">
        <v>4</v>
      </c>
      <c r="AJ176" s="1">
        <v>3</v>
      </c>
      <c r="AL176" s="1">
        <v>3</v>
      </c>
      <c r="AN176" s="1">
        <v>3</v>
      </c>
      <c r="AP176" s="1">
        <v>3</v>
      </c>
      <c r="AR176" s="1">
        <v>3</v>
      </c>
    </row>
    <row r="177" spans="1:46">
      <c r="A177" s="40">
        <v>147</v>
      </c>
      <c r="B177" s="40">
        <v>1</v>
      </c>
      <c r="D177" s="40" t="str">
        <f t="shared" ca="1" si="8"/>
        <v>Data Services</v>
      </c>
      <c r="E177" s="40">
        <v>1</v>
      </c>
      <c r="F177" s="1">
        <v>4</v>
      </c>
      <c r="H177" s="1">
        <v>4</v>
      </c>
      <c r="J177" s="1">
        <v>4</v>
      </c>
      <c r="L177" s="1">
        <v>3</v>
      </c>
      <c r="N177" s="1">
        <v>4</v>
      </c>
      <c r="P177" s="1">
        <v>5</v>
      </c>
      <c r="R177" s="1">
        <v>4</v>
      </c>
      <c r="T177" s="1">
        <v>4</v>
      </c>
      <c r="V177" s="1">
        <v>4</v>
      </c>
      <c r="X177" s="1">
        <v>4</v>
      </c>
      <c r="Z177" s="1">
        <v>4</v>
      </c>
      <c r="AB177" s="1">
        <v>4</v>
      </c>
      <c r="AD177" s="1">
        <v>4</v>
      </c>
      <c r="AF177" s="1">
        <v>3</v>
      </c>
      <c r="AH177" s="1">
        <v>3</v>
      </c>
      <c r="AJ177" s="1">
        <v>3</v>
      </c>
      <c r="AL177" s="1">
        <v>3</v>
      </c>
      <c r="AN177" s="1">
        <v>5</v>
      </c>
      <c r="AP177" s="1">
        <v>3</v>
      </c>
      <c r="AR177" s="1">
        <v>4</v>
      </c>
    </row>
    <row r="178" spans="1:46" ht="25.5">
      <c r="A178" s="40">
        <v>148</v>
      </c>
      <c r="B178" s="40">
        <v>1</v>
      </c>
      <c r="D178" s="40" t="str">
        <f t="shared" ca="1" si="8"/>
        <v>IT Service</v>
      </c>
      <c r="E178" s="40">
        <v>9</v>
      </c>
      <c r="F178" s="1">
        <v>3</v>
      </c>
      <c r="H178" s="1">
        <v>4</v>
      </c>
      <c r="J178" s="1">
        <v>4</v>
      </c>
      <c r="L178" s="1">
        <v>4</v>
      </c>
      <c r="N178" s="1">
        <v>4</v>
      </c>
      <c r="P178" s="1">
        <v>4</v>
      </c>
      <c r="R178" s="1">
        <v>4</v>
      </c>
      <c r="T178" s="1">
        <v>4</v>
      </c>
      <c r="V178" s="1">
        <v>4</v>
      </c>
      <c r="X178" s="1">
        <v>3</v>
      </c>
      <c r="Z178" s="1">
        <v>4</v>
      </c>
      <c r="AB178" s="1">
        <v>4</v>
      </c>
      <c r="AD178" s="1">
        <v>2</v>
      </c>
      <c r="AE178" s="1" t="s">
        <v>394</v>
      </c>
      <c r="AF178" s="1">
        <v>4</v>
      </c>
      <c r="AH178" s="1">
        <v>4</v>
      </c>
      <c r="AJ178" s="1">
        <v>4</v>
      </c>
      <c r="AL178" s="1">
        <v>4</v>
      </c>
      <c r="AN178" s="1">
        <v>2</v>
      </c>
      <c r="AO178" s="1" t="s">
        <v>395</v>
      </c>
      <c r="AP178" s="1">
        <v>3</v>
      </c>
      <c r="AR178" s="1">
        <v>2</v>
      </c>
      <c r="AS178" s="1" t="s">
        <v>396</v>
      </c>
    </row>
    <row r="179" spans="1:46" ht="25.5">
      <c r="A179" s="40">
        <v>149</v>
      </c>
      <c r="B179" s="40">
        <v>1</v>
      </c>
      <c r="D179" s="40" t="str">
        <f t="shared" ca="1" si="8"/>
        <v>IT Sales</v>
      </c>
      <c r="E179" s="40">
        <v>8</v>
      </c>
      <c r="F179" s="1">
        <v>4</v>
      </c>
      <c r="H179" s="1">
        <v>4</v>
      </c>
      <c r="J179" s="1">
        <v>4</v>
      </c>
      <c r="L179" s="1">
        <v>4</v>
      </c>
      <c r="N179" s="1">
        <v>4</v>
      </c>
      <c r="P179" s="1">
        <v>4</v>
      </c>
      <c r="R179" s="1">
        <v>4</v>
      </c>
      <c r="T179" s="1">
        <v>4</v>
      </c>
      <c r="V179" s="1">
        <v>4</v>
      </c>
      <c r="X179" s="1">
        <v>4</v>
      </c>
      <c r="Z179" s="1">
        <v>4</v>
      </c>
      <c r="AB179" s="1">
        <v>4</v>
      </c>
      <c r="AD179" s="1">
        <v>3</v>
      </c>
      <c r="AF179" s="1">
        <v>3</v>
      </c>
      <c r="AH179" s="1">
        <v>4</v>
      </c>
      <c r="AJ179" s="1">
        <v>4</v>
      </c>
      <c r="AL179" s="1">
        <v>4</v>
      </c>
      <c r="AN179" s="1">
        <v>4</v>
      </c>
      <c r="AP179" s="1">
        <v>4</v>
      </c>
      <c r="AR179" s="1">
        <v>2</v>
      </c>
      <c r="AS179" s="1" t="s">
        <v>397</v>
      </c>
    </row>
    <row r="180" spans="1:46" ht="38.25">
      <c r="A180" s="40">
        <v>150</v>
      </c>
      <c r="B180" s="40">
        <v>1</v>
      </c>
      <c r="D180" s="40" t="str">
        <f t="shared" ca="1" si="8"/>
        <v>IT Sales</v>
      </c>
      <c r="E180" s="40">
        <v>8</v>
      </c>
      <c r="F180" s="1">
        <v>3</v>
      </c>
      <c r="H180" s="1">
        <v>4</v>
      </c>
      <c r="J180" s="1">
        <v>4</v>
      </c>
      <c r="L180" s="1">
        <v>4</v>
      </c>
      <c r="N180" s="1">
        <v>4</v>
      </c>
      <c r="P180" s="1">
        <v>5</v>
      </c>
      <c r="R180" s="1">
        <v>5</v>
      </c>
      <c r="T180" s="1">
        <v>4</v>
      </c>
      <c r="V180" s="1">
        <v>4</v>
      </c>
      <c r="X180" s="1">
        <v>5</v>
      </c>
      <c r="Z180" s="1">
        <v>4</v>
      </c>
      <c r="AB180" s="1">
        <v>4</v>
      </c>
      <c r="AD180" s="1">
        <v>2</v>
      </c>
      <c r="AE180" s="1" t="s">
        <v>398</v>
      </c>
      <c r="AF180" s="1">
        <v>3</v>
      </c>
      <c r="AH180" s="1">
        <v>4</v>
      </c>
      <c r="AJ180" s="1">
        <v>3</v>
      </c>
      <c r="AL180" s="1">
        <v>4</v>
      </c>
      <c r="AN180" s="1">
        <v>4</v>
      </c>
      <c r="AP180" s="1">
        <v>2</v>
      </c>
      <c r="AQ180" s="1" t="s">
        <v>399</v>
      </c>
      <c r="AR180" s="1">
        <v>1</v>
      </c>
      <c r="AS180" s="1" t="s">
        <v>400</v>
      </c>
    </row>
    <row r="181" spans="1:46" ht="38.25">
      <c r="A181" s="40">
        <v>151</v>
      </c>
      <c r="B181" s="40">
        <v>1</v>
      </c>
      <c r="D181" s="40" t="str">
        <f t="shared" ca="1" si="8"/>
        <v>Product Admin</v>
      </c>
      <c r="E181" s="40">
        <v>10</v>
      </c>
      <c r="F181" s="1">
        <v>4</v>
      </c>
      <c r="H181" s="1">
        <v>3</v>
      </c>
      <c r="J181" s="1">
        <v>2</v>
      </c>
      <c r="K181" s="1" t="s">
        <v>401</v>
      </c>
      <c r="L181" s="1">
        <v>3</v>
      </c>
      <c r="N181" s="1">
        <v>3</v>
      </c>
      <c r="P181" s="1">
        <v>3</v>
      </c>
      <c r="R181" s="1">
        <v>4</v>
      </c>
      <c r="T181" s="1">
        <v>4</v>
      </c>
      <c r="V181" s="1">
        <v>4</v>
      </c>
      <c r="X181" s="1">
        <v>4</v>
      </c>
      <c r="Z181" s="1">
        <v>3</v>
      </c>
      <c r="AB181" s="1">
        <v>4</v>
      </c>
      <c r="AD181" s="1">
        <v>3</v>
      </c>
      <c r="AF181" s="1">
        <v>3</v>
      </c>
      <c r="AG181" s="1" t="s">
        <v>402</v>
      </c>
      <c r="AH181" s="1">
        <v>3</v>
      </c>
      <c r="AJ181" s="1">
        <v>3</v>
      </c>
      <c r="AL181" s="1">
        <v>3</v>
      </c>
      <c r="AN181" s="1">
        <v>5</v>
      </c>
      <c r="AP181" s="1">
        <v>4</v>
      </c>
      <c r="AR181" s="1">
        <v>3</v>
      </c>
      <c r="AT181" s="1" t="s">
        <v>403</v>
      </c>
    </row>
    <row r="182" spans="1:46">
      <c r="A182" s="40">
        <v>152</v>
      </c>
      <c r="B182" s="40">
        <v>1</v>
      </c>
      <c r="D182" s="40" t="str">
        <f t="shared" ca="1" si="8"/>
        <v>IT Producer</v>
      </c>
      <c r="E182" s="40">
        <v>6</v>
      </c>
      <c r="F182" s="1">
        <v>5</v>
      </c>
      <c r="H182" s="1">
        <v>5</v>
      </c>
      <c r="J182" s="1">
        <v>4</v>
      </c>
      <c r="L182" s="1">
        <v>5</v>
      </c>
      <c r="N182" s="1">
        <v>5</v>
      </c>
      <c r="P182" s="1">
        <v>5</v>
      </c>
      <c r="R182" s="1">
        <v>5</v>
      </c>
      <c r="T182" s="1">
        <v>5</v>
      </c>
      <c r="V182" s="1">
        <v>4</v>
      </c>
      <c r="X182" s="1">
        <v>5</v>
      </c>
      <c r="Z182" s="1">
        <v>5</v>
      </c>
      <c r="AB182" s="1">
        <v>5</v>
      </c>
      <c r="AD182" s="1">
        <v>5</v>
      </c>
      <c r="AF182" s="1">
        <v>5</v>
      </c>
      <c r="AH182" s="1">
        <v>5</v>
      </c>
      <c r="AJ182" s="1">
        <v>5</v>
      </c>
      <c r="AL182" s="1">
        <v>3</v>
      </c>
      <c r="AM182" s="1" t="s">
        <v>404</v>
      </c>
      <c r="AN182" s="1">
        <v>5</v>
      </c>
      <c r="AP182" s="1">
        <v>4</v>
      </c>
      <c r="AR182" s="1">
        <v>5</v>
      </c>
    </row>
    <row r="183" spans="1:46">
      <c r="A183" s="40">
        <v>153</v>
      </c>
      <c r="B183" s="40">
        <v>1</v>
      </c>
      <c r="D183" s="40" t="str">
        <f t="shared" ca="1" si="8"/>
        <v>eBusiness</v>
      </c>
      <c r="E183" s="40">
        <v>2</v>
      </c>
      <c r="F183" s="1">
        <v>4</v>
      </c>
      <c r="G183" s="1" t="s">
        <v>405</v>
      </c>
      <c r="H183" s="1">
        <v>4</v>
      </c>
      <c r="J183" s="1">
        <v>4</v>
      </c>
      <c r="L183" s="1">
        <v>5</v>
      </c>
      <c r="N183" s="1">
        <v>5</v>
      </c>
      <c r="P183" s="1">
        <v>4</v>
      </c>
      <c r="R183" s="1">
        <v>3</v>
      </c>
      <c r="S183" s="1" t="s">
        <v>406</v>
      </c>
      <c r="T183" s="1">
        <v>5</v>
      </c>
      <c r="V183" s="1">
        <v>5</v>
      </c>
      <c r="X183" s="1">
        <v>5</v>
      </c>
      <c r="Z183" s="1">
        <v>5</v>
      </c>
      <c r="AB183" s="1">
        <v>5</v>
      </c>
      <c r="AD183" s="1">
        <v>5</v>
      </c>
      <c r="AF183" s="1">
        <v>5</v>
      </c>
      <c r="AH183" s="1">
        <v>4</v>
      </c>
      <c r="AJ183" s="1">
        <v>4</v>
      </c>
      <c r="AL183" s="1">
        <v>3</v>
      </c>
      <c r="AN183" s="1">
        <v>5</v>
      </c>
      <c r="AP183" s="1">
        <v>4</v>
      </c>
      <c r="AR183" s="1">
        <v>4</v>
      </c>
    </row>
    <row r="184" spans="1:46" ht="25.5">
      <c r="A184" s="40">
        <v>154</v>
      </c>
      <c r="B184" s="40">
        <v>1</v>
      </c>
      <c r="D184" s="40" t="str">
        <f t="shared" ca="1" si="8"/>
        <v>IT Service</v>
      </c>
      <c r="E184" s="40">
        <v>9</v>
      </c>
      <c r="F184" s="1">
        <v>1</v>
      </c>
      <c r="G184" s="1" t="s">
        <v>407</v>
      </c>
      <c r="H184" s="1">
        <v>1</v>
      </c>
      <c r="I184" s="1" t="s">
        <v>408</v>
      </c>
      <c r="J184" s="1">
        <v>4</v>
      </c>
      <c r="L184" s="1">
        <v>4</v>
      </c>
      <c r="N184" s="1">
        <v>4</v>
      </c>
      <c r="P184" s="1">
        <v>4</v>
      </c>
      <c r="R184" s="1">
        <v>4</v>
      </c>
      <c r="T184" s="1">
        <v>4</v>
      </c>
      <c r="V184" s="1">
        <v>1</v>
      </c>
      <c r="W184" s="1" t="s">
        <v>409</v>
      </c>
      <c r="X184" s="1">
        <v>1</v>
      </c>
      <c r="Y184" s="1" t="s">
        <v>410</v>
      </c>
      <c r="Z184" s="1">
        <v>1</v>
      </c>
      <c r="AA184" s="1" t="s">
        <v>411</v>
      </c>
      <c r="AB184" s="1">
        <v>3</v>
      </c>
      <c r="AD184" s="1">
        <v>4</v>
      </c>
      <c r="AF184" s="1">
        <v>4</v>
      </c>
      <c r="AH184" s="1">
        <v>3</v>
      </c>
      <c r="AJ184" s="1">
        <v>3</v>
      </c>
      <c r="AL184" s="1">
        <v>3</v>
      </c>
      <c r="AN184" s="1">
        <v>2</v>
      </c>
      <c r="AO184" s="1" t="s">
        <v>412</v>
      </c>
      <c r="AP184" s="1">
        <v>2</v>
      </c>
      <c r="AQ184" s="1" t="s">
        <v>413</v>
      </c>
      <c r="AR184" s="1">
        <v>4</v>
      </c>
    </row>
    <row r="185" spans="1:46" ht="63.75">
      <c r="A185" s="40">
        <v>155</v>
      </c>
      <c r="B185" s="40">
        <v>1</v>
      </c>
      <c r="D185" s="40" t="str">
        <f t="shared" ca="1" si="8"/>
        <v>IT Sales</v>
      </c>
      <c r="E185" s="40">
        <v>8</v>
      </c>
      <c r="F185" s="1">
        <v>4</v>
      </c>
      <c r="H185" s="1">
        <v>4</v>
      </c>
      <c r="J185" s="1">
        <v>2</v>
      </c>
      <c r="K185" s="1" t="s">
        <v>414</v>
      </c>
      <c r="L185" s="1">
        <v>3</v>
      </c>
      <c r="N185" s="1">
        <v>4</v>
      </c>
      <c r="O185" s="1" t="s">
        <v>415</v>
      </c>
      <c r="P185" s="1">
        <v>3</v>
      </c>
      <c r="R185" s="1">
        <v>4</v>
      </c>
      <c r="T185" s="1">
        <v>4</v>
      </c>
      <c r="V185" s="1">
        <v>4</v>
      </c>
      <c r="X185" s="1">
        <v>4</v>
      </c>
      <c r="Z185" s="1">
        <v>4</v>
      </c>
      <c r="AB185" s="1">
        <v>4</v>
      </c>
      <c r="AD185" s="1">
        <v>4</v>
      </c>
      <c r="AF185" s="1">
        <v>3</v>
      </c>
      <c r="AH185" s="1">
        <v>2</v>
      </c>
      <c r="AI185" s="1" t="s">
        <v>416</v>
      </c>
      <c r="AJ185" s="1">
        <v>3</v>
      </c>
      <c r="AK185" s="1" t="s">
        <v>417</v>
      </c>
      <c r="AL185" s="1">
        <v>4</v>
      </c>
      <c r="AN185" s="1">
        <v>4</v>
      </c>
      <c r="AP185" s="1">
        <v>3</v>
      </c>
      <c r="AQ185" s="1" t="s">
        <v>418</v>
      </c>
      <c r="AR185" s="1">
        <v>4</v>
      </c>
    </row>
    <row r="186" spans="1:46">
      <c r="A186" s="40">
        <v>156</v>
      </c>
      <c r="B186" s="40">
        <v>1</v>
      </c>
      <c r="D186" s="40" t="str">
        <f t="shared" ca="1" si="8"/>
        <v>Workflow</v>
      </c>
      <c r="E186" s="40">
        <v>11</v>
      </c>
      <c r="F186" s="1">
        <v>3</v>
      </c>
      <c r="H186" s="1">
        <v>5</v>
      </c>
      <c r="J186" s="1">
        <v>5</v>
      </c>
      <c r="L186" s="1">
        <v>5</v>
      </c>
      <c r="N186" s="1">
        <v>4</v>
      </c>
      <c r="P186" s="1">
        <v>5</v>
      </c>
      <c r="R186" s="1">
        <v>5</v>
      </c>
      <c r="T186" s="1">
        <v>5</v>
      </c>
      <c r="V186" s="1">
        <v>5</v>
      </c>
      <c r="X186" s="1">
        <v>5</v>
      </c>
      <c r="Z186" s="1">
        <v>5</v>
      </c>
      <c r="AB186" s="1">
        <v>5</v>
      </c>
      <c r="AD186" s="1">
        <v>5</v>
      </c>
      <c r="AF186" s="1">
        <v>5</v>
      </c>
      <c r="AH186" s="1">
        <v>5</v>
      </c>
      <c r="AJ186" s="1">
        <v>4</v>
      </c>
      <c r="AL186" s="1">
        <v>3</v>
      </c>
      <c r="AN186" s="1">
        <v>5</v>
      </c>
      <c r="AP186" s="1">
        <v>4</v>
      </c>
      <c r="AR186" s="1">
        <v>4</v>
      </c>
    </row>
  </sheetData>
  <mergeCells count="20">
    <mergeCell ref="AP28:AQ28"/>
    <mergeCell ref="AR28:AS28"/>
    <mergeCell ref="AD28:AE28"/>
    <mergeCell ref="AF28:AG28"/>
    <mergeCell ref="AH28:AI28"/>
    <mergeCell ref="AJ28:AK28"/>
    <mergeCell ref="AL28:AM28"/>
    <mergeCell ref="AN28:AO28"/>
    <mergeCell ref="AB28:AC28"/>
    <mergeCell ref="F28:G28"/>
    <mergeCell ref="H28:I28"/>
    <mergeCell ref="J28:K28"/>
    <mergeCell ref="L28:M28"/>
    <mergeCell ref="N28:O28"/>
    <mergeCell ref="P28:Q28"/>
    <mergeCell ref="R28:S28"/>
    <mergeCell ref="T28:U28"/>
    <mergeCell ref="V28:W28"/>
    <mergeCell ref="X28:Y28"/>
    <mergeCell ref="Z28:AA28"/>
  </mergeCells>
  <hyperlinks>
    <hyperlink ref="A1" location="'Table of Contents'!A1" display="Table of Contents"/>
    <hyperlink ref="A2" location="'Scorecard V2'!A1" display="Scorecard V2"/>
  </hyperlinks>
  <printOptions headings="1" gridLines="1"/>
  <pageMargins left="0.25" right="0.25" top="0.75" bottom="0.75" header="0.3" footer="0.3"/>
  <pageSetup orientation="landscape" r:id="rId1"/>
  <headerFooter>
    <oddFooter>&amp;L&amp;5&amp;Z&amp;F
Created: 9/29/2006 10:44:00 PM
Last Saved: 2/5/2008 9:15:17 PM
Last Printed: 2/5/2008 6:12:16 PM&amp;R&amp;5&amp;P - &amp;N
Title :&lt;Not Set&gt;
Subject: &lt;Not Set&gt;</oddFooter>
  </headerFooter>
  <drawing r:id="rId2"/>
  <tableParts count="1">
    <tablePart r:id="rId3"/>
  </tableParts>
</worksheet>
</file>

<file path=xl/worksheets/sheet18.xml><?xml version="1.0" encoding="utf-8"?>
<worksheet xmlns="http://schemas.openxmlformats.org/spreadsheetml/2006/main" xmlns:r="http://schemas.openxmlformats.org/officeDocument/2006/relationships">
  <sheetPr codeName="Sheet5"/>
  <dimension ref="A1:X41"/>
  <sheetViews>
    <sheetView workbookViewId="0"/>
  </sheetViews>
  <sheetFormatPr defaultRowHeight="12.75"/>
  <cols>
    <col min="1" max="1" width="5.7109375" customWidth="1"/>
    <col min="2" max="2" width="30.7109375" customWidth="1"/>
    <col min="3" max="3" width="50.7109375" customWidth="1"/>
    <col min="4" max="6" width="12.7109375" customWidth="1"/>
    <col min="7" max="7" width="10.7109375" style="34" customWidth="1"/>
  </cols>
  <sheetData>
    <row r="1" spans="1:3">
      <c r="A1" s="5" t="s">
        <v>30</v>
      </c>
    </row>
    <row r="2" spans="1:3">
      <c r="A2" s="5" t="s">
        <v>60</v>
      </c>
    </row>
    <row r="4" spans="1:3">
      <c r="B4" s="42" t="s">
        <v>420</v>
      </c>
      <c r="C4" s="42" t="s">
        <v>441</v>
      </c>
    </row>
    <row r="5" spans="1:3">
      <c r="B5" s="42" t="s">
        <v>23</v>
      </c>
      <c r="C5" t="str">
        <f>Survey_Period</f>
        <v>H2 2006</v>
      </c>
    </row>
    <row r="6" spans="1:3">
      <c r="B6" s="42" t="s">
        <v>106</v>
      </c>
      <c r="C6" s="42" t="s">
        <v>74</v>
      </c>
    </row>
    <row r="7" spans="1:3">
      <c r="B7" s="42" t="s">
        <v>107</v>
      </c>
      <c r="C7" s="42" t="s">
        <v>73</v>
      </c>
    </row>
    <row r="11" spans="1:3">
      <c r="B11" s="42" t="s">
        <v>21</v>
      </c>
      <c r="C11" s="42" t="s">
        <v>45</v>
      </c>
    </row>
    <row r="12" spans="1:3">
      <c r="B12" s="42" t="s">
        <v>52</v>
      </c>
      <c r="C12" s="42" t="s">
        <v>8</v>
      </c>
    </row>
    <row r="13" spans="1:3">
      <c r="B13" s="42" t="s">
        <v>109</v>
      </c>
      <c r="C13">
        <v>34</v>
      </c>
    </row>
    <row r="14" spans="1:3">
      <c r="B14" s="42" t="s">
        <v>111</v>
      </c>
      <c r="C14">
        <v>41</v>
      </c>
    </row>
    <row r="15" spans="1:3">
      <c r="B15" s="42" t="s">
        <v>110</v>
      </c>
      <c r="C15">
        <v>7</v>
      </c>
    </row>
    <row r="16" spans="1:3">
      <c r="B16" s="42" t="s">
        <v>112</v>
      </c>
      <c r="C16">
        <v>7</v>
      </c>
    </row>
    <row r="24" spans="1:24">
      <c r="B24" s="317" t="s">
        <v>1125</v>
      </c>
      <c r="C24" s="474">
        <f ca="1">SUM(INDIRECT(ADDRESS($C$13, 13, TRUE)):INDIRECT(ADDRESS($C$14, 13, TRUE)))</f>
        <v>1</v>
      </c>
    </row>
    <row r="25" spans="1:24">
      <c r="B25" s="317" t="s">
        <v>1124</v>
      </c>
      <c r="C25" s="474">
        <f ca="1">SUM(INDIRECT(ADDRESS($C$13, 10, TRUE)):INDIRECT(ADDRESS($C$14, 10, TRUE)))</f>
        <v>1</v>
      </c>
    </row>
    <row r="26" spans="1:24">
      <c r="B26" s="341" t="s">
        <v>108</v>
      </c>
      <c r="C26" s="478">
        <f ca="1">AVERAGE(INDIRECT(ADDRESS($C$13, $C$15, TRUE)):INDIRECT(ADDRESS($C$14, $C$16, TRUE)))</f>
        <v>1</v>
      </c>
    </row>
    <row r="27" spans="1:24">
      <c r="B27" s="341" t="s">
        <v>691</v>
      </c>
      <c r="C27" s="341">
        <f>C14-C13+1</f>
        <v>8</v>
      </c>
    </row>
    <row r="28" spans="1:24">
      <c r="B28" s="317" t="s">
        <v>1122</v>
      </c>
      <c r="C28" s="341">
        <f ca="1">SUM(INDIRECT(ADDRESS($C$13, 8, TRUE)):INDIRECT(ADDRESS($C$14, 8, TRUE)))</f>
        <v>868</v>
      </c>
    </row>
    <row r="29" spans="1:24" ht="13.5" thickBot="1">
      <c r="B29" s="317" t="s">
        <v>1123</v>
      </c>
      <c r="C29" s="341">
        <f ca="1">SUM(INDIRECT(ADDRESS($C$13, 11, TRUE)):INDIRECT(ADDRESS($C$14, 11, TRUE)))</f>
        <v>868</v>
      </c>
    </row>
    <row r="30" spans="1:24" ht="23.25">
      <c r="A30" s="646" t="s">
        <v>84</v>
      </c>
      <c r="B30" s="647"/>
      <c r="C30" s="647"/>
      <c r="D30" s="647"/>
      <c r="E30" s="647"/>
      <c r="F30" s="647"/>
      <c r="G30" s="647"/>
      <c r="H30" s="647"/>
      <c r="I30" s="647"/>
      <c r="J30" s="647"/>
      <c r="K30" s="647"/>
      <c r="L30" s="647"/>
      <c r="M30" s="647"/>
      <c r="N30" s="647"/>
      <c r="O30" s="648" t="s">
        <v>85</v>
      </c>
      <c r="P30" s="649"/>
      <c r="Q30" s="15"/>
      <c r="R30" s="15"/>
      <c r="S30" s="15"/>
      <c r="T30" s="15"/>
      <c r="U30" s="15"/>
      <c r="V30" s="15"/>
      <c r="W30" s="15"/>
      <c r="X30" s="15"/>
    </row>
    <row r="31" spans="1:24" ht="15">
      <c r="A31" s="652" t="s">
        <v>86</v>
      </c>
      <c r="B31" s="653"/>
      <c r="C31" s="653"/>
      <c r="D31" s="653"/>
      <c r="E31" s="653"/>
      <c r="F31" s="653"/>
      <c r="G31" s="653"/>
      <c r="H31" s="653"/>
      <c r="I31" s="653"/>
      <c r="J31" s="653"/>
      <c r="K31" s="653"/>
      <c r="L31" s="653"/>
      <c r="M31" s="653"/>
      <c r="N31" s="653"/>
      <c r="O31" s="650"/>
      <c r="P31" s="651"/>
      <c r="Q31" s="16"/>
      <c r="R31" s="16"/>
      <c r="S31" s="16"/>
      <c r="T31" s="16"/>
      <c r="U31" s="16"/>
      <c r="V31" s="16"/>
      <c r="W31" s="16"/>
      <c r="X31" s="16"/>
    </row>
    <row r="32" spans="1:24" ht="15">
      <c r="A32" s="654" t="s">
        <v>87</v>
      </c>
      <c r="B32" s="655"/>
      <c r="C32" s="655"/>
      <c r="D32" s="655"/>
      <c r="E32" s="655"/>
      <c r="F32" s="655"/>
      <c r="G32" s="655"/>
      <c r="H32" s="655"/>
      <c r="I32" s="655"/>
      <c r="J32" s="655"/>
      <c r="K32" s="655"/>
      <c r="L32" s="655"/>
      <c r="M32" s="655"/>
      <c r="N32" s="655"/>
      <c r="O32" s="656" t="s">
        <v>88</v>
      </c>
      <c r="P32" s="657"/>
      <c r="Q32" s="16"/>
      <c r="R32" s="16"/>
      <c r="S32" s="16"/>
      <c r="T32" s="16"/>
      <c r="U32" s="16"/>
      <c r="V32" s="16"/>
      <c r="W32" s="16"/>
      <c r="X32" s="16"/>
    </row>
    <row r="33" spans="1:13" ht="38.25">
      <c r="A33" s="17" t="s">
        <v>89</v>
      </c>
      <c r="B33" s="18" t="s">
        <v>90</v>
      </c>
      <c r="C33" s="17" t="s">
        <v>91</v>
      </c>
      <c r="D33" s="20" t="s">
        <v>92</v>
      </c>
      <c r="E33" s="19" t="s">
        <v>93</v>
      </c>
      <c r="F33" s="19" t="s">
        <v>94</v>
      </c>
    </row>
    <row r="34" spans="1:13">
      <c r="A34" s="24">
        <v>2</v>
      </c>
      <c r="B34" s="22" t="s">
        <v>95</v>
      </c>
      <c r="C34" s="25" t="s">
        <v>96</v>
      </c>
      <c r="D34" s="26">
        <v>38822</v>
      </c>
      <c r="E34" s="23">
        <v>38930</v>
      </c>
      <c r="F34" s="27">
        <v>38930</v>
      </c>
      <c r="G34" s="34">
        <f t="shared" ref="G34:G41" si="0">IF(AND(NOT(ISBLANK(D34)),ISNUMBER(D34),     NOT(ISBLANK(E34)),ISNUMBER(E34),     NOT(ISBLANK(F34)),ISNUMBER(F34)),NETWORKDAYS(D34,F34)/NETWORKDAYS(D34,E34),"Not Used")</f>
        <v>1</v>
      </c>
      <c r="H34" s="341">
        <f>F34-D34</f>
        <v>108</v>
      </c>
      <c r="I34" s="341">
        <f ca="1">H34/$C$28</f>
        <v>0.12442396313364056</v>
      </c>
      <c r="J34" s="341">
        <f ca="1">G34*I34</f>
        <v>0.12442396313364056</v>
      </c>
      <c r="K34" s="341">
        <f>E34-D34</f>
        <v>108</v>
      </c>
      <c r="L34" s="341">
        <f ca="1">K34/$C$29</f>
        <v>0.12442396313364056</v>
      </c>
      <c r="M34" s="341">
        <f ca="1">G34*L34</f>
        <v>0.12442396313364056</v>
      </c>
    </row>
    <row r="35" spans="1:13" ht="51">
      <c r="A35" s="21">
        <v>3</v>
      </c>
      <c r="B35" s="22" t="s">
        <v>97</v>
      </c>
      <c r="C35" s="28" t="s">
        <v>98</v>
      </c>
      <c r="D35" s="44">
        <v>38822</v>
      </c>
      <c r="E35" s="23">
        <v>38930</v>
      </c>
      <c r="F35" s="27">
        <v>38930</v>
      </c>
      <c r="G35" s="34">
        <f t="shared" si="0"/>
        <v>1</v>
      </c>
      <c r="H35" s="341">
        <f t="shared" ref="H35:H40" si="1">F35-D35</f>
        <v>108</v>
      </c>
      <c r="I35" s="341">
        <f t="shared" ref="I35:I41" ca="1" si="2">H35/$C$28</f>
        <v>0.12442396313364056</v>
      </c>
      <c r="J35" s="341">
        <f t="shared" ref="J35:J40" ca="1" si="3">G35*I35</f>
        <v>0.12442396313364056</v>
      </c>
      <c r="K35" s="341">
        <f t="shared" ref="K35:K40" si="4">E35-D35</f>
        <v>108</v>
      </c>
      <c r="L35" s="341">
        <f t="shared" ref="L35:L41" ca="1" si="5">K35/$C$29</f>
        <v>0.12442396313364056</v>
      </c>
      <c r="M35" s="341">
        <f t="shared" ref="M35:M40" ca="1" si="6">G35*L35</f>
        <v>0.12442396313364056</v>
      </c>
    </row>
    <row r="36" spans="1:13" ht="25.5">
      <c r="A36" s="29">
        <v>4</v>
      </c>
      <c r="B36" s="22" t="s">
        <v>99</v>
      </c>
      <c r="C36" s="30" t="s">
        <v>100</v>
      </c>
      <c r="D36" s="26">
        <v>38822</v>
      </c>
      <c r="E36" s="23">
        <v>38930</v>
      </c>
      <c r="F36" s="27">
        <v>38930</v>
      </c>
      <c r="G36" s="34">
        <f t="shared" si="0"/>
        <v>1</v>
      </c>
      <c r="H36" s="341">
        <f t="shared" si="1"/>
        <v>108</v>
      </c>
      <c r="I36" s="341">
        <f t="shared" ca="1" si="2"/>
        <v>0.12442396313364056</v>
      </c>
      <c r="J36" s="341">
        <f t="shared" ca="1" si="3"/>
        <v>0.12442396313364056</v>
      </c>
      <c r="K36" s="341">
        <f t="shared" si="4"/>
        <v>108</v>
      </c>
      <c r="L36" s="341">
        <f t="shared" ca="1" si="5"/>
        <v>0.12442396313364056</v>
      </c>
      <c r="M36" s="341">
        <f t="shared" ca="1" si="6"/>
        <v>0.12442396313364056</v>
      </c>
    </row>
    <row r="37" spans="1:13" ht="25.5">
      <c r="A37" s="29">
        <v>5</v>
      </c>
      <c r="B37" s="22" t="s">
        <v>101</v>
      </c>
      <c r="C37" s="30" t="s">
        <v>100</v>
      </c>
      <c r="D37" s="26">
        <v>38822</v>
      </c>
      <c r="E37" s="23">
        <v>38930</v>
      </c>
      <c r="F37" s="27">
        <v>38930</v>
      </c>
      <c r="G37" s="34">
        <f t="shared" si="0"/>
        <v>1</v>
      </c>
      <c r="H37" s="341">
        <f t="shared" si="1"/>
        <v>108</v>
      </c>
      <c r="I37" s="341">
        <f t="shared" ca="1" si="2"/>
        <v>0.12442396313364056</v>
      </c>
      <c r="J37" s="341">
        <f t="shared" ca="1" si="3"/>
        <v>0.12442396313364056</v>
      </c>
      <c r="K37" s="341">
        <f t="shared" si="4"/>
        <v>108</v>
      </c>
      <c r="L37" s="341">
        <f t="shared" ca="1" si="5"/>
        <v>0.12442396313364056</v>
      </c>
      <c r="M37" s="341">
        <f t="shared" ca="1" si="6"/>
        <v>0.12442396313364056</v>
      </c>
    </row>
    <row r="38" spans="1:13" ht="25.5">
      <c r="A38" s="31">
        <v>2</v>
      </c>
      <c r="B38" s="32" t="s">
        <v>102</v>
      </c>
      <c r="C38" s="30" t="s">
        <v>100</v>
      </c>
      <c r="D38" s="26">
        <v>38913</v>
      </c>
      <c r="E38" s="23">
        <v>39022</v>
      </c>
      <c r="F38" s="27">
        <v>39022</v>
      </c>
      <c r="G38" s="34">
        <f t="shared" si="0"/>
        <v>1</v>
      </c>
      <c r="H38" s="341">
        <f t="shared" si="1"/>
        <v>109</v>
      </c>
      <c r="I38" s="341">
        <f t="shared" ca="1" si="2"/>
        <v>0.12557603686635946</v>
      </c>
      <c r="J38" s="341">
        <f t="shared" ca="1" si="3"/>
        <v>0.12557603686635946</v>
      </c>
      <c r="K38" s="341">
        <f t="shared" si="4"/>
        <v>109</v>
      </c>
      <c r="L38" s="341">
        <f t="shared" ca="1" si="5"/>
        <v>0.12557603686635946</v>
      </c>
      <c r="M38" s="341">
        <f t="shared" ca="1" si="6"/>
        <v>0.12557603686635946</v>
      </c>
    </row>
    <row r="39" spans="1:13" ht="25.5">
      <c r="A39" s="31">
        <v>3</v>
      </c>
      <c r="B39" s="32" t="s">
        <v>105</v>
      </c>
      <c r="C39" s="30" t="s">
        <v>100</v>
      </c>
      <c r="D39" s="26">
        <v>38913</v>
      </c>
      <c r="E39" s="23">
        <v>39022</v>
      </c>
      <c r="F39" s="27">
        <v>39022</v>
      </c>
      <c r="G39" s="34">
        <f t="shared" si="0"/>
        <v>1</v>
      </c>
      <c r="H39" s="341">
        <f t="shared" si="1"/>
        <v>109</v>
      </c>
      <c r="I39" s="341">
        <f t="shared" ca="1" si="2"/>
        <v>0.12557603686635946</v>
      </c>
      <c r="J39" s="341">
        <f t="shared" ca="1" si="3"/>
        <v>0.12557603686635946</v>
      </c>
      <c r="K39" s="341">
        <f t="shared" si="4"/>
        <v>109</v>
      </c>
      <c r="L39" s="341">
        <f t="shared" ca="1" si="5"/>
        <v>0.12557603686635946</v>
      </c>
      <c r="M39" s="341">
        <f t="shared" ca="1" si="6"/>
        <v>0.12557603686635946</v>
      </c>
    </row>
    <row r="40" spans="1:13" ht="25.5">
      <c r="A40" s="31">
        <v>4</v>
      </c>
      <c r="B40" s="33" t="s">
        <v>103</v>
      </c>
      <c r="C40" s="30" t="s">
        <v>100</v>
      </c>
      <c r="D40" s="26">
        <v>38913</v>
      </c>
      <c r="E40" s="23">
        <v>39022</v>
      </c>
      <c r="F40" s="27">
        <v>39022</v>
      </c>
      <c r="G40" s="34">
        <f t="shared" si="0"/>
        <v>1</v>
      </c>
      <c r="H40" s="341">
        <f t="shared" si="1"/>
        <v>109</v>
      </c>
      <c r="I40" s="341">
        <f t="shared" ca="1" si="2"/>
        <v>0.12557603686635946</v>
      </c>
      <c r="J40" s="341">
        <f t="shared" ca="1" si="3"/>
        <v>0.12557603686635946</v>
      </c>
      <c r="K40" s="341">
        <f t="shared" si="4"/>
        <v>109</v>
      </c>
      <c r="L40" s="341">
        <f t="shared" ca="1" si="5"/>
        <v>0.12557603686635946</v>
      </c>
      <c r="M40" s="341">
        <f t="shared" ca="1" si="6"/>
        <v>0.12557603686635946</v>
      </c>
    </row>
    <row r="41" spans="1:13" ht="25.5">
      <c r="A41" s="31">
        <v>5</v>
      </c>
      <c r="B41" s="33" t="s">
        <v>104</v>
      </c>
      <c r="C41" s="30" t="s">
        <v>100</v>
      </c>
      <c r="D41" s="26">
        <v>38913</v>
      </c>
      <c r="E41" s="23">
        <v>39022</v>
      </c>
      <c r="F41" s="27">
        <v>39022</v>
      </c>
      <c r="G41" s="34">
        <f t="shared" si="0"/>
        <v>1</v>
      </c>
      <c r="H41" s="341">
        <f t="shared" ref="H41" si="7">F41-D41</f>
        <v>109</v>
      </c>
      <c r="I41" s="341">
        <f t="shared" ca="1" si="2"/>
        <v>0.12557603686635946</v>
      </c>
      <c r="J41" s="341">
        <f t="shared" ref="J41" ca="1" si="8">G41*I41</f>
        <v>0.12557603686635946</v>
      </c>
      <c r="K41" s="341">
        <f t="shared" ref="K41" si="9">E41-D41</f>
        <v>109</v>
      </c>
      <c r="L41" s="341">
        <f t="shared" ca="1" si="5"/>
        <v>0.12557603686635946</v>
      </c>
      <c r="M41" s="341">
        <f t="shared" ref="M41" ca="1" si="10">G41*L41</f>
        <v>0.12557603686635946</v>
      </c>
    </row>
  </sheetData>
  <mergeCells count="5">
    <mergeCell ref="A30:N30"/>
    <mergeCell ref="O30:P31"/>
    <mergeCell ref="A31:N31"/>
    <mergeCell ref="A32:N32"/>
    <mergeCell ref="O32:P32"/>
  </mergeCells>
  <dataValidations count="1">
    <dataValidation allowBlank="1" showInputMessage="1" showErrorMessage="1" errorTitle="Input Invalid" error="Selection must be from drop down list." sqref="D40:F41 D33:F37"/>
  </dataValidations>
  <hyperlinks>
    <hyperlink ref="O32:P32" r:id="rId1" display="PMO Status Report Directory"/>
    <hyperlink ref="A2" location="'On-Time Delivery Data'!A1" display="On-Time Delivery Data"/>
    <hyperlink ref="A1" location="'Table of Contents'!A1" display="Table of Contents"/>
  </hyperlinks>
  <pageMargins left="0.7" right="0.7" top="0.75" bottom="0.75" header="0.3" footer="0.3"/>
  <pageSetup orientation="portrait" r:id="rId2"/>
  <headerFooter>
    <oddFooter>&amp;L&amp;5&amp;Z&amp;F
Created: 9/29/2006 10:44:00 PM
Last Saved: 2/5/2008 9:15:17 PM
Last Printed: 2/5/2008 6:12:16 PM&amp;R&amp;5&amp;P - &amp;N
Title :&lt;Not Set&gt;
Subject: &lt;Not Set&gt;</oddFooter>
  </headerFooter>
</worksheet>
</file>

<file path=xl/worksheets/sheet19.xml><?xml version="1.0" encoding="utf-8"?>
<worksheet xmlns="http://schemas.openxmlformats.org/spreadsheetml/2006/main" xmlns:r="http://schemas.openxmlformats.org/officeDocument/2006/relationships">
  <sheetPr codeName="Sheet7"/>
  <dimension ref="A1:O46"/>
  <sheetViews>
    <sheetView workbookViewId="0"/>
  </sheetViews>
  <sheetFormatPr defaultRowHeight="12.75"/>
  <cols>
    <col min="1" max="1" width="5.7109375" customWidth="1"/>
    <col min="2" max="2" width="30.7109375" customWidth="1"/>
    <col min="3" max="3" width="50.7109375" customWidth="1"/>
    <col min="4" max="6" width="12.7109375" customWidth="1"/>
    <col min="7" max="7" width="10.7109375" style="34" customWidth="1"/>
  </cols>
  <sheetData>
    <row r="1" spans="1:3">
      <c r="A1" s="5" t="s">
        <v>30</v>
      </c>
    </row>
    <row r="2" spans="1:3">
      <c r="A2" s="5" t="s">
        <v>60</v>
      </c>
    </row>
    <row r="4" spans="1:3">
      <c r="B4" s="42" t="s">
        <v>420</v>
      </c>
      <c r="C4" s="42" t="s">
        <v>441</v>
      </c>
    </row>
    <row r="5" spans="1:3">
      <c r="B5" s="42" t="s">
        <v>23</v>
      </c>
      <c r="C5" t="str">
        <f>Survey_Period</f>
        <v>H2 2006</v>
      </c>
    </row>
    <row r="6" spans="1:3">
      <c r="B6" s="42" t="s">
        <v>106</v>
      </c>
      <c r="C6" s="42" t="s">
        <v>75</v>
      </c>
    </row>
    <row r="7" spans="1:3">
      <c r="B7" s="42" t="s">
        <v>107</v>
      </c>
      <c r="C7" s="42" t="s">
        <v>77</v>
      </c>
    </row>
    <row r="11" spans="1:3">
      <c r="B11" s="42" t="s">
        <v>21</v>
      </c>
      <c r="C11" s="42" t="s">
        <v>41</v>
      </c>
    </row>
    <row r="12" spans="1:3">
      <c r="B12" s="42" t="s">
        <v>52</v>
      </c>
      <c r="C12" s="42" t="s">
        <v>24</v>
      </c>
    </row>
    <row r="13" spans="1:3">
      <c r="B13" s="42" t="s">
        <v>109</v>
      </c>
      <c r="C13">
        <v>34</v>
      </c>
    </row>
    <row r="14" spans="1:3">
      <c r="B14" s="42" t="s">
        <v>111</v>
      </c>
      <c r="C14">
        <v>46</v>
      </c>
    </row>
    <row r="15" spans="1:3">
      <c r="B15" s="42" t="s">
        <v>110</v>
      </c>
      <c r="C15">
        <v>7</v>
      </c>
    </row>
    <row r="16" spans="1:3">
      <c r="B16" s="42" t="s">
        <v>112</v>
      </c>
      <c r="C16">
        <v>7</v>
      </c>
    </row>
    <row r="24" spans="1:15">
      <c r="B24" s="317" t="s">
        <v>1125</v>
      </c>
      <c r="C24" s="474">
        <f ca="1">SUM(INDIRECT(ADDRESS($C$13, 13, TRUE)):INDIRECT(ADDRESS($C$14, 13, TRUE)))</f>
        <v>0.9619976721428839</v>
      </c>
    </row>
    <row r="25" spans="1:15">
      <c r="B25" s="317" t="s">
        <v>1124</v>
      </c>
      <c r="C25" s="474">
        <f ca="1">SUM(INDIRECT(ADDRESS($C$13, 10, TRUE)):INDIRECT(ADDRESS($C$14, 10, TRUE)))</f>
        <v>0.9691820797584092</v>
      </c>
    </row>
    <row r="26" spans="1:15">
      <c r="B26" s="341" t="s">
        <v>108</v>
      </c>
      <c r="C26" s="478">
        <f ca="1">AVERAGE(INDIRECT(ADDRESS($C$13, $C$15, TRUE)):INDIRECT(ADDRESS($C$14, $C$16, TRUE)))</f>
        <v>0.98183959361037687</v>
      </c>
    </row>
    <row r="27" spans="1:15">
      <c r="B27" s="341" t="s">
        <v>691</v>
      </c>
      <c r="C27" s="341">
        <f>C14-C13+1</f>
        <v>13</v>
      </c>
    </row>
    <row r="28" spans="1:15">
      <c r="B28" s="317" t="s">
        <v>1122</v>
      </c>
      <c r="C28" s="341">
        <f ca="1">SUM(INDIRECT(ADDRESS($C$13, 8, TRUE)):INDIRECT(ADDRESS($C$14, 8, TRUE)))</f>
        <v>3114</v>
      </c>
    </row>
    <row r="29" spans="1:15">
      <c r="B29" s="317" t="s">
        <v>1123</v>
      </c>
      <c r="C29" s="341">
        <f ca="1">SUM(INDIRECT(ADDRESS($C$13, 11, TRUE)):INDIRECT(ADDRESS($C$14, 11, TRUE)))</f>
        <v>3236</v>
      </c>
    </row>
    <row r="30" spans="1:15">
      <c r="A30" s="45"/>
      <c r="B30" s="46" t="s">
        <v>24</v>
      </c>
      <c r="C30" s="47"/>
      <c r="D30" s="47"/>
      <c r="E30" s="47"/>
      <c r="F30" s="47"/>
      <c r="G30" s="75"/>
      <c r="H30" s="47"/>
      <c r="I30" s="47"/>
      <c r="J30" s="48"/>
      <c r="K30" s="49"/>
      <c r="L30" s="47"/>
      <c r="M30" s="47"/>
      <c r="N30" s="50"/>
      <c r="O30" s="51"/>
    </row>
    <row r="31" spans="1:15">
      <c r="A31" s="52"/>
      <c r="B31" s="53" t="s">
        <v>41</v>
      </c>
      <c r="C31" s="54"/>
      <c r="D31" s="54"/>
      <c r="E31" s="54"/>
      <c r="F31" s="54"/>
      <c r="G31" s="76"/>
      <c r="H31" s="54"/>
      <c r="I31" s="54"/>
      <c r="J31" s="55"/>
      <c r="K31" s="56"/>
      <c r="L31" s="54"/>
      <c r="M31" s="54"/>
      <c r="N31" s="57"/>
      <c r="O31" s="58"/>
    </row>
    <row r="32" spans="1:15">
      <c r="A32" s="59"/>
      <c r="B32" s="53" t="s">
        <v>442</v>
      </c>
      <c r="C32" s="60"/>
      <c r="D32" s="60"/>
      <c r="E32" s="60"/>
      <c r="F32" s="60"/>
      <c r="G32" s="77"/>
      <c r="H32" s="60"/>
      <c r="I32" s="60"/>
      <c r="J32" s="61"/>
      <c r="K32" s="62"/>
      <c r="L32" s="60"/>
      <c r="M32" s="60"/>
      <c r="N32" s="63"/>
      <c r="O32" s="58"/>
    </row>
    <row r="33" spans="1:13" ht="38.25">
      <c r="A33" s="64" t="s">
        <v>89</v>
      </c>
      <c r="B33" s="64" t="s">
        <v>90</v>
      </c>
      <c r="C33" s="64" t="s">
        <v>91</v>
      </c>
      <c r="D33" s="64" t="s">
        <v>92</v>
      </c>
      <c r="E33" s="65" t="s">
        <v>93</v>
      </c>
      <c r="F33" s="66" t="s">
        <v>94</v>
      </c>
    </row>
    <row r="34" spans="1:13" ht="63.75">
      <c r="A34" s="67">
        <v>8</v>
      </c>
      <c r="B34" s="69" t="s">
        <v>443</v>
      </c>
      <c r="C34" s="69" t="s">
        <v>444</v>
      </c>
      <c r="D34" s="70">
        <v>38687</v>
      </c>
      <c r="E34" s="70">
        <v>38898</v>
      </c>
      <c r="F34" s="68">
        <v>38903</v>
      </c>
      <c r="G34" s="34">
        <f t="shared" ref="G34:G46" si="0">IF(AND(NOT(ISBLANK(D34)),ISNUMBER(D34),     NOT(ISBLANK(E34)),ISNUMBER(E34),     NOT(ISBLANK(F34)),ISNUMBER(F34)),NETWORKDAYS(D34,F34)/NETWORKDAYS(D34,E34),"Not Used")</f>
        <v>1.0197368421052631</v>
      </c>
      <c r="H34" s="341">
        <f>F34-D34</f>
        <v>216</v>
      </c>
      <c r="I34" s="341">
        <f ca="1">H34/$C$28</f>
        <v>6.9364161849710976E-2</v>
      </c>
      <c r="J34" s="341">
        <f ca="1">G34*I34</f>
        <v>7.0733191359902636E-2</v>
      </c>
      <c r="K34" s="341">
        <f>E34-D34</f>
        <v>211</v>
      </c>
      <c r="L34" s="341">
        <f ca="1">K34/$C$29</f>
        <v>6.5203955500618041E-2</v>
      </c>
      <c r="M34" s="341">
        <f ca="1">G34*L34</f>
        <v>6.6490875674972333E-2</v>
      </c>
    </row>
    <row r="35" spans="1:13" ht="76.5">
      <c r="A35" s="67">
        <v>9</v>
      </c>
      <c r="B35" s="69" t="s">
        <v>445</v>
      </c>
      <c r="C35" s="72" t="s">
        <v>446</v>
      </c>
      <c r="D35" s="70">
        <v>38777</v>
      </c>
      <c r="E35" s="70">
        <v>38911</v>
      </c>
      <c r="F35" s="68">
        <v>38919</v>
      </c>
      <c r="G35" s="34">
        <f t="shared" si="0"/>
        <v>1.0618556701030928</v>
      </c>
      <c r="H35" s="341">
        <f t="shared" ref="H35:H46" si="1">F35-D35</f>
        <v>142</v>
      </c>
      <c r="I35" s="341">
        <f t="shared" ref="I35:I46" ca="1" si="2">H35/$C$28</f>
        <v>4.5600513808606295E-2</v>
      </c>
      <c r="J35" s="341">
        <f t="shared" ref="J35:J46" ca="1" si="3">G35*I35</f>
        <v>4.8421164147282973E-2</v>
      </c>
      <c r="K35" s="341">
        <f t="shared" ref="K35:K46" si="4">E35-D35</f>
        <v>134</v>
      </c>
      <c r="L35" s="341">
        <f t="shared" ref="L35:L46" ca="1" si="5">K35/$C$29</f>
        <v>4.1409147095179233E-2</v>
      </c>
      <c r="M35" s="341">
        <f t="shared" ref="M35:M46" ca="1" si="6">G35*L35</f>
        <v>4.3970537637149081E-2</v>
      </c>
    </row>
    <row r="36" spans="1:13" ht="63.75">
      <c r="A36" s="67">
        <v>10</v>
      </c>
      <c r="B36" s="69" t="s">
        <v>447</v>
      </c>
      <c r="C36" s="69" t="s">
        <v>448</v>
      </c>
      <c r="D36" s="70">
        <v>38663</v>
      </c>
      <c r="E36" s="70">
        <v>38947</v>
      </c>
      <c r="F36" s="68">
        <v>38944</v>
      </c>
      <c r="G36" s="34">
        <f t="shared" si="0"/>
        <v>0.98536585365853657</v>
      </c>
      <c r="H36" s="341">
        <f t="shared" si="1"/>
        <v>281</v>
      </c>
      <c r="I36" s="341">
        <f t="shared" ca="1" si="2"/>
        <v>9.023763648041104E-2</v>
      </c>
      <c r="J36" s="341">
        <f t="shared" ca="1" si="3"/>
        <v>8.8917085702648932E-2</v>
      </c>
      <c r="K36" s="341">
        <f t="shared" si="4"/>
        <v>284</v>
      </c>
      <c r="L36" s="341">
        <f t="shared" ca="1" si="5"/>
        <v>8.7762669962917178E-2</v>
      </c>
      <c r="M36" s="341">
        <f t="shared" ca="1" si="6"/>
        <v>8.6478338207362296E-2</v>
      </c>
    </row>
    <row r="37" spans="1:13" ht="38.25">
      <c r="A37" s="67">
        <v>11</v>
      </c>
      <c r="B37" s="69" t="s">
        <v>449</v>
      </c>
      <c r="C37" s="69" t="s">
        <v>450</v>
      </c>
      <c r="D37" s="74">
        <v>38293</v>
      </c>
      <c r="E37" s="68">
        <v>38951</v>
      </c>
      <c r="F37" s="68">
        <v>38951</v>
      </c>
      <c r="G37" s="34">
        <f t="shared" si="0"/>
        <v>1</v>
      </c>
      <c r="H37" s="341">
        <f t="shared" si="1"/>
        <v>658</v>
      </c>
      <c r="I37" s="341">
        <f t="shared" ca="1" si="2"/>
        <v>0.21130378933847141</v>
      </c>
      <c r="J37" s="341">
        <f t="shared" ca="1" si="3"/>
        <v>0.21130378933847141</v>
      </c>
      <c r="K37" s="341">
        <f t="shared" si="4"/>
        <v>658</v>
      </c>
      <c r="L37" s="341">
        <f t="shared" ca="1" si="5"/>
        <v>0.20333745364647712</v>
      </c>
      <c r="M37" s="341">
        <f t="shared" ca="1" si="6"/>
        <v>0.20333745364647712</v>
      </c>
    </row>
    <row r="38" spans="1:13" ht="63.75">
      <c r="A38" s="67">
        <v>13</v>
      </c>
      <c r="B38" s="69" t="s">
        <v>451</v>
      </c>
      <c r="C38" s="69" t="s">
        <v>452</v>
      </c>
      <c r="D38" s="70">
        <v>38645</v>
      </c>
      <c r="E38" s="70">
        <v>39065</v>
      </c>
      <c r="F38" s="68">
        <v>38964</v>
      </c>
      <c r="G38" s="34">
        <f t="shared" si="0"/>
        <v>0.75747508305647837</v>
      </c>
      <c r="H38" s="341">
        <f t="shared" si="1"/>
        <v>319</v>
      </c>
      <c r="I38" s="341">
        <f t="shared" ca="1" si="2"/>
        <v>0.10244059087989724</v>
      </c>
      <c r="J38" s="341">
        <f t="shared" ca="1" si="3"/>
        <v>7.7596195085104874E-2</v>
      </c>
      <c r="K38" s="341">
        <f t="shared" si="4"/>
        <v>420</v>
      </c>
      <c r="L38" s="341">
        <f t="shared" ca="1" si="5"/>
        <v>0.12978986402966625</v>
      </c>
      <c r="M38" s="341">
        <f t="shared" ca="1" si="6"/>
        <v>9.831258803576047E-2</v>
      </c>
    </row>
    <row r="39" spans="1:13" ht="38.25">
      <c r="A39" s="67">
        <v>12</v>
      </c>
      <c r="B39" s="69" t="s">
        <v>453</v>
      </c>
      <c r="C39" s="69" t="s">
        <v>454</v>
      </c>
      <c r="D39" s="70">
        <v>38791</v>
      </c>
      <c r="E39" s="73">
        <v>38986</v>
      </c>
      <c r="F39" s="73">
        <v>38986</v>
      </c>
      <c r="G39" s="34">
        <f t="shared" si="0"/>
        <v>1</v>
      </c>
      <c r="H39" s="341">
        <f t="shared" si="1"/>
        <v>195</v>
      </c>
      <c r="I39" s="341">
        <f t="shared" ca="1" si="2"/>
        <v>6.2620423892100194E-2</v>
      </c>
      <c r="J39" s="341">
        <f t="shared" ca="1" si="3"/>
        <v>6.2620423892100194E-2</v>
      </c>
      <c r="K39" s="341">
        <f t="shared" si="4"/>
        <v>195</v>
      </c>
      <c r="L39" s="341">
        <f t="shared" ca="1" si="5"/>
        <v>6.0259579728059336E-2</v>
      </c>
      <c r="M39" s="341">
        <f t="shared" ca="1" si="6"/>
        <v>6.0259579728059336E-2</v>
      </c>
    </row>
    <row r="40" spans="1:13" ht="38.25">
      <c r="A40" s="67">
        <v>14</v>
      </c>
      <c r="B40" s="69" t="s">
        <v>455</v>
      </c>
      <c r="C40" s="69" t="s">
        <v>456</v>
      </c>
      <c r="D40" s="70">
        <v>38923</v>
      </c>
      <c r="E40" s="70">
        <v>38988</v>
      </c>
      <c r="F40" s="68">
        <v>38988</v>
      </c>
      <c r="G40" s="34">
        <f t="shared" si="0"/>
        <v>1</v>
      </c>
      <c r="H40" s="341">
        <f t="shared" si="1"/>
        <v>65</v>
      </c>
      <c r="I40" s="341">
        <f t="shared" ca="1" si="2"/>
        <v>2.0873474630700065E-2</v>
      </c>
      <c r="J40" s="341">
        <f t="shared" ca="1" si="3"/>
        <v>2.0873474630700065E-2</v>
      </c>
      <c r="K40" s="341">
        <f t="shared" si="4"/>
        <v>65</v>
      </c>
      <c r="L40" s="341">
        <f t="shared" ca="1" si="5"/>
        <v>2.0086526576019777E-2</v>
      </c>
      <c r="M40" s="341">
        <f t="shared" ca="1" si="6"/>
        <v>2.0086526576019777E-2</v>
      </c>
    </row>
    <row r="41" spans="1:13" ht="38.25">
      <c r="A41" s="67">
        <v>15</v>
      </c>
      <c r="B41" s="69" t="s">
        <v>457</v>
      </c>
      <c r="C41" s="69" t="s">
        <v>458</v>
      </c>
      <c r="D41" s="70">
        <v>38930</v>
      </c>
      <c r="E41" s="73">
        <v>38992</v>
      </c>
      <c r="F41" s="68">
        <v>38992</v>
      </c>
      <c r="G41" s="34">
        <f t="shared" si="0"/>
        <v>1</v>
      </c>
      <c r="H41" s="341">
        <f t="shared" si="1"/>
        <v>62</v>
      </c>
      <c r="I41" s="341">
        <f t="shared" ca="1" si="2"/>
        <v>1.9910083493898521E-2</v>
      </c>
      <c r="J41" s="341">
        <f t="shared" ca="1" si="3"/>
        <v>1.9910083493898521E-2</v>
      </c>
      <c r="K41" s="341">
        <f t="shared" si="4"/>
        <v>62</v>
      </c>
      <c r="L41" s="341">
        <f t="shared" ca="1" si="5"/>
        <v>1.9159456118665017E-2</v>
      </c>
      <c r="M41" s="341">
        <f t="shared" ca="1" si="6"/>
        <v>1.9159456118665017E-2</v>
      </c>
    </row>
    <row r="42" spans="1:13" ht="51">
      <c r="A42" s="67">
        <v>16</v>
      </c>
      <c r="B42" s="69" t="s">
        <v>459</v>
      </c>
      <c r="C42" s="69" t="s">
        <v>460</v>
      </c>
      <c r="D42" s="70">
        <v>38596</v>
      </c>
      <c r="E42" s="70">
        <v>39082</v>
      </c>
      <c r="F42" s="70">
        <v>39051</v>
      </c>
      <c r="G42" s="34">
        <f t="shared" si="0"/>
        <v>0.93948126801152743</v>
      </c>
      <c r="H42" s="341">
        <f t="shared" si="1"/>
        <v>455</v>
      </c>
      <c r="I42" s="341">
        <f t="shared" ca="1" si="2"/>
        <v>0.14611432241490044</v>
      </c>
      <c r="J42" s="341">
        <f t="shared" ca="1" si="3"/>
        <v>0.1372716688969958</v>
      </c>
      <c r="K42" s="341">
        <f t="shared" si="4"/>
        <v>486</v>
      </c>
      <c r="L42" s="341">
        <f t="shared" ca="1" si="5"/>
        <v>0.15018541409147096</v>
      </c>
      <c r="M42" s="341">
        <f t="shared" ca="1" si="6"/>
        <v>0.14109638326749147</v>
      </c>
    </row>
    <row r="43" spans="1:13" ht="25.5">
      <c r="A43" s="67">
        <v>17</v>
      </c>
      <c r="B43" s="69" t="s">
        <v>461</v>
      </c>
      <c r="C43" s="69" t="s">
        <v>462</v>
      </c>
      <c r="D43" s="70">
        <v>38730</v>
      </c>
      <c r="E43" s="70">
        <v>39055</v>
      </c>
      <c r="F43" s="70">
        <v>39055</v>
      </c>
      <c r="G43" s="34">
        <f t="shared" si="0"/>
        <v>1</v>
      </c>
      <c r="H43" s="341">
        <f t="shared" si="1"/>
        <v>325</v>
      </c>
      <c r="I43" s="341">
        <f t="shared" ca="1" si="2"/>
        <v>0.10436737315350032</v>
      </c>
      <c r="J43" s="341">
        <f t="shared" ca="1" si="3"/>
        <v>0.10436737315350032</v>
      </c>
      <c r="K43" s="341">
        <f t="shared" si="4"/>
        <v>325</v>
      </c>
      <c r="L43" s="341">
        <f t="shared" ca="1" si="5"/>
        <v>0.10043263288009889</v>
      </c>
      <c r="M43" s="341">
        <f t="shared" ca="1" si="6"/>
        <v>0.10043263288009889</v>
      </c>
    </row>
    <row r="44" spans="1:13" ht="25.5">
      <c r="A44" s="67">
        <v>18</v>
      </c>
      <c r="B44" s="69" t="s">
        <v>463</v>
      </c>
      <c r="C44" s="69" t="s">
        <v>464</v>
      </c>
      <c r="D44" s="70">
        <v>38903</v>
      </c>
      <c r="E44" s="70">
        <v>39055</v>
      </c>
      <c r="F44" s="70">
        <v>39055</v>
      </c>
      <c r="G44" s="34">
        <f t="shared" si="0"/>
        <v>1</v>
      </c>
      <c r="H44" s="341">
        <f t="shared" si="1"/>
        <v>152</v>
      </c>
      <c r="I44" s="341">
        <f t="shared" ca="1" si="2"/>
        <v>4.8811817597944764E-2</v>
      </c>
      <c r="J44" s="341">
        <f t="shared" ca="1" si="3"/>
        <v>4.8811817597944764E-2</v>
      </c>
      <c r="K44" s="341">
        <f t="shared" si="4"/>
        <v>152</v>
      </c>
      <c r="L44" s="341">
        <f t="shared" ca="1" si="5"/>
        <v>4.6971569839307788E-2</v>
      </c>
      <c r="M44" s="341">
        <f t="shared" ca="1" si="6"/>
        <v>4.6971569839307788E-2</v>
      </c>
    </row>
    <row r="45" spans="1:13" ht="76.5">
      <c r="A45" s="67">
        <v>19</v>
      </c>
      <c r="B45" s="69" t="s">
        <v>465</v>
      </c>
      <c r="C45" s="72" t="s">
        <v>466</v>
      </c>
      <c r="D45" s="70">
        <v>38992</v>
      </c>
      <c r="E45" s="70">
        <v>39072</v>
      </c>
      <c r="F45" s="70">
        <v>39072</v>
      </c>
      <c r="G45" s="34">
        <f t="shared" si="0"/>
        <v>1</v>
      </c>
      <c r="H45" s="341">
        <f t="shared" si="1"/>
        <v>80</v>
      </c>
      <c r="I45" s="341">
        <f t="shared" ca="1" si="2"/>
        <v>2.569043031470777E-2</v>
      </c>
      <c r="J45" s="341">
        <f t="shared" ca="1" si="3"/>
        <v>2.569043031470777E-2</v>
      </c>
      <c r="K45" s="341">
        <f t="shared" si="4"/>
        <v>80</v>
      </c>
      <c r="L45" s="341">
        <f t="shared" ca="1" si="5"/>
        <v>2.4721878862793572E-2</v>
      </c>
      <c r="M45" s="341">
        <f t="shared" ca="1" si="6"/>
        <v>2.4721878862793572E-2</v>
      </c>
    </row>
    <row r="46" spans="1:13" ht="76.5">
      <c r="A46" s="67">
        <v>20</v>
      </c>
      <c r="B46" s="69" t="s">
        <v>467</v>
      </c>
      <c r="C46" s="71" t="s">
        <v>468</v>
      </c>
      <c r="D46" s="70">
        <v>38918</v>
      </c>
      <c r="E46" s="70">
        <v>39082</v>
      </c>
      <c r="F46" s="70">
        <v>39082</v>
      </c>
      <c r="G46" s="34">
        <f t="shared" si="0"/>
        <v>1</v>
      </c>
      <c r="H46" s="341">
        <f t="shared" si="1"/>
        <v>164</v>
      </c>
      <c r="I46" s="341">
        <f t="shared" ca="1" si="2"/>
        <v>5.266538214515093E-2</v>
      </c>
      <c r="J46" s="341">
        <f t="shared" ca="1" si="3"/>
        <v>5.266538214515093E-2</v>
      </c>
      <c r="K46" s="341">
        <f t="shared" si="4"/>
        <v>164</v>
      </c>
      <c r="L46" s="341">
        <f t="shared" ca="1" si="5"/>
        <v>5.0679851668726822E-2</v>
      </c>
      <c r="M46" s="341">
        <f t="shared" ca="1" si="6"/>
        <v>5.0679851668726822E-2</v>
      </c>
    </row>
  </sheetData>
  <dataValidations count="2">
    <dataValidation type="list" allowBlank="1" showDropDown="1" showInputMessage="1" errorTitle="Input Invalid" error="Selection must be from drop down list." sqref="D33">
      <formula1>$GE$22:$GE$30</formula1>
    </dataValidation>
    <dataValidation allowBlank="1" showInputMessage="1" showErrorMessage="1" errorTitle="Input Invalid" error="Selection must be from drop down list." sqref="E33:F33"/>
  </dataValidations>
  <hyperlinks>
    <hyperlink ref="K31" r:id="rId1" display="Click Here"/>
    <hyperlink ref="K31:L31" r:id="rId2" display="Project Status Reports"/>
    <hyperlink ref="K32" r:id="rId3" display="Click Here"/>
    <hyperlink ref="K32:L32" r:id="rId4" display="Project Status Reports"/>
    <hyperlink ref="K30" r:id="rId5" display="Click Here"/>
    <hyperlink ref="K30:L30" r:id="rId6" display="Project Status Reports"/>
    <hyperlink ref="I30" r:id="rId7" display="Click Here"/>
    <hyperlink ref="I30:J30" r:id="rId8" display="Project Status Reports"/>
    <hyperlink ref="M32" r:id="rId9" display="Click Here"/>
    <hyperlink ref="M32:N32" r:id="rId10" display="Project Status Reports"/>
    <hyperlink ref="M31" r:id="rId11" display="Click Here"/>
    <hyperlink ref="M31:N31" r:id="rId12" display="Project Status Reports"/>
    <hyperlink ref="M30" r:id="rId13" display="Click Here"/>
    <hyperlink ref="M30:N30" r:id="rId14" display="Project Status Reports"/>
    <hyperlink ref="F37" r:id="rId15" display="Project Status Reports"/>
    <hyperlink ref="J32" r:id="rId16" display="Click Here"/>
    <hyperlink ref="J32:K32" r:id="rId17" display="Project Status Reports"/>
    <hyperlink ref="F33" r:id="rId18" display="Project Status Reports"/>
    <hyperlink ref="J31" r:id="rId19" display="Click Here"/>
    <hyperlink ref="J31:K31" r:id="rId20" display="Project Status Reports"/>
    <hyperlink ref="J30" r:id="rId21" display="Click Here"/>
    <hyperlink ref="J30:K30" r:id="rId22" display="Project Status Reports"/>
    <hyperlink ref="H30" r:id="rId23" display="Click Here"/>
    <hyperlink ref="H30:I30" r:id="rId24" display="Project Status Reports"/>
    <hyperlink ref="K31:L33" r:id="rId25" display="Project Status Reports"/>
    <hyperlink ref="K30:L33" r:id="rId26" display="Project Status Reports"/>
    <hyperlink ref="E37" r:id="rId27" display="Project Status Reports"/>
    <hyperlink ref="A2" location="'On-Time Delivery Data'!A1" display="On-Time Delivery Data"/>
    <hyperlink ref="A1" location="'Table of Contents'!A1" display="Table of Contents"/>
  </hyperlinks>
  <pageMargins left="0.7" right="0.7" top="0.75" bottom="0.75" header="0.3" footer="0.3"/>
  <pageSetup orientation="portrait" r:id="rId28"/>
  <headerFooter>
    <oddFooter>&amp;L&amp;5&amp;Z&amp;F
Created: 9/29/2006 10:44:00 PM
Last Saved: 2/5/2008 9:15:17 PM
Last Printed: 2/5/2008 6:12:16 PM&amp;R&amp;5&amp;P - &amp;N
Title :&lt;Not Set&gt;
Subject: &lt;Not Set&gt;</oddFooter>
  </headerFooter>
  <drawing r:id="rId29"/>
</worksheet>
</file>

<file path=xl/worksheets/sheet20.xml><?xml version="1.0" encoding="utf-8"?>
<worksheet xmlns="http://schemas.openxmlformats.org/spreadsheetml/2006/main" xmlns:r="http://schemas.openxmlformats.org/officeDocument/2006/relationships">
  <sheetPr codeName="Sheet10"/>
  <dimension ref="A1:N61"/>
  <sheetViews>
    <sheetView workbookViewId="0"/>
  </sheetViews>
  <sheetFormatPr defaultRowHeight="12.75"/>
  <cols>
    <col min="1" max="1" width="5.7109375" customWidth="1"/>
    <col min="2" max="2" width="30.7109375" customWidth="1"/>
    <col min="3" max="3" width="50.7109375" customWidth="1"/>
    <col min="4" max="6" width="12.7109375" customWidth="1"/>
    <col min="7" max="7" width="10.7109375" style="34" customWidth="1"/>
  </cols>
  <sheetData>
    <row r="1" spans="1:3">
      <c r="A1" s="5" t="s">
        <v>30</v>
      </c>
    </row>
    <row r="2" spans="1:3">
      <c r="A2" s="5" t="s">
        <v>60</v>
      </c>
    </row>
    <row r="4" spans="1:3">
      <c r="B4" s="42" t="s">
        <v>420</v>
      </c>
      <c r="C4" s="42" t="s">
        <v>441</v>
      </c>
    </row>
    <row r="5" spans="1:3">
      <c r="B5" s="42" t="s">
        <v>23</v>
      </c>
      <c r="C5" t="str">
        <f>Survey_Period</f>
        <v>H2 2006</v>
      </c>
    </row>
    <row r="6" spans="1:3">
      <c r="B6" s="42" t="s">
        <v>106</v>
      </c>
      <c r="C6" s="42" t="s">
        <v>78</v>
      </c>
    </row>
    <row r="7" spans="1:3">
      <c r="B7" s="42" t="s">
        <v>107</v>
      </c>
      <c r="C7" s="42" t="s">
        <v>481</v>
      </c>
    </row>
    <row r="11" spans="1:3">
      <c r="B11" s="42" t="s">
        <v>21</v>
      </c>
      <c r="C11" s="42" t="s">
        <v>46</v>
      </c>
    </row>
    <row r="12" spans="1:3">
      <c r="B12" s="42" t="s">
        <v>52</v>
      </c>
      <c r="C12" s="42" t="s">
        <v>26</v>
      </c>
    </row>
    <row r="13" spans="1:3">
      <c r="B13" s="42" t="s">
        <v>109</v>
      </c>
      <c r="C13">
        <v>34</v>
      </c>
    </row>
    <row r="14" spans="1:3">
      <c r="B14" s="42" t="s">
        <v>111</v>
      </c>
      <c r="C14">
        <v>61</v>
      </c>
    </row>
    <row r="15" spans="1:3">
      <c r="B15" s="42" t="s">
        <v>110</v>
      </c>
      <c r="C15">
        <v>7</v>
      </c>
    </row>
    <row r="16" spans="1:3">
      <c r="B16" s="42" t="s">
        <v>112</v>
      </c>
      <c r="C16">
        <v>7</v>
      </c>
    </row>
    <row r="24" spans="1:14">
      <c r="B24" s="317" t="s">
        <v>1125</v>
      </c>
      <c r="C24" s="474">
        <f ca="1">SUM(INDIRECT(ADDRESS($C$13, 13, TRUE)):INDIRECT(ADDRESS($C$14, 13, TRUE)))</f>
        <v>0.98987499999999995</v>
      </c>
    </row>
    <row r="25" spans="1:14">
      <c r="B25" s="317" t="s">
        <v>1124</v>
      </c>
      <c r="C25" s="474">
        <f ca="1">SUM(INDIRECT(ADDRESS($C$13, 10, TRUE)):INDIRECT(ADDRESS($C$14, 10, TRUE)))</f>
        <v>0.99280303030303008</v>
      </c>
    </row>
    <row r="26" spans="1:14">
      <c r="B26" s="341" t="s">
        <v>108</v>
      </c>
      <c r="C26" s="478">
        <f ca="1">AVERAGE(INDIRECT(ADDRESS($C$13, $C$15, TRUE)):INDIRECT(ADDRESS($C$14, $C$16, TRUE)))</f>
        <v>0.98928571428571421</v>
      </c>
    </row>
    <row r="27" spans="1:14">
      <c r="B27" s="341" t="s">
        <v>691</v>
      </c>
      <c r="C27" s="341">
        <f>C14-C13+1</f>
        <v>28</v>
      </c>
    </row>
    <row r="28" spans="1:14">
      <c r="B28" s="317" t="s">
        <v>1122</v>
      </c>
      <c r="C28" s="341">
        <f ca="1">SUM(INDIRECT(ADDRESS($C$13, 8, TRUE)):INDIRECT(ADDRESS($C$14, 8, TRUE)))</f>
        <v>792</v>
      </c>
    </row>
    <row r="29" spans="1:14">
      <c r="B29" s="317" t="s">
        <v>1123</v>
      </c>
      <c r="C29" s="341">
        <f ca="1">SUM(INDIRECT(ADDRESS($C$13, 11, TRUE)):INDIRECT(ADDRESS($C$14, 11, TRUE)))</f>
        <v>800</v>
      </c>
    </row>
    <row r="30" spans="1:14" ht="18.75">
      <c r="A30" s="85"/>
      <c r="B30" s="86" t="s">
        <v>482</v>
      </c>
      <c r="C30" s="87"/>
      <c r="D30" s="87"/>
      <c r="E30" s="87"/>
      <c r="F30" s="87"/>
      <c r="G30" s="115"/>
      <c r="H30" s="87"/>
      <c r="I30" s="87"/>
      <c r="J30" s="87"/>
      <c r="K30" s="88"/>
      <c r="L30" s="87"/>
      <c r="M30" s="89"/>
      <c r="N30" s="90"/>
    </row>
    <row r="31" spans="1:14">
      <c r="A31" s="91"/>
      <c r="B31" s="92" t="s">
        <v>46</v>
      </c>
      <c r="C31" s="93"/>
      <c r="D31" s="93"/>
      <c r="E31" s="93"/>
      <c r="F31" s="93"/>
      <c r="G31" s="116"/>
      <c r="H31" s="93"/>
      <c r="I31" s="93"/>
      <c r="J31" s="93"/>
      <c r="K31" s="94"/>
      <c r="L31" s="93"/>
      <c r="M31" s="95"/>
      <c r="N31" s="42"/>
    </row>
    <row r="32" spans="1:14">
      <c r="A32" s="96"/>
      <c r="B32" s="97" t="s">
        <v>483</v>
      </c>
      <c r="C32" s="98"/>
      <c r="D32" s="98"/>
      <c r="E32" s="98"/>
      <c r="F32" s="98"/>
      <c r="G32" s="117"/>
      <c r="H32" s="98"/>
      <c r="I32" s="98"/>
      <c r="J32" s="98"/>
      <c r="K32" s="99"/>
      <c r="L32" s="98"/>
      <c r="M32" s="100"/>
      <c r="N32" s="42"/>
    </row>
    <row r="33" spans="1:13" ht="36">
      <c r="A33" s="101" t="s">
        <v>89</v>
      </c>
      <c r="B33" s="102" t="s">
        <v>90</v>
      </c>
      <c r="C33" s="101" t="s">
        <v>91</v>
      </c>
      <c r="D33" s="101" t="s">
        <v>92</v>
      </c>
      <c r="E33" s="103" t="s">
        <v>93</v>
      </c>
      <c r="F33" s="103" t="s">
        <v>94</v>
      </c>
    </row>
    <row r="34" spans="1:13" ht="112.5">
      <c r="A34" s="104">
        <v>6</v>
      </c>
      <c r="B34" s="25" t="s">
        <v>484</v>
      </c>
      <c r="C34" s="105" t="s">
        <v>485</v>
      </c>
      <c r="D34" s="106">
        <v>39052</v>
      </c>
      <c r="E34" s="106">
        <v>39079</v>
      </c>
      <c r="F34" s="106">
        <v>39071</v>
      </c>
      <c r="G34" s="34">
        <f t="shared" ref="G34:G36" si="0">IF(AND(NOT(ISBLANK(D34)),ISNUMBER(D34),     NOT(ISBLANK(E34)),ISNUMBER(E34),     NOT(ISBLANK(F34)),ISNUMBER(F34)),NETWORKDAYS(D34,F34)/NETWORKDAYS(D34,E34),"Not Used")</f>
        <v>0.7</v>
      </c>
      <c r="H34" s="341">
        <f t="shared" ref="H34" si="1">F34-D34</f>
        <v>19</v>
      </c>
      <c r="I34" s="341">
        <f t="shared" ref="I34:I61" ca="1" si="2">H34/$C$28</f>
        <v>2.3989898989898988E-2</v>
      </c>
      <c r="J34" s="341">
        <f t="shared" ref="J34" ca="1" si="3">G34*I34</f>
        <v>1.679292929292929E-2</v>
      </c>
      <c r="K34" s="341">
        <f t="shared" ref="K34" si="4">E34-D34</f>
        <v>27</v>
      </c>
      <c r="L34" s="341">
        <f t="shared" ref="L34:L61" ca="1" si="5">K34/$C$29</f>
        <v>3.3750000000000002E-2</v>
      </c>
      <c r="M34" s="341">
        <f t="shared" ref="M34" ca="1" si="6">G34*L34</f>
        <v>2.3625E-2</v>
      </c>
    </row>
    <row r="35" spans="1:13" ht="168.75">
      <c r="A35" s="104">
        <v>1</v>
      </c>
      <c r="B35" s="25" t="s">
        <v>486</v>
      </c>
      <c r="C35" s="107" t="s">
        <v>487</v>
      </c>
      <c r="D35" s="106">
        <v>39052</v>
      </c>
      <c r="E35" s="106">
        <v>39079</v>
      </c>
      <c r="F35" s="108">
        <v>39079</v>
      </c>
      <c r="G35" s="34">
        <f t="shared" si="0"/>
        <v>1</v>
      </c>
      <c r="H35" s="341">
        <f t="shared" ref="H35:H61" si="7">F35-D35</f>
        <v>27</v>
      </c>
      <c r="I35" s="341">
        <f t="shared" ca="1" si="2"/>
        <v>3.4090909090909088E-2</v>
      </c>
      <c r="J35" s="341">
        <f t="shared" ref="J35:J61" ca="1" si="8">G35*I35</f>
        <v>3.4090909090909088E-2</v>
      </c>
      <c r="K35" s="341">
        <f t="shared" ref="K35:K61" si="9">E35-D35</f>
        <v>27</v>
      </c>
      <c r="L35" s="341">
        <f t="shared" ca="1" si="5"/>
        <v>3.3750000000000002E-2</v>
      </c>
      <c r="M35" s="341">
        <f t="shared" ref="M35:M61" ca="1" si="10">G35*L35</f>
        <v>3.3750000000000002E-2</v>
      </c>
    </row>
    <row r="36" spans="1:13" ht="67.5">
      <c r="A36" s="104">
        <v>3</v>
      </c>
      <c r="B36" s="25" t="s">
        <v>488</v>
      </c>
      <c r="C36" s="107" t="s">
        <v>489</v>
      </c>
      <c r="D36" s="106">
        <v>39052</v>
      </c>
      <c r="E36" s="106">
        <v>39079</v>
      </c>
      <c r="F36" s="108">
        <v>39079</v>
      </c>
      <c r="G36" s="34">
        <f t="shared" si="0"/>
        <v>1</v>
      </c>
      <c r="H36" s="341">
        <f t="shared" si="7"/>
        <v>27</v>
      </c>
      <c r="I36" s="341">
        <f t="shared" ca="1" si="2"/>
        <v>3.4090909090909088E-2</v>
      </c>
      <c r="J36" s="341">
        <f t="shared" ca="1" si="8"/>
        <v>3.4090909090909088E-2</v>
      </c>
      <c r="K36" s="341">
        <f t="shared" si="9"/>
        <v>27</v>
      </c>
      <c r="L36" s="341">
        <f t="shared" ca="1" si="5"/>
        <v>3.3750000000000002E-2</v>
      </c>
      <c r="M36" s="341">
        <f t="shared" ca="1" si="10"/>
        <v>3.3750000000000002E-2</v>
      </c>
    </row>
    <row r="37" spans="1:13" ht="45">
      <c r="A37" s="104">
        <v>5</v>
      </c>
      <c r="B37" s="25" t="s">
        <v>490</v>
      </c>
      <c r="C37" s="107" t="s">
        <v>491</v>
      </c>
      <c r="D37" s="106">
        <v>39052</v>
      </c>
      <c r="E37" s="106">
        <v>39079</v>
      </c>
      <c r="F37" s="108">
        <v>39079</v>
      </c>
      <c r="G37" s="34">
        <f t="shared" ref="G37:G61" si="11">IF(AND(NOT(ISBLANK(D37)),ISNUMBER(D37),     NOT(ISBLANK(E37)),ISNUMBER(E37),     NOT(ISBLANK(F37)),ISNUMBER(F37)),NETWORKDAYS(D37,F37)/NETWORKDAYS(D37,E37),"Not Used")</f>
        <v>1</v>
      </c>
      <c r="H37" s="341">
        <f t="shared" si="7"/>
        <v>27</v>
      </c>
      <c r="I37" s="341">
        <f t="shared" ca="1" si="2"/>
        <v>3.4090909090909088E-2</v>
      </c>
      <c r="J37" s="341">
        <f t="shared" ca="1" si="8"/>
        <v>3.4090909090909088E-2</v>
      </c>
      <c r="K37" s="341">
        <f t="shared" si="9"/>
        <v>27</v>
      </c>
      <c r="L37" s="341">
        <f t="shared" ca="1" si="5"/>
        <v>3.3750000000000002E-2</v>
      </c>
      <c r="M37" s="341">
        <f t="shared" ca="1" si="10"/>
        <v>3.3750000000000002E-2</v>
      </c>
    </row>
    <row r="38" spans="1:13" ht="101.25">
      <c r="A38" s="104">
        <v>1</v>
      </c>
      <c r="B38" s="25" t="s">
        <v>492</v>
      </c>
      <c r="C38" s="107" t="s">
        <v>493</v>
      </c>
      <c r="D38" s="106">
        <v>39022</v>
      </c>
      <c r="E38" s="106">
        <v>39049</v>
      </c>
      <c r="F38" s="108">
        <v>39049</v>
      </c>
      <c r="G38" s="34">
        <f t="shared" si="11"/>
        <v>1</v>
      </c>
      <c r="H38" s="341">
        <f t="shared" si="7"/>
        <v>27</v>
      </c>
      <c r="I38" s="341">
        <f t="shared" ca="1" si="2"/>
        <v>3.4090909090909088E-2</v>
      </c>
      <c r="J38" s="341">
        <f t="shared" ca="1" si="8"/>
        <v>3.4090909090909088E-2</v>
      </c>
      <c r="K38" s="341">
        <f t="shared" si="9"/>
        <v>27</v>
      </c>
      <c r="L38" s="341">
        <f t="shared" ca="1" si="5"/>
        <v>3.3750000000000002E-2</v>
      </c>
      <c r="M38" s="341">
        <f t="shared" ca="1" si="10"/>
        <v>3.3750000000000002E-2</v>
      </c>
    </row>
    <row r="39" spans="1:13" ht="247.5">
      <c r="A39" s="104">
        <v>2</v>
      </c>
      <c r="B39" s="25" t="s">
        <v>494</v>
      </c>
      <c r="C39" s="107" t="s">
        <v>495</v>
      </c>
      <c r="D39" s="106">
        <v>39022</v>
      </c>
      <c r="E39" s="106">
        <v>39049</v>
      </c>
      <c r="F39" s="106">
        <v>39049</v>
      </c>
      <c r="G39" s="34">
        <f t="shared" si="11"/>
        <v>1</v>
      </c>
      <c r="H39" s="341">
        <f t="shared" si="7"/>
        <v>27</v>
      </c>
      <c r="I39" s="341">
        <f t="shared" ca="1" si="2"/>
        <v>3.4090909090909088E-2</v>
      </c>
      <c r="J39" s="341">
        <f t="shared" ca="1" si="8"/>
        <v>3.4090909090909088E-2</v>
      </c>
      <c r="K39" s="341">
        <f t="shared" si="9"/>
        <v>27</v>
      </c>
      <c r="L39" s="341">
        <f t="shared" ca="1" si="5"/>
        <v>3.3750000000000002E-2</v>
      </c>
      <c r="M39" s="341">
        <f t="shared" ca="1" si="10"/>
        <v>3.3750000000000002E-2</v>
      </c>
    </row>
    <row r="40" spans="1:13" ht="112.5">
      <c r="A40" s="104">
        <v>3</v>
      </c>
      <c r="B40" s="25" t="s">
        <v>496</v>
      </c>
      <c r="C40" s="109" t="s">
        <v>497</v>
      </c>
      <c r="D40" s="106">
        <v>39022</v>
      </c>
      <c r="E40" s="106">
        <v>39049</v>
      </c>
      <c r="F40" s="106">
        <v>39049</v>
      </c>
      <c r="G40" s="34">
        <f t="shared" si="11"/>
        <v>1</v>
      </c>
      <c r="H40" s="341">
        <f t="shared" si="7"/>
        <v>27</v>
      </c>
      <c r="I40" s="341">
        <f t="shared" ca="1" si="2"/>
        <v>3.4090909090909088E-2</v>
      </c>
      <c r="J40" s="341">
        <f t="shared" ca="1" si="8"/>
        <v>3.4090909090909088E-2</v>
      </c>
      <c r="K40" s="341">
        <f t="shared" si="9"/>
        <v>27</v>
      </c>
      <c r="L40" s="341">
        <f t="shared" ca="1" si="5"/>
        <v>3.3750000000000002E-2</v>
      </c>
      <c r="M40" s="341">
        <f t="shared" ca="1" si="10"/>
        <v>3.3750000000000002E-2</v>
      </c>
    </row>
    <row r="41" spans="1:13" ht="67.5">
      <c r="A41" s="104">
        <v>4</v>
      </c>
      <c r="B41" s="25" t="s">
        <v>498</v>
      </c>
      <c r="C41" s="109" t="s">
        <v>499</v>
      </c>
      <c r="D41" s="106">
        <v>39022</v>
      </c>
      <c r="E41" s="106">
        <v>39049</v>
      </c>
      <c r="F41" s="106">
        <v>39049</v>
      </c>
      <c r="G41" s="34">
        <f t="shared" si="11"/>
        <v>1</v>
      </c>
      <c r="H41" s="341">
        <f t="shared" si="7"/>
        <v>27</v>
      </c>
      <c r="I41" s="341">
        <f t="shared" ca="1" si="2"/>
        <v>3.4090909090909088E-2</v>
      </c>
      <c r="J41" s="341">
        <f t="shared" ca="1" si="8"/>
        <v>3.4090909090909088E-2</v>
      </c>
      <c r="K41" s="341">
        <f t="shared" si="9"/>
        <v>27</v>
      </c>
      <c r="L41" s="341">
        <f t="shared" ca="1" si="5"/>
        <v>3.3750000000000002E-2</v>
      </c>
      <c r="M41" s="341">
        <f t="shared" ca="1" si="10"/>
        <v>3.3750000000000002E-2</v>
      </c>
    </row>
    <row r="42" spans="1:13" ht="123.75">
      <c r="A42" s="104">
        <v>6</v>
      </c>
      <c r="B42" s="25" t="s">
        <v>500</v>
      </c>
      <c r="C42" s="105" t="s">
        <v>501</v>
      </c>
      <c r="D42" s="106">
        <v>39022</v>
      </c>
      <c r="E42" s="106">
        <v>39050</v>
      </c>
      <c r="F42" s="108">
        <v>39050</v>
      </c>
      <c r="G42" s="34">
        <f t="shared" si="11"/>
        <v>1</v>
      </c>
      <c r="H42" s="341">
        <f t="shared" si="7"/>
        <v>28</v>
      </c>
      <c r="I42" s="341">
        <f t="shared" ca="1" si="2"/>
        <v>3.5353535353535352E-2</v>
      </c>
      <c r="J42" s="341">
        <f t="shared" ca="1" si="8"/>
        <v>3.5353535353535352E-2</v>
      </c>
      <c r="K42" s="341">
        <f t="shared" si="9"/>
        <v>28</v>
      </c>
      <c r="L42" s="341">
        <f t="shared" ca="1" si="5"/>
        <v>3.5000000000000003E-2</v>
      </c>
      <c r="M42" s="341">
        <f t="shared" ca="1" si="10"/>
        <v>3.5000000000000003E-2</v>
      </c>
    </row>
    <row r="43" spans="1:13" ht="67.5">
      <c r="A43" s="104">
        <v>1</v>
      </c>
      <c r="B43" s="25" t="s">
        <v>502</v>
      </c>
      <c r="C43" s="109" t="s">
        <v>503</v>
      </c>
      <c r="D43" s="106">
        <v>38991</v>
      </c>
      <c r="E43" s="106">
        <v>39020</v>
      </c>
      <c r="F43" s="108">
        <v>39020</v>
      </c>
      <c r="G43" s="34">
        <f t="shared" si="11"/>
        <v>1</v>
      </c>
      <c r="H43" s="341">
        <f t="shared" si="7"/>
        <v>29</v>
      </c>
      <c r="I43" s="341">
        <f t="shared" ca="1" si="2"/>
        <v>3.6616161616161616E-2</v>
      </c>
      <c r="J43" s="341">
        <f t="shared" ca="1" si="8"/>
        <v>3.6616161616161616E-2</v>
      </c>
      <c r="K43" s="341">
        <f t="shared" si="9"/>
        <v>29</v>
      </c>
      <c r="L43" s="341">
        <f t="shared" ca="1" si="5"/>
        <v>3.6249999999999998E-2</v>
      </c>
      <c r="M43" s="341">
        <f t="shared" ca="1" si="10"/>
        <v>3.6249999999999998E-2</v>
      </c>
    </row>
    <row r="44" spans="1:13" ht="90">
      <c r="A44" s="104">
        <v>2</v>
      </c>
      <c r="B44" s="25" t="s">
        <v>504</v>
      </c>
      <c r="C44" s="107" t="s">
        <v>505</v>
      </c>
      <c r="D44" s="106">
        <v>38991</v>
      </c>
      <c r="E44" s="106">
        <v>39020</v>
      </c>
      <c r="F44" s="108">
        <v>39020</v>
      </c>
      <c r="G44" s="34">
        <f t="shared" si="11"/>
        <v>1</v>
      </c>
      <c r="H44" s="341">
        <f t="shared" si="7"/>
        <v>29</v>
      </c>
      <c r="I44" s="341">
        <f t="shared" ca="1" si="2"/>
        <v>3.6616161616161616E-2</v>
      </c>
      <c r="J44" s="341">
        <f t="shared" ca="1" si="8"/>
        <v>3.6616161616161616E-2</v>
      </c>
      <c r="K44" s="341">
        <f t="shared" si="9"/>
        <v>29</v>
      </c>
      <c r="L44" s="341">
        <f t="shared" ca="1" si="5"/>
        <v>3.6249999999999998E-2</v>
      </c>
      <c r="M44" s="341">
        <f t="shared" ca="1" si="10"/>
        <v>3.6249999999999998E-2</v>
      </c>
    </row>
    <row r="45" spans="1:13" ht="78.75">
      <c r="A45" s="104">
        <v>3</v>
      </c>
      <c r="B45" s="25" t="s">
        <v>506</v>
      </c>
      <c r="C45" s="109" t="s">
        <v>507</v>
      </c>
      <c r="D45" s="106">
        <v>38991</v>
      </c>
      <c r="E45" s="106">
        <v>39020</v>
      </c>
      <c r="F45" s="108">
        <v>39020</v>
      </c>
      <c r="G45" s="34">
        <f t="shared" si="11"/>
        <v>1</v>
      </c>
      <c r="H45" s="341">
        <f t="shared" si="7"/>
        <v>29</v>
      </c>
      <c r="I45" s="341">
        <f t="shared" ca="1" si="2"/>
        <v>3.6616161616161616E-2</v>
      </c>
      <c r="J45" s="341">
        <f t="shared" ca="1" si="8"/>
        <v>3.6616161616161616E-2</v>
      </c>
      <c r="K45" s="341">
        <f t="shared" si="9"/>
        <v>29</v>
      </c>
      <c r="L45" s="341">
        <f t="shared" ca="1" si="5"/>
        <v>3.6249999999999998E-2</v>
      </c>
      <c r="M45" s="341">
        <f t="shared" ca="1" si="10"/>
        <v>3.6249999999999998E-2</v>
      </c>
    </row>
    <row r="46" spans="1:13" ht="101.25">
      <c r="A46" s="104">
        <v>4</v>
      </c>
      <c r="B46" s="25" t="s">
        <v>508</v>
      </c>
      <c r="C46" s="107" t="s">
        <v>509</v>
      </c>
      <c r="D46" s="106">
        <v>38991</v>
      </c>
      <c r="E46" s="106">
        <v>39020</v>
      </c>
      <c r="F46" s="108">
        <v>39020</v>
      </c>
      <c r="G46" s="34">
        <f t="shared" si="11"/>
        <v>1</v>
      </c>
      <c r="H46" s="341">
        <f t="shared" si="7"/>
        <v>29</v>
      </c>
      <c r="I46" s="341">
        <f t="shared" ca="1" si="2"/>
        <v>3.6616161616161616E-2</v>
      </c>
      <c r="J46" s="341">
        <f t="shared" ca="1" si="8"/>
        <v>3.6616161616161616E-2</v>
      </c>
      <c r="K46" s="341">
        <f t="shared" si="9"/>
        <v>29</v>
      </c>
      <c r="L46" s="341">
        <f t="shared" ca="1" si="5"/>
        <v>3.6249999999999998E-2</v>
      </c>
      <c r="M46" s="341">
        <f t="shared" ca="1" si="10"/>
        <v>3.6249999999999998E-2</v>
      </c>
    </row>
    <row r="47" spans="1:13" ht="146.25">
      <c r="A47" s="104">
        <v>6</v>
      </c>
      <c r="B47" s="25" t="s">
        <v>510</v>
      </c>
      <c r="C47" s="105" t="s">
        <v>511</v>
      </c>
      <c r="D47" s="106">
        <v>38980</v>
      </c>
      <c r="E47" s="106">
        <v>39020</v>
      </c>
      <c r="F47" s="108">
        <v>39020</v>
      </c>
      <c r="G47" s="34">
        <f t="shared" si="11"/>
        <v>1</v>
      </c>
      <c r="H47" s="341">
        <f t="shared" si="7"/>
        <v>40</v>
      </c>
      <c r="I47" s="341">
        <f t="shared" ca="1" si="2"/>
        <v>5.0505050505050504E-2</v>
      </c>
      <c r="J47" s="341">
        <f t="shared" ca="1" si="8"/>
        <v>5.0505050505050504E-2</v>
      </c>
      <c r="K47" s="341">
        <f t="shared" si="9"/>
        <v>40</v>
      </c>
      <c r="L47" s="341">
        <f t="shared" ca="1" si="5"/>
        <v>0.05</v>
      </c>
      <c r="M47" s="341">
        <f t="shared" ca="1" si="10"/>
        <v>0.05</v>
      </c>
    </row>
    <row r="48" spans="1:13" ht="78.75">
      <c r="A48" s="104">
        <v>4</v>
      </c>
      <c r="B48" s="25" t="s">
        <v>512</v>
      </c>
      <c r="C48" s="107" t="s">
        <v>513</v>
      </c>
      <c r="D48" s="106">
        <v>38961</v>
      </c>
      <c r="E48" s="106">
        <v>38988</v>
      </c>
      <c r="F48" s="108">
        <v>38988</v>
      </c>
      <c r="G48" s="34">
        <f t="shared" si="11"/>
        <v>1</v>
      </c>
      <c r="H48" s="341">
        <f t="shared" si="7"/>
        <v>27</v>
      </c>
      <c r="I48" s="341">
        <f t="shared" ca="1" si="2"/>
        <v>3.4090909090909088E-2</v>
      </c>
      <c r="J48" s="341">
        <f t="shared" ca="1" si="8"/>
        <v>3.4090909090909088E-2</v>
      </c>
      <c r="K48" s="341">
        <f t="shared" si="9"/>
        <v>27</v>
      </c>
      <c r="L48" s="341">
        <f t="shared" ca="1" si="5"/>
        <v>3.3750000000000002E-2</v>
      </c>
      <c r="M48" s="341">
        <f t="shared" ca="1" si="10"/>
        <v>3.3750000000000002E-2</v>
      </c>
    </row>
    <row r="49" spans="1:13" ht="90">
      <c r="A49" s="104">
        <v>5</v>
      </c>
      <c r="B49" s="25" t="s">
        <v>514</v>
      </c>
      <c r="C49" s="107" t="s">
        <v>515</v>
      </c>
      <c r="D49" s="106">
        <v>38961</v>
      </c>
      <c r="E49" s="106">
        <v>38988</v>
      </c>
      <c r="F49" s="108">
        <v>38988</v>
      </c>
      <c r="G49" s="34">
        <f t="shared" si="11"/>
        <v>1</v>
      </c>
      <c r="H49" s="341">
        <f t="shared" si="7"/>
        <v>27</v>
      </c>
      <c r="I49" s="341">
        <f t="shared" ca="1" si="2"/>
        <v>3.4090909090909088E-2</v>
      </c>
      <c r="J49" s="341">
        <f t="shared" ca="1" si="8"/>
        <v>3.4090909090909088E-2</v>
      </c>
      <c r="K49" s="341">
        <f t="shared" si="9"/>
        <v>27</v>
      </c>
      <c r="L49" s="341">
        <f t="shared" ca="1" si="5"/>
        <v>3.3750000000000002E-2</v>
      </c>
      <c r="M49" s="341">
        <f t="shared" ca="1" si="10"/>
        <v>3.3750000000000002E-2</v>
      </c>
    </row>
    <row r="50" spans="1:13" ht="101.25">
      <c r="A50" s="104">
        <v>6</v>
      </c>
      <c r="B50" s="25" t="s">
        <v>516</v>
      </c>
      <c r="C50" s="107" t="s">
        <v>517</v>
      </c>
      <c r="D50" s="106">
        <v>38961</v>
      </c>
      <c r="E50" s="106">
        <v>38988</v>
      </c>
      <c r="F50" s="108">
        <v>38988</v>
      </c>
      <c r="G50" s="34">
        <f t="shared" si="11"/>
        <v>1</v>
      </c>
      <c r="H50" s="341">
        <f t="shared" si="7"/>
        <v>27</v>
      </c>
      <c r="I50" s="341">
        <f t="shared" ca="1" si="2"/>
        <v>3.4090909090909088E-2</v>
      </c>
      <c r="J50" s="341">
        <f t="shared" ca="1" si="8"/>
        <v>3.4090909090909088E-2</v>
      </c>
      <c r="K50" s="341">
        <f t="shared" si="9"/>
        <v>27</v>
      </c>
      <c r="L50" s="341">
        <f t="shared" ca="1" si="5"/>
        <v>3.3750000000000002E-2</v>
      </c>
      <c r="M50" s="341">
        <f t="shared" ca="1" si="10"/>
        <v>3.3750000000000002E-2</v>
      </c>
    </row>
    <row r="51" spans="1:13" ht="101.25">
      <c r="A51" s="104">
        <v>7</v>
      </c>
      <c r="B51" s="110" t="s">
        <v>518</v>
      </c>
      <c r="C51" s="107" t="s">
        <v>519</v>
      </c>
      <c r="D51" s="111">
        <v>38930</v>
      </c>
      <c r="E51" s="111">
        <v>38959</v>
      </c>
      <c r="F51" s="112">
        <v>38959</v>
      </c>
      <c r="G51" s="34">
        <f t="shared" si="11"/>
        <v>1</v>
      </c>
      <c r="H51" s="341">
        <f t="shared" si="7"/>
        <v>29</v>
      </c>
      <c r="I51" s="341">
        <f t="shared" ca="1" si="2"/>
        <v>3.6616161616161616E-2</v>
      </c>
      <c r="J51" s="341">
        <f t="shared" ca="1" si="8"/>
        <v>3.6616161616161616E-2</v>
      </c>
      <c r="K51" s="341">
        <f t="shared" si="9"/>
        <v>29</v>
      </c>
      <c r="L51" s="341">
        <f t="shared" ca="1" si="5"/>
        <v>3.6249999999999998E-2</v>
      </c>
      <c r="M51" s="341">
        <f t="shared" ca="1" si="10"/>
        <v>3.6249999999999998E-2</v>
      </c>
    </row>
    <row r="52" spans="1:13" ht="22.5">
      <c r="A52" s="104">
        <v>1</v>
      </c>
      <c r="B52" s="110" t="s">
        <v>520</v>
      </c>
      <c r="C52" s="113" t="s">
        <v>521</v>
      </c>
      <c r="D52" s="111">
        <v>38899</v>
      </c>
      <c r="E52" s="111">
        <v>38929</v>
      </c>
      <c r="F52" s="112">
        <v>38929</v>
      </c>
      <c r="G52" s="34">
        <f t="shared" si="11"/>
        <v>1</v>
      </c>
      <c r="H52" s="341">
        <f t="shared" si="7"/>
        <v>30</v>
      </c>
      <c r="I52" s="341">
        <f t="shared" ca="1" si="2"/>
        <v>3.787878787878788E-2</v>
      </c>
      <c r="J52" s="341">
        <f t="shared" ca="1" si="8"/>
        <v>3.787878787878788E-2</v>
      </c>
      <c r="K52" s="341">
        <f t="shared" si="9"/>
        <v>30</v>
      </c>
      <c r="L52" s="341">
        <f t="shared" ca="1" si="5"/>
        <v>3.7499999999999999E-2</v>
      </c>
      <c r="M52" s="341">
        <f t="shared" ca="1" si="10"/>
        <v>3.7499999999999999E-2</v>
      </c>
    </row>
    <row r="53" spans="1:13" ht="90">
      <c r="A53" s="104">
        <v>2</v>
      </c>
      <c r="B53" s="110" t="s">
        <v>522</v>
      </c>
      <c r="C53" s="109" t="s">
        <v>523</v>
      </c>
      <c r="D53" s="111">
        <v>38899</v>
      </c>
      <c r="E53" s="111">
        <v>38929</v>
      </c>
      <c r="F53" s="112">
        <v>38929</v>
      </c>
      <c r="G53" s="34">
        <f t="shared" si="11"/>
        <v>1</v>
      </c>
      <c r="H53" s="341">
        <f t="shared" si="7"/>
        <v>30</v>
      </c>
      <c r="I53" s="341">
        <f t="shared" ca="1" si="2"/>
        <v>3.787878787878788E-2</v>
      </c>
      <c r="J53" s="341">
        <f t="shared" ca="1" si="8"/>
        <v>3.787878787878788E-2</v>
      </c>
      <c r="K53" s="341">
        <f t="shared" si="9"/>
        <v>30</v>
      </c>
      <c r="L53" s="341">
        <f t="shared" ca="1" si="5"/>
        <v>3.7499999999999999E-2</v>
      </c>
      <c r="M53" s="341">
        <f t="shared" ca="1" si="10"/>
        <v>3.7499999999999999E-2</v>
      </c>
    </row>
    <row r="54" spans="1:13" ht="90">
      <c r="A54" s="104">
        <v>3</v>
      </c>
      <c r="B54" s="110" t="s">
        <v>524</v>
      </c>
      <c r="C54" s="113" t="s">
        <v>525</v>
      </c>
      <c r="D54" s="111">
        <v>38899</v>
      </c>
      <c r="E54" s="111">
        <v>38929</v>
      </c>
      <c r="F54" s="112">
        <v>38929</v>
      </c>
      <c r="G54" s="34">
        <f t="shared" si="11"/>
        <v>1</v>
      </c>
      <c r="H54" s="341">
        <f t="shared" si="7"/>
        <v>30</v>
      </c>
      <c r="I54" s="341">
        <f t="shared" ca="1" si="2"/>
        <v>3.787878787878788E-2</v>
      </c>
      <c r="J54" s="341">
        <f t="shared" ca="1" si="8"/>
        <v>3.787878787878788E-2</v>
      </c>
      <c r="K54" s="341">
        <f t="shared" si="9"/>
        <v>30</v>
      </c>
      <c r="L54" s="341">
        <f t="shared" ca="1" si="5"/>
        <v>3.7499999999999999E-2</v>
      </c>
      <c r="M54" s="341">
        <f t="shared" ca="1" si="10"/>
        <v>3.7499999999999999E-2</v>
      </c>
    </row>
    <row r="55" spans="1:13" ht="112.5">
      <c r="A55" s="104">
        <v>4</v>
      </c>
      <c r="B55" s="110" t="s">
        <v>526</v>
      </c>
      <c r="C55" s="113" t="s">
        <v>527</v>
      </c>
      <c r="D55" s="111">
        <v>38899</v>
      </c>
      <c r="E55" s="111">
        <v>38929</v>
      </c>
      <c r="F55" s="112">
        <v>38929</v>
      </c>
      <c r="G55" s="34">
        <f t="shared" si="11"/>
        <v>1</v>
      </c>
      <c r="H55" s="341">
        <f t="shared" si="7"/>
        <v>30</v>
      </c>
      <c r="I55" s="341">
        <f t="shared" ca="1" si="2"/>
        <v>3.787878787878788E-2</v>
      </c>
      <c r="J55" s="341">
        <f t="shared" ca="1" si="8"/>
        <v>3.787878787878788E-2</v>
      </c>
      <c r="K55" s="341">
        <f t="shared" si="9"/>
        <v>30</v>
      </c>
      <c r="L55" s="341">
        <f t="shared" ca="1" si="5"/>
        <v>3.7499999999999999E-2</v>
      </c>
      <c r="M55" s="341">
        <f t="shared" ca="1" si="10"/>
        <v>3.7499999999999999E-2</v>
      </c>
    </row>
    <row r="56" spans="1:13" ht="33.75">
      <c r="A56" s="104">
        <v>5</v>
      </c>
      <c r="B56" s="110" t="s">
        <v>528</v>
      </c>
      <c r="C56" s="113" t="s">
        <v>529</v>
      </c>
      <c r="D56" s="111">
        <v>38899</v>
      </c>
      <c r="E56" s="111">
        <v>38929</v>
      </c>
      <c r="F56" s="112">
        <v>38929</v>
      </c>
      <c r="G56" s="34">
        <f t="shared" si="11"/>
        <v>1</v>
      </c>
      <c r="H56" s="341">
        <f t="shared" si="7"/>
        <v>30</v>
      </c>
      <c r="I56" s="341">
        <f t="shared" ca="1" si="2"/>
        <v>3.787878787878788E-2</v>
      </c>
      <c r="J56" s="341">
        <f t="shared" ca="1" si="8"/>
        <v>3.787878787878788E-2</v>
      </c>
      <c r="K56" s="341">
        <f t="shared" si="9"/>
        <v>30</v>
      </c>
      <c r="L56" s="341">
        <f t="shared" ca="1" si="5"/>
        <v>3.7499999999999999E-2</v>
      </c>
      <c r="M56" s="341">
        <f t="shared" ca="1" si="10"/>
        <v>3.7499999999999999E-2</v>
      </c>
    </row>
    <row r="57" spans="1:13" ht="56.25">
      <c r="A57" s="104">
        <v>3</v>
      </c>
      <c r="B57" s="110" t="s">
        <v>530</v>
      </c>
      <c r="C57" s="113" t="s">
        <v>531</v>
      </c>
      <c r="D57" s="111">
        <v>38869</v>
      </c>
      <c r="E57" s="111">
        <v>38897</v>
      </c>
      <c r="F57" s="114">
        <v>38897</v>
      </c>
      <c r="G57" s="34">
        <f t="shared" si="11"/>
        <v>1</v>
      </c>
      <c r="H57" s="341">
        <f t="shared" si="7"/>
        <v>28</v>
      </c>
      <c r="I57" s="341">
        <f t="shared" ca="1" si="2"/>
        <v>3.5353535353535352E-2</v>
      </c>
      <c r="J57" s="341">
        <f t="shared" ca="1" si="8"/>
        <v>3.5353535353535352E-2</v>
      </c>
      <c r="K57" s="341">
        <f t="shared" si="9"/>
        <v>28</v>
      </c>
      <c r="L57" s="341">
        <f t="shared" ca="1" si="5"/>
        <v>3.5000000000000003E-2</v>
      </c>
      <c r="M57" s="341">
        <f t="shared" ca="1" si="10"/>
        <v>3.5000000000000003E-2</v>
      </c>
    </row>
    <row r="58" spans="1:13" ht="56.25">
      <c r="A58" s="104">
        <v>4</v>
      </c>
      <c r="B58" s="110" t="s">
        <v>532</v>
      </c>
      <c r="C58" s="113" t="s">
        <v>533</v>
      </c>
      <c r="D58" s="111">
        <v>38869</v>
      </c>
      <c r="E58" s="111">
        <v>38897</v>
      </c>
      <c r="F58" s="114">
        <v>38897</v>
      </c>
      <c r="G58" s="34">
        <f t="shared" si="11"/>
        <v>1</v>
      </c>
      <c r="H58" s="341">
        <f t="shared" si="7"/>
        <v>28</v>
      </c>
      <c r="I58" s="341">
        <f t="shared" ca="1" si="2"/>
        <v>3.5353535353535352E-2</v>
      </c>
      <c r="J58" s="341">
        <f t="shared" ca="1" si="8"/>
        <v>3.5353535353535352E-2</v>
      </c>
      <c r="K58" s="341">
        <f t="shared" si="9"/>
        <v>28</v>
      </c>
      <c r="L58" s="341">
        <f t="shared" ca="1" si="5"/>
        <v>3.5000000000000003E-2</v>
      </c>
      <c r="M58" s="341">
        <f t="shared" ca="1" si="10"/>
        <v>3.5000000000000003E-2</v>
      </c>
    </row>
    <row r="59" spans="1:13" ht="78.75">
      <c r="A59" s="104">
        <v>5</v>
      </c>
      <c r="B59" s="110" t="s">
        <v>534</v>
      </c>
      <c r="C59" s="113" t="s">
        <v>535</v>
      </c>
      <c r="D59" s="111">
        <v>38869</v>
      </c>
      <c r="E59" s="111">
        <v>38897</v>
      </c>
      <c r="F59" s="114">
        <v>38897</v>
      </c>
      <c r="G59" s="34">
        <f t="shared" si="11"/>
        <v>1</v>
      </c>
      <c r="H59" s="341">
        <f t="shared" si="7"/>
        <v>28</v>
      </c>
      <c r="I59" s="341">
        <f t="shared" ca="1" si="2"/>
        <v>3.5353535353535352E-2</v>
      </c>
      <c r="J59" s="341">
        <f t="shared" ca="1" si="8"/>
        <v>3.5353535353535352E-2</v>
      </c>
      <c r="K59" s="341">
        <f t="shared" si="9"/>
        <v>28</v>
      </c>
      <c r="L59" s="341">
        <f t="shared" ca="1" si="5"/>
        <v>3.5000000000000003E-2</v>
      </c>
      <c r="M59" s="341">
        <f t="shared" ca="1" si="10"/>
        <v>3.5000000000000003E-2</v>
      </c>
    </row>
    <row r="60" spans="1:13" ht="78.75">
      <c r="A60" s="104">
        <v>6</v>
      </c>
      <c r="B60" s="110" t="s">
        <v>536</v>
      </c>
      <c r="C60" s="113" t="s">
        <v>537</v>
      </c>
      <c r="D60" s="111">
        <v>38869</v>
      </c>
      <c r="E60" s="111">
        <v>38897</v>
      </c>
      <c r="F60" s="114">
        <v>38897</v>
      </c>
      <c r="G60" s="34">
        <f t="shared" si="11"/>
        <v>1</v>
      </c>
      <c r="H60" s="341">
        <f t="shared" si="7"/>
        <v>28</v>
      </c>
      <c r="I60" s="341">
        <f t="shared" ca="1" si="2"/>
        <v>3.5353535353535352E-2</v>
      </c>
      <c r="J60" s="341">
        <f t="shared" ca="1" si="8"/>
        <v>3.5353535353535352E-2</v>
      </c>
      <c r="K60" s="341">
        <f t="shared" si="9"/>
        <v>28</v>
      </c>
      <c r="L60" s="341">
        <f t="shared" ca="1" si="5"/>
        <v>3.5000000000000003E-2</v>
      </c>
      <c r="M60" s="341">
        <f t="shared" ca="1" si="10"/>
        <v>3.5000000000000003E-2</v>
      </c>
    </row>
    <row r="61" spans="1:13" ht="45">
      <c r="A61" s="104">
        <v>7</v>
      </c>
      <c r="B61" s="110" t="s">
        <v>538</v>
      </c>
      <c r="C61" s="113" t="s">
        <v>539</v>
      </c>
      <c r="D61" s="111">
        <v>38869</v>
      </c>
      <c r="E61" s="111">
        <v>38897</v>
      </c>
      <c r="F61" s="114">
        <v>38897</v>
      </c>
      <c r="G61" s="34">
        <f t="shared" si="11"/>
        <v>1</v>
      </c>
      <c r="H61" s="341">
        <f t="shared" si="7"/>
        <v>28</v>
      </c>
      <c r="I61" s="341">
        <f t="shared" ca="1" si="2"/>
        <v>3.5353535353535352E-2</v>
      </c>
      <c r="J61" s="341">
        <f t="shared" ca="1" si="8"/>
        <v>3.5353535353535352E-2</v>
      </c>
      <c r="K61" s="341">
        <f t="shared" si="9"/>
        <v>28</v>
      </c>
      <c r="L61" s="341">
        <f t="shared" ca="1" si="5"/>
        <v>3.5000000000000003E-2</v>
      </c>
      <c r="M61" s="341">
        <f t="shared" ca="1" si="10"/>
        <v>3.5000000000000003E-2</v>
      </c>
    </row>
  </sheetData>
  <dataValidations count="2">
    <dataValidation allowBlank="1" showInputMessage="1" showErrorMessage="1" errorTitle="Input Invalid" error="Selection must be from drop down list." sqref="D57:E61 D34:F56 E33:F33"/>
    <dataValidation type="list" allowBlank="1" showDropDown="1" showInputMessage="1" errorTitle="Input Invalid" error="Selection must be from drop down list." sqref="D33">
      <formula1>#REF!</formula1>
    </dataValidation>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9:15:17 PM
Last Printed: 2/5/2008 6:12:16 PM&amp;R&amp;5&amp;P - &amp;N
Title :&lt;Not Set&gt;
Subject: &lt;Not Set&gt;</oddFooter>
  </headerFooter>
  <drawing r:id="rId2"/>
</worksheet>
</file>

<file path=xl/worksheets/sheet21.xml><?xml version="1.0" encoding="utf-8"?>
<worksheet xmlns="http://schemas.openxmlformats.org/spreadsheetml/2006/main" xmlns:r="http://schemas.openxmlformats.org/officeDocument/2006/relationships">
  <sheetPr codeName="Sheet11"/>
  <dimension ref="A1:AD69"/>
  <sheetViews>
    <sheetView workbookViewId="0"/>
  </sheetViews>
  <sheetFormatPr defaultRowHeight="12.75"/>
  <cols>
    <col min="1" max="1" width="5.7109375" customWidth="1"/>
    <col min="2" max="2" width="30.7109375" customWidth="1"/>
    <col min="3" max="3" width="50.7109375" customWidth="1"/>
    <col min="4" max="6" width="12.7109375" customWidth="1"/>
    <col min="7" max="7" width="10.7109375" style="34" customWidth="1"/>
  </cols>
  <sheetData>
    <row r="1" spans="1:3">
      <c r="A1" s="5" t="s">
        <v>30</v>
      </c>
    </row>
    <row r="2" spans="1:3">
      <c r="A2" s="5" t="s">
        <v>60</v>
      </c>
    </row>
    <row r="4" spans="1:3">
      <c r="B4" s="146" t="s">
        <v>420</v>
      </c>
      <c r="C4" s="146" t="s">
        <v>441</v>
      </c>
    </row>
    <row r="5" spans="1:3">
      <c r="B5" s="146" t="s">
        <v>23</v>
      </c>
      <c r="C5" t="str">
        <f>Survey_Period</f>
        <v>H2 2006</v>
      </c>
    </row>
    <row r="6" spans="1:3">
      <c r="B6" s="146" t="s">
        <v>106</v>
      </c>
      <c r="C6" s="146" t="s">
        <v>72</v>
      </c>
    </row>
    <row r="7" spans="1:3">
      <c r="B7" s="146" t="s">
        <v>107</v>
      </c>
      <c r="C7" s="146" t="s">
        <v>80</v>
      </c>
    </row>
    <row r="11" spans="1:3">
      <c r="B11" s="146" t="s">
        <v>21</v>
      </c>
      <c r="C11" s="146" t="s">
        <v>44</v>
      </c>
    </row>
    <row r="12" spans="1:3">
      <c r="B12" s="146" t="s">
        <v>52</v>
      </c>
      <c r="C12" s="146" t="s">
        <v>541</v>
      </c>
    </row>
    <row r="13" spans="1:3">
      <c r="B13" s="146" t="s">
        <v>109</v>
      </c>
      <c r="C13">
        <v>34</v>
      </c>
    </row>
    <row r="14" spans="1:3">
      <c r="B14" s="146" t="s">
        <v>111</v>
      </c>
      <c r="C14">
        <v>69</v>
      </c>
    </row>
    <row r="15" spans="1:3">
      <c r="B15" s="146" t="s">
        <v>110</v>
      </c>
      <c r="C15">
        <v>7</v>
      </c>
    </row>
    <row r="16" spans="1:3">
      <c r="B16" s="146" t="s">
        <v>112</v>
      </c>
      <c r="C16">
        <v>7</v>
      </c>
    </row>
    <row r="24" spans="1:30">
      <c r="B24" s="317" t="s">
        <v>1125</v>
      </c>
      <c r="C24" s="474">
        <f ca="1">SUM(INDIRECT(ADDRESS($C$13, 13, TRUE)):INDIRECT(ADDRESS($C$14, 13, TRUE)))</f>
        <v>0.99222437971440081</v>
      </c>
    </row>
    <row r="25" spans="1:30">
      <c r="B25" s="317" t="s">
        <v>1124</v>
      </c>
      <c r="C25" s="474">
        <f ca="1">SUM(INDIRECT(ADDRESS($C$13, 10, TRUE)):INDIRECT(ADDRESS($C$14, 10, TRUE)))</f>
        <v>1.0018727232746989</v>
      </c>
    </row>
    <row r="26" spans="1:30">
      <c r="B26" s="146" t="s">
        <v>108</v>
      </c>
      <c r="C26" s="478">
        <f ca="1">AVERAGE(INDIRECT(ADDRESS($C$13, $C$15, TRUE)):INDIRECT(ADDRESS($C$14, $C$16, TRUE)))</f>
        <v>0.98133925274882705</v>
      </c>
    </row>
    <row r="27" spans="1:30">
      <c r="B27" s="196" t="s">
        <v>691</v>
      </c>
      <c r="C27" s="196">
        <f>C14-C13+1</f>
        <v>36</v>
      </c>
    </row>
    <row r="28" spans="1:30">
      <c r="B28" s="317" t="s">
        <v>1122</v>
      </c>
      <c r="C28" s="341">
        <f ca="1">SUM(INDIRECT(ADDRESS($C$13, 8, TRUE)):INDIRECT(ADDRESS($C$14, 8, TRUE)))</f>
        <v>1820</v>
      </c>
    </row>
    <row r="29" spans="1:30">
      <c r="B29" s="317" t="s">
        <v>1123</v>
      </c>
      <c r="C29" s="341">
        <f ca="1">SUM(INDIRECT(ADDRESS($C$13, 11, TRUE)):INDIRECT(ADDRESS($C$14, 11, TRUE)))</f>
        <v>1839</v>
      </c>
    </row>
    <row r="30" spans="1:30" ht="18.75">
      <c r="A30" s="85"/>
      <c r="B30" s="86" t="s">
        <v>541</v>
      </c>
      <c r="C30" s="87"/>
      <c r="D30" s="87"/>
      <c r="E30" s="87"/>
      <c r="F30" s="119"/>
      <c r="G30" s="143"/>
      <c r="H30" s="119"/>
      <c r="I30" s="119"/>
      <c r="J30" s="119"/>
      <c r="K30" s="173"/>
      <c r="L30" s="87"/>
      <c r="M30" s="87"/>
      <c r="N30" s="90"/>
      <c r="O30" s="90"/>
      <c r="P30" s="90"/>
      <c r="Q30" s="90"/>
      <c r="R30" s="90"/>
      <c r="S30" s="90"/>
      <c r="T30" s="90"/>
      <c r="U30" s="90"/>
      <c r="V30" s="90"/>
      <c r="W30" s="90"/>
      <c r="X30" s="90"/>
      <c r="Y30" s="90"/>
      <c r="Z30" s="90"/>
      <c r="AA30" s="90"/>
      <c r="AB30" s="90"/>
      <c r="AC30" s="90"/>
      <c r="AD30" s="90"/>
    </row>
    <row r="31" spans="1:30">
      <c r="A31" s="91"/>
      <c r="B31" s="92" t="s">
        <v>44</v>
      </c>
      <c r="C31" s="93"/>
      <c r="D31" s="93"/>
      <c r="E31" s="93"/>
      <c r="F31" s="120"/>
      <c r="G31" s="144"/>
      <c r="H31" s="120"/>
      <c r="I31" s="120"/>
      <c r="J31" s="120"/>
      <c r="K31" s="174"/>
      <c r="L31" s="93"/>
      <c r="M31" s="93"/>
      <c r="N31" s="146"/>
      <c r="O31" s="146"/>
      <c r="P31" s="146"/>
      <c r="Q31" s="146"/>
      <c r="R31" s="146"/>
      <c r="S31" s="146"/>
      <c r="T31" s="146"/>
      <c r="U31" s="146"/>
      <c r="V31" s="146"/>
      <c r="W31" s="146"/>
      <c r="X31" s="146"/>
      <c r="Y31" s="146"/>
      <c r="Z31" s="146"/>
      <c r="AA31" s="146"/>
      <c r="AB31" s="146"/>
      <c r="AC31" s="146"/>
      <c r="AD31" s="146"/>
    </row>
    <row r="32" spans="1:30">
      <c r="A32" s="96"/>
      <c r="B32" s="97" t="s">
        <v>542</v>
      </c>
      <c r="C32" s="98"/>
      <c r="D32" s="98"/>
      <c r="E32" s="98"/>
      <c r="F32" s="121"/>
      <c r="G32" s="145"/>
      <c r="H32" s="121"/>
      <c r="I32" s="121"/>
      <c r="J32" s="121"/>
      <c r="K32" s="175"/>
      <c r="L32" s="98"/>
      <c r="M32" s="98"/>
      <c r="N32" s="146"/>
      <c r="O32" s="146"/>
      <c r="P32" s="146"/>
      <c r="Q32" s="146"/>
      <c r="R32" s="146"/>
      <c r="S32" s="146"/>
      <c r="T32" s="146"/>
      <c r="U32" s="146"/>
      <c r="V32" s="146"/>
      <c r="W32" s="146"/>
      <c r="X32" s="146"/>
      <c r="Y32" s="146"/>
      <c r="Z32" s="146"/>
      <c r="AA32" s="146"/>
      <c r="AB32" s="146"/>
      <c r="AC32" s="146"/>
      <c r="AD32" s="146"/>
    </row>
    <row r="33" spans="1:13" ht="36">
      <c r="A33" s="101" t="s">
        <v>89</v>
      </c>
      <c r="B33" s="102" t="s">
        <v>90</v>
      </c>
      <c r="C33" s="101" t="s">
        <v>91</v>
      </c>
      <c r="D33" s="122" t="s">
        <v>92</v>
      </c>
      <c r="E33" s="123" t="s">
        <v>93</v>
      </c>
      <c r="F33" s="123" t="s">
        <v>94</v>
      </c>
    </row>
    <row r="34" spans="1:13" ht="22.5">
      <c r="A34" s="151">
        <v>215</v>
      </c>
      <c r="B34" s="665"/>
      <c r="C34" s="127" t="s">
        <v>544</v>
      </c>
      <c r="D34" s="135">
        <v>38857</v>
      </c>
      <c r="E34" s="128">
        <v>38903</v>
      </c>
      <c r="F34" s="129">
        <v>38902</v>
      </c>
      <c r="G34" s="34">
        <f t="shared" ref="G34:G69" si="0">IF(AND(NOT(ISBLANK(D34)),ISNUMBER(D34),     NOT(ISBLANK(E34)),ISNUMBER(E34),     NOT(ISBLANK(F34)),ISNUMBER(F34)),NETWORKDAYS(D34,F34)/NETWORKDAYS(D34,E34),"Not Used")</f>
        <v>0.96969696969696972</v>
      </c>
      <c r="H34" s="341">
        <f>F34-D34</f>
        <v>45</v>
      </c>
      <c r="I34" s="341">
        <f ca="1">H34/$C$28</f>
        <v>2.4725274725274724E-2</v>
      </c>
      <c r="J34" s="341">
        <f ca="1">G34*I34</f>
        <v>2.3976023976023976E-2</v>
      </c>
      <c r="K34">
        <f>E34-D34</f>
        <v>46</v>
      </c>
      <c r="L34">
        <f ca="1">K34/$C$29</f>
        <v>2.5013594344752584E-2</v>
      </c>
      <c r="M34">
        <f ca="1">G34*L34</f>
        <v>2.4255606637335839E-2</v>
      </c>
    </row>
    <row r="35" spans="1:13" ht="22.5">
      <c r="A35" s="151">
        <v>215</v>
      </c>
      <c r="B35" s="665"/>
      <c r="C35" s="126" t="s">
        <v>545</v>
      </c>
      <c r="D35" s="135">
        <v>38846</v>
      </c>
      <c r="E35" s="128">
        <v>38899</v>
      </c>
      <c r="F35" s="129">
        <v>38899</v>
      </c>
      <c r="G35" s="34">
        <f t="shared" si="0"/>
        <v>1</v>
      </c>
      <c r="H35" s="341">
        <f t="shared" ref="H35:H68" si="1">F35-D35</f>
        <v>53</v>
      </c>
      <c r="I35" s="341">
        <f t="shared" ref="I35:I69" ca="1" si="2">H35/$C$28</f>
        <v>2.9120879120879122E-2</v>
      </c>
      <c r="J35" s="341">
        <f t="shared" ref="J35:J68" ca="1" si="3">G35*I35</f>
        <v>2.9120879120879122E-2</v>
      </c>
      <c r="K35" s="341">
        <f t="shared" ref="K35:K69" si="4">E35-D35</f>
        <v>53</v>
      </c>
      <c r="L35" s="341">
        <f t="shared" ref="L35:L69" ca="1" si="5">K35/$C$29</f>
        <v>2.8820010875475803E-2</v>
      </c>
      <c r="M35" s="341">
        <f t="shared" ref="M35:M69" ca="1" si="6">G35*L35</f>
        <v>2.8820010875475803E-2</v>
      </c>
    </row>
    <row r="36" spans="1:13">
      <c r="A36" s="134">
        <v>218</v>
      </c>
      <c r="B36" s="82" t="s">
        <v>543</v>
      </c>
      <c r="C36" s="82" t="s">
        <v>546</v>
      </c>
      <c r="D36" s="124">
        <v>38898</v>
      </c>
      <c r="E36" s="124">
        <v>38905</v>
      </c>
      <c r="F36" s="124">
        <v>38905</v>
      </c>
      <c r="G36" s="34">
        <f t="shared" si="0"/>
        <v>1</v>
      </c>
      <c r="H36" s="341">
        <f t="shared" si="1"/>
        <v>7</v>
      </c>
      <c r="I36" s="341">
        <f t="shared" ca="1" si="2"/>
        <v>3.8461538461538464E-3</v>
      </c>
      <c r="J36" s="341">
        <f t="shared" ca="1" si="3"/>
        <v>3.8461538461538464E-3</v>
      </c>
      <c r="K36" s="341">
        <f t="shared" si="4"/>
        <v>7</v>
      </c>
      <c r="L36" s="341">
        <f t="shared" ca="1" si="5"/>
        <v>3.8064165307232192E-3</v>
      </c>
      <c r="M36" s="341">
        <f t="shared" ca="1" si="6"/>
        <v>3.8064165307232192E-3</v>
      </c>
    </row>
    <row r="37" spans="1:13">
      <c r="A37" s="134">
        <v>219</v>
      </c>
      <c r="B37" s="82" t="s">
        <v>543</v>
      </c>
      <c r="C37" s="82" t="s">
        <v>547</v>
      </c>
      <c r="D37" s="124">
        <v>38894</v>
      </c>
      <c r="E37" s="124">
        <v>38916</v>
      </c>
      <c r="F37" s="124">
        <v>38916</v>
      </c>
      <c r="G37" s="34">
        <f t="shared" si="0"/>
        <v>1</v>
      </c>
      <c r="H37" s="341">
        <f t="shared" si="1"/>
        <v>22</v>
      </c>
      <c r="I37" s="341">
        <f t="shared" ca="1" si="2"/>
        <v>1.2087912087912088E-2</v>
      </c>
      <c r="J37" s="341">
        <f t="shared" ca="1" si="3"/>
        <v>1.2087912087912088E-2</v>
      </c>
      <c r="K37" s="341">
        <f t="shared" si="4"/>
        <v>22</v>
      </c>
      <c r="L37" s="341">
        <f t="shared" ca="1" si="5"/>
        <v>1.1963023382272975E-2</v>
      </c>
      <c r="M37" s="341">
        <f t="shared" ca="1" si="6"/>
        <v>1.1963023382272975E-2</v>
      </c>
    </row>
    <row r="38" spans="1:13">
      <c r="A38" s="658">
        <v>229</v>
      </c>
      <c r="B38" s="661" t="s">
        <v>548</v>
      </c>
      <c r="C38" s="131" t="s">
        <v>549</v>
      </c>
      <c r="D38" s="132">
        <v>38914</v>
      </c>
      <c r="E38" s="132">
        <v>38932</v>
      </c>
      <c r="F38" s="132">
        <v>38932</v>
      </c>
      <c r="G38" s="34">
        <f t="shared" si="0"/>
        <v>1</v>
      </c>
      <c r="H38" s="341">
        <f t="shared" si="1"/>
        <v>18</v>
      </c>
      <c r="I38" s="341">
        <f t="shared" ca="1" si="2"/>
        <v>9.8901098901098897E-3</v>
      </c>
      <c r="J38" s="341">
        <f t="shared" ca="1" si="3"/>
        <v>9.8901098901098897E-3</v>
      </c>
      <c r="K38" s="341">
        <f t="shared" si="4"/>
        <v>18</v>
      </c>
      <c r="L38" s="341">
        <f t="shared" ca="1" si="5"/>
        <v>9.7879282218597055E-3</v>
      </c>
      <c r="M38" s="341">
        <f t="shared" ca="1" si="6"/>
        <v>9.7879282218597055E-3</v>
      </c>
    </row>
    <row r="39" spans="1:13">
      <c r="A39" s="662"/>
      <c r="B39" s="663"/>
      <c r="C39" s="127" t="s">
        <v>550</v>
      </c>
      <c r="D39" s="136">
        <v>38910</v>
      </c>
      <c r="E39" s="129">
        <v>38929</v>
      </c>
      <c r="F39" s="129">
        <v>38929</v>
      </c>
      <c r="G39" s="34">
        <f t="shared" si="0"/>
        <v>1</v>
      </c>
      <c r="H39" s="341">
        <f t="shared" si="1"/>
        <v>19</v>
      </c>
      <c r="I39" s="341">
        <f t="shared" ca="1" si="2"/>
        <v>1.0439560439560439E-2</v>
      </c>
      <c r="J39" s="341">
        <f t="shared" ca="1" si="3"/>
        <v>1.0439560439560439E-2</v>
      </c>
      <c r="K39" s="341">
        <f t="shared" si="4"/>
        <v>19</v>
      </c>
      <c r="L39" s="341">
        <f t="shared" ca="1" si="5"/>
        <v>1.0331702011963024E-2</v>
      </c>
      <c r="M39" s="341">
        <f t="shared" ca="1" si="6"/>
        <v>1.0331702011963024E-2</v>
      </c>
    </row>
    <row r="40" spans="1:13">
      <c r="A40" s="666"/>
      <c r="B40" s="664"/>
      <c r="C40" s="127" t="s">
        <v>551</v>
      </c>
      <c r="D40" s="136">
        <v>38849</v>
      </c>
      <c r="E40" s="128">
        <v>38915</v>
      </c>
      <c r="F40" s="129">
        <v>38925</v>
      </c>
      <c r="G40" s="34">
        <f t="shared" si="0"/>
        <v>1.1702127659574468</v>
      </c>
      <c r="H40" s="341">
        <f t="shared" si="1"/>
        <v>76</v>
      </c>
      <c r="I40" s="341">
        <f t="shared" ca="1" si="2"/>
        <v>4.1758241758241756E-2</v>
      </c>
      <c r="J40" s="341">
        <f t="shared" ca="1" si="3"/>
        <v>4.8866027589431843E-2</v>
      </c>
      <c r="K40" s="341">
        <f t="shared" si="4"/>
        <v>66</v>
      </c>
      <c r="L40" s="341">
        <f t="shared" ca="1" si="5"/>
        <v>3.588907014681892E-2</v>
      </c>
      <c r="M40" s="341">
        <f t="shared" ca="1" si="6"/>
        <v>4.1997848044149799E-2</v>
      </c>
    </row>
    <row r="41" spans="1:13">
      <c r="A41" s="134">
        <v>230</v>
      </c>
      <c r="B41" s="82" t="s">
        <v>543</v>
      </c>
      <c r="C41" s="82" t="s">
        <v>552</v>
      </c>
      <c r="D41" s="124">
        <v>38831</v>
      </c>
      <c r="E41" s="124">
        <v>38897</v>
      </c>
      <c r="F41" s="124">
        <v>38897</v>
      </c>
      <c r="G41" s="34">
        <f t="shared" si="0"/>
        <v>1</v>
      </c>
      <c r="H41" s="341">
        <f t="shared" si="1"/>
        <v>66</v>
      </c>
      <c r="I41" s="341">
        <f t="shared" ca="1" si="2"/>
        <v>3.6263736263736267E-2</v>
      </c>
      <c r="J41" s="341">
        <f t="shared" ca="1" si="3"/>
        <v>3.6263736263736267E-2</v>
      </c>
      <c r="K41" s="341">
        <f t="shared" si="4"/>
        <v>66</v>
      </c>
      <c r="L41" s="341">
        <f t="shared" ca="1" si="5"/>
        <v>3.588907014681892E-2</v>
      </c>
      <c r="M41" s="341">
        <f t="shared" ca="1" si="6"/>
        <v>3.588907014681892E-2</v>
      </c>
    </row>
    <row r="42" spans="1:13" ht="22.5">
      <c r="A42" s="147">
        <v>232</v>
      </c>
      <c r="B42" s="150" t="s">
        <v>553</v>
      </c>
      <c r="C42" s="127" t="s">
        <v>554</v>
      </c>
      <c r="D42" s="129">
        <v>38889</v>
      </c>
      <c r="E42" s="128">
        <v>38961</v>
      </c>
      <c r="F42" s="129">
        <v>38961</v>
      </c>
      <c r="G42" s="34">
        <f t="shared" si="0"/>
        <v>1</v>
      </c>
      <c r="H42" s="341">
        <f t="shared" si="1"/>
        <v>72</v>
      </c>
      <c r="I42" s="341">
        <f t="shared" ca="1" si="2"/>
        <v>3.9560439560439559E-2</v>
      </c>
      <c r="J42" s="341">
        <f t="shared" ca="1" si="3"/>
        <v>3.9560439560439559E-2</v>
      </c>
      <c r="K42" s="341">
        <f t="shared" si="4"/>
        <v>72</v>
      </c>
      <c r="L42" s="341">
        <f t="shared" ca="1" si="5"/>
        <v>3.9151712887438822E-2</v>
      </c>
      <c r="M42" s="341">
        <f t="shared" ca="1" si="6"/>
        <v>3.9151712887438822E-2</v>
      </c>
    </row>
    <row r="43" spans="1:13">
      <c r="A43" s="148"/>
      <c r="B43" s="148"/>
      <c r="C43" s="137" t="s">
        <v>555</v>
      </c>
      <c r="D43" s="129">
        <v>38856</v>
      </c>
      <c r="E43" s="128">
        <v>38957</v>
      </c>
      <c r="F43" s="129">
        <v>38957</v>
      </c>
      <c r="G43" s="34">
        <f t="shared" si="0"/>
        <v>1</v>
      </c>
      <c r="H43" s="341">
        <f t="shared" si="1"/>
        <v>101</v>
      </c>
      <c r="I43" s="341">
        <f t="shared" ca="1" si="2"/>
        <v>5.5494505494505492E-2</v>
      </c>
      <c r="J43" s="341">
        <f t="shared" ca="1" si="3"/>
        <v>5.5494505494505492E-2</v>
      </c>
      <c r="K43" s="341">
        <f t="shared" si="4"/>
        <v>101</v>
      </c>
      <c r="L43" s="341">
        <f t="shared" ca="1" si="5"/>
        <v>5.4921152800435018E-2</v>
      </c>
      <c r="M43" s="341">
        <f t="shared" ca="1" si="6"/>
        <v>5.4921152800435018E-2</v>
      </c>
    </row>
    <row r="44" spans="1:13">
      <c r="A44" s="148"/>
      <c r="B44" s="148"/>
      <c r="C44" s="137" t="s">
        <v>556</v>
      </c>
      <c r="D44" s="136">
        <v>38856</v>
      </c>
      <c r="E44" s="128">
        <v>38957</v>
      </c>
      <c r="F44" s="129">
        <v>38957</v>
      </c>
      <c r="G44" s="34">
        <f t="shared" si="0"/>
        <v>1</v>
      </c>
      <c r="H44" s="341">
        <f t="shared" si="1"/>
        <v>101</v>
      </c>
      <c r="I44" s="341">
        <f t="shared" ca="1" si="2"/>
        <v>5.5494505494505492E-2</v>
      </c>
      <c r="J44" s="341">
        <f t="shared" ca="1" si="3"/>
        <v>5.5494505494505492E-2</v>
      </c>
      <c r="K44" s="341">
        <f t="shared" si="4"/>
        <v>101</v>
      </c>
      <c r="L44" s="341">
        <f t="shared" ca="1" si="5"/>
        <v>5.4921152800435018E-2</v>
      </c>
      <c r="M44" s="341">
        <f t="shared" ca="1" si="6"/>
        <v>5.4921152800435018E-2</v>
      </c>
    </row>
    <row r="45" spans="1:13">
      <c r="A45" s="148"/>
      <c r="B45" s="148"/>
      <c r="C45" s="138" t="s">
        <v>557</v>
      </c>
      <c r="D45" s="136">
        <v>38931</v>
      </c>
      <c r="E45" s="139">
        <v>38961</v>
      </c>
      <c r="F45" s="129">
        <v>38961</v>
      </c>
      <c r="G45" s="34">
        <f t="shared" si="0"/>
        <v>1</v>
      </c>
      <c r="H45" s="341">
        <f t="shared" si="1"/>
        <v>30</v>
      </c>
      <c r="I45" s="341">
        <f t="shared" ca="1" si="2"/>
        <v>1.6483516483516484E-2</v>
      </c>
      <c r="J45" s="341">
        <f t="shared" ca="1" si="3"/>
        <v>1.6483516483516484E-2</v>
      </c>
      <c r="K45" s="341">
        <f t="shared" si="4"/>
        <v>30</v>
      </c>
      <c r="L45" s="341">
        <f t="shared" ca="1" si="5"/>
        <v>1.6313213703099509E-2</v>
      </c>
      <c r="M45" s="341">
        <f t="shared" ca="1" si="6"/>
        <v>1.6313213703099509E-2</v>
      </c>
    </row>
    <row r="46" spans="1:13" ht="22.5">
      <c r="A46" s="149"/>
      <c r="B46" s="149"/>
      <c r="C46" s="138" t="s">
        <v>558</v>
      </c>
      <c r="D46" s="136">
        <v>38922</v>
      </c>
      <c r="E46" s="139">
        <v>38957</v>
      </c>
      <c r="F46" s="129">
        <v>38957</v>
      </c>
      <c r="G46" s="34">
        <f t="shared" si="0"/>
        <v>1</v>
      </c>
      <c r="H46" s="341">
        <f t="shared" si="1"/>
        <v>35</v>
      </c>
      <c r="I46" s="341">
        <f t="shared" ca="1" si="2"/>
        <v>1.9230769230769232E-2</v>
      </c>
      <c r="J46" s="341">
        <f t="shared" ca="1" si="3"/>
        <v>1.9230769230769232E-2</v>
      </c>
      <c r="K46" s="341">
        <f t="shared" si="4"/>
        <v>35</v>
      </c>
      <c r="L46" s="341">
        <f t="shared" ca="1" si="5"/>
        <v>1.9032082653616094E-2</v>
      </c>
      <c r="M46" s="341">
        <f t="shared" ca="1" si="6"/>
        <v>1.9032082653616094E-2</v>
      </c>
    </row>
    <row r="47" spans="1:13">
      <c r="A47" s="134">
        <v>233</v>
      </c>
      <c r="B47" s="82" t="s">
        <v>543</v>
      </c>
      <c r="C47" s="82" t="s">
        <v>559</v>
      </c>
      <c r="D47" s="124">
        <v>38930</v>
      </c>
      <c r="E47" s="124">
        <v>38950</v>
      </c>
      <c r="F47" s="106">
        <v>38950</v>
      </c>
      <c r="G47" s="34">
        <f t="shared" si="0"/>
        <v>1</v>
      </c>
      <c r="H47" s="341">
        <f t="shared" si="1"/>
        <v>20</v>
      </c>
      <c r="I47" s="341">
        <f t="shared" ca="1" si="2"/>
        <v>1.098901098901099E-2</v>
      </c>
      <c r="J47" s="341">
        <f t="shared" ca="1" si="3"/>
        <v>1.098901098901099E-2</v>
      </c>
      <c r="K47" s="341">
        <f t="shared" si="4"/>
        <v>20</v>
      </c>
      <c r="L47" s="341">
        <f t="shared" ca="1" si="5"/>
        <v>1.0875475802066341E-2</v>
      </c>
      <c r="M47" s="341">
        <f t="shared" ca="1" si="6"/>
        <v>1.0875475802066341E-2</v>
      </c>
    </row>
    <row r="48" spans="1:13" ht="22.5">
      <c r="A48" s="134">
        <v>236</v>
      </c>
      <c r="B48" s="82" t="s">
        <v>543</v>
      </c>
      <c r="C48" s="82" t="s">
        <v>560</v>
      </c>
      <c r="D48" s="124">
        <v>38835</v>
      </c>
      <c r="E48" s="124">
        <v>38926</v>
      </c>
      <c r="F48" s="133">
        <v>38926</v>
      </c>
      <c r="G48" s="34">
        <f t="shared" si="0"/>
        <v>1</v>
      </c>
      <c r="H48" s="341">
        <f t="shared" si="1"/>
        <v>91</v>
      </c>
      <c r="I48" s="341">
        <f t="shared" ca="1" si="2"/>
        <v>0.05</v>
      </c>
      <c r="J48" s="341">
        <f t="shared" ca="1" si="3"/>
        <v>0.05</v>
      </c>
      <c r="K48" s="341">
        <f t="shared" si="4"/>
        <v>91</v>
      </c>
      <c r="L48" s="341">
        <f t="shared" ca="1" si="5"/>
        <v>4.9483414899401848E-2</v>
      </c>
      <c r="M48" s="341">
        <f t="shared" ca="1" si="6"/>
        <v>4.9483414899401848E-2</v>
      </c>
    </row>
    <row r="49" spans="1:13" ht="22.5">
      <c r="A49" s="134">
        <v>237</v>
      </c>
      <c r="B49" s="82" t="s">
        <v>543</v>
      </c>
      <c r="C49" s="82" t="s">
        <v>561</v>
      </c>
      <c r="D49" s="124">
        <v>38896</v>
      </c>
      <c r="E49" s="124">
        <v>38939</v>
      </c>
      <c r="F49" s="124">
        <v>38939</v>
      </c>
      <c r="G49" s="34">
        <f t="shared" si="0"/>
        <v>1</v>
      </c>
      <c r="H49" s="341">
        <f t="shared" si="1"/>
        <v>43</v>
      </c>
      <c r="I49" s="341">
        <f t="shared" ca="1" si="2"/>
        <v>2.3626373626373626E-2</v>
      </c>
      <c r="J49" s="341">
        <f t="shared" ca="1" si="3"/>
        <v>2.3626373626373626E-2</v>
      </c>
      <c r="K49" s="341">
        <f t="shared" si="4"/>
        <v>43</v>
      </c>
      <c r="L49" s="341">
        <f t="shared" ca="1" si="5"/>
        <v>2.3382272974442633E-2</v>
      </c>
      <c r="M49" s="341">
        <f t="shared" ca="1" si="6"/>
        <v>2.3382272974442633E-2</v>
      </c>
    </row>
    <row r="50" spans="1:13">
      <c r="A50" s="658">
        <v>238</v>
      </c>
      <c r="B50" s="661" t="s">
        <v>562</v>
      </c>
      <c r="C50" s="140" t="s">
        <v>563</v>
      </c>
      <c r="D50" s="132">
        <v>38903</v>
      </c>
      <c r="E50" s="132">
        <v>38968</v>
      </c>
      <c r="F50" s="132">
        <v>38968</v>
      </c>
      <c r="G50" s="34">
        <f t="shared" si="0"/>
        <v>1</v>
      </c>
      <c r="H50" s="341">
        <f t="shared" si="1"/>
        <v>65</v>
      </c>
      <c r="I50" s="341">
        <f t="shared" ca="1" si="2"/>
        <v>3.5714285714285712E-2</v>
      </c>
      <c r="J50" s="341">
        <f t="shared" ca="1" si="3"/>
        <v>3.5714285714285712E-2</v>
      </c>
      <c r="K50" s="341">
        <f t="shared" si="4"/>
        <v>65</v>
      </c>
      <c r="L50" s="341">
        <f t="shared" ca="1" si="5"/>
        <v>3.5345296356715607E-2</v>
      </c>
      <c r="M50" s="341">
        <f t="shared" ca="1" si="6"/>
        <v>3.5345296356715607E-2</v>
      </c>
    </row>
    <row r="51" spans="1:13">
      <c r="A51" s="662"/>
      <c r="B51" s="663"/>
      <c r="C51" s="152" t="s">
        <v>564</v>
      </c>
      <c r="D51" s="129">
        <v>38840</v>
      </c>
      <c r="E51" s="128">
        <v>38984</v>
      </c>
      <c r="F51" s="129">
        <v>38984</v>
      </c>
      <c r="G51" s="34">
        <f t="shared" si="0"/>
        <v>1</v>
      </c>
      <c r="H51" s="341">
        <f t="shared" si="1"/>
        <v>144</v>
      </c>
      <c r="I51" s="341">
        <f t="shared" ca="1" si="2"/>
        <v>7.9120879120879117E-2</v>
      </c>
      <c r="J51" s="341">
        <f t="shared" ca="1" si="3"/>
        <v>7.9120879120879117E-2</v>
      </c>
      <c r="K51" s="341">
        <f t="shared" si="4"/>
        <v>144</v>
      </c>
      <c r="L51" s="341">
        <f t="shared" ca="1" si="5"/>
        <v>7.8303425774877644E-2</v>
      </c>
      <c r="M51" s="341">
        <f t="shared" ca="1" si="6"/>
        <v>7.8303425774877644E-2</v>
      </c>
    </row>
    <row r="52" spans="1:13">
      <c r="A52" s="659"/>
      <c r="B52" s="663"/>
      <c r="C52" s="127" t="s">
        <v>565</v>
      </c>
      <c r="D52" s="129">
        <v>38775</v>
      </c>
      <c r="E52" s="128">
        <v>38992</v>
      </c>
      <c r="F52" s="129">
        <v>38996</v>
      </c>
      <c r="G52" s="34">
        <f t="shared" si="0"/>
        <v>1.0256410256410255</v>
      </c>
      <c r="H52" s="341">
        <f t="shared" si="1"/>
        <v>221</v>
      </c>
      <c r="I52" s="341">
        <f t="shared" ca="1" si="2"/>
        <v>0.12142857142857143</v>
      </c>
      <c r="J52" s="341">
        <f t="shared" ca="1" si="3"/>
        <v>0.12454212454212453</v>
      </c>
      <c r="K52" s="341">
        <f t="shared" si="4"/>
        <v>217</v>
      </c>
      <c r="L52" s="341">
        <f t="shared" ca="1" si="5"/>
        <v>0.11799891245241979</v>
      </c>
      <c r="M52" s="341">
        <f t="shared" ca="1" si="6"/>
        <v>0.12102452559222542</v>
      </c>
    </row>
    <row r="53" spans="1:13">
      <c r="A53" s="659"/>
      <c r="B53" s="663"/>
      <c r="C53" s="127" t="s">
        <v>566</v>
      </c>
      <c r="D53" s="129">
        <v>38944</v>
      </c>
      <c r="E53" s="128">
        <v>38992</v>
      </c>
      <c r="F53" s="129">
        <v>38996</v>
      </c>
      <c r="G53" s="34">
        <f t="shared" si="0"/>
        <v>1.1142857142857143</v>
      </c>
      <c r="H53" s="341">
        <f t="shared" si="1"/>
        <v>52</v>
      </c>
      <c r="I53" s="341">
        <f t="shared" ca="1" si="2"/>
        <v>2.8571428571428571E-2</v>
      </c>
      <c r="J53" s="341">
        <f t="shared" ca="1" si="3"/>
        <v>3.1836734693877551E-2</v>
      </c>
      <c r="K53" s="341">
        <f t="shared" si="4"/>
        <v>48</v>
      </c>
      <c r="L53" s="341">
        <f t="shared" ca="1" si="5"/>
        <v>2.6101141924959218E-2</v>
      </c>
      <c r="M53" s="341">
        <f t="shared" ca="1" si="6"/>
        <v>2.9084129573525987E-2</v>
      </c>
    </row>
    <row r="54" spans="1:13">
      <c r="A54" s="659"/>
      <c r="B54" s="663"/>
      <c r="C54" s="127" t="s">
        <v>567</v>
      </c>
      <c r="D54" s="129">
        <v>38966</v>
      </c>
      <c r="E54" s="128">
        <v>38992</v>
      </c>
      <c r="F54" s="129">
        <v>38992</v>
      </c>
      <c r="G54" s="34">
        <f t="shared" si="0"/>
        <v>1</v>
      </c>
      <c r="H54" s="341">
        <f t="shared" si="1"/>
        <v>26</v>
      </c>
      <c r="I54" s="341">
        <f t="shared" ca="1" si="2"/>
        <v>1.4285714285714285E-2</v>
      </c>
      <c r="J54" s="341">
        <f t="shared" ca="1" si="3"/>
        <v>1.4285714285714285E-2</v>
      </c>
      <c r="K54" s="341">
        <f t="shared" si="4"/>
        <v>26</v>
      </c>
      <c r="L54" s="341">
        <f t="shared" ca="1" si="5"/>
        <v>1.4138118542686243E-2</v>
      </c>
      <c r="M54" s="341">
        <f t="shared" ca="1" si="6"/>
        <v>1.4138118542686243E-2</v>
      </c>
    </row>
    <row r="55" spans="1:13">
      <c r="A55" s="659"/>
      <c r="B55" s="663"/>
      <c r="C55" s="127" t="s">
        <v>567</v>
      </c>
      <c r="D55" s="129">
        <v>38974</v>
      </c>
      <c r="E55" s="128">
        <v>38992</v>
      </c>
      <c r="F55" s="129">
        <v>38992</v>
      </c>
      <c r="G55" s="34">
        <f t="shared" si="0"/>
        <v>1</v>
      </c>
      <c r="H55" s="341">
        <f t="shared" si="1"/>
        <v>18</v>
      </c>
      <c r="I55" s="341">
        <f t="shared" ca="1" si="2"/>
        <v>9.8901098901098897E-3</v>
      </c>
      <c r="J55" s="341">
        <f t="shared" ca="1" si="3"/>
        <v>9.8901098901098897E-3</v>
      </c>
      <c r="K55" s="341">
        <f t="shared" si="4"/>
        <v>18</v>
      </c>
      <c r="L55" s="341">
        <f t="shared" ca="1" si="5"/>
        <v>9.7879282218597055E-3</v>
      </c>
      <c r="M55" s="341">
        <f t="shared" ca="1" si="6"/>
        <v>9.7879282218597055E-3</v>
      </c>
    </row>
    <row r="56" spans="1:13">
      <c r="A56" s="660"/>
      <c r="B56" s="664"/>
      <c r="C56" s="141" t="s">
        <v>568</v>
      </c>
      <c r="D56" s="129">
        <v>38965</v>
      </c>
      <c r="E56" s="128">
        <v>38992</v>
      </c>
      <c r="F56" s="129">
        <v>38992</v>
      </c>
      <c r="G56" s="34">
        <f t="shared" si="0"/>
        <v>1</v>
      </c>
      <c r="H56" s="341">
        <f t="shared" si="1"/>
        <v>27</v>
      </c>
      <c r="I56" s="341">
        <f t="shared" ca="1" si="2"/>
        <v>1.4835164835164835E-2</v>
      </c>
      <c r="J56" s="341">
        <f t="shared" ca="1" si="3"/>
        <v>1.4835164835164835E-2</v>
      </c>
      <c r="K56" s="341">
        <f t="shared" si="4"/>
        <v>27</v>
      </c>
      <c r="L56" s="341">
        <f t="shared" ca="1" si="5"/>
        <v>1.468189233278956E-2</v>
      </c>
      <c r="M56" s="341">
        <f t="shared" ca="1" si="6"/>
        <v>1.468189233278956E-2</v>
      </c>
    </row>
    <row r="57" spans="1:13">
      <c r="A57" s="658">
        <v>239</v>
      </c>
      <c r="B57" s="661" t="s">
        <v>569</v>
      </c>
      <c r="C57" s="131" t="s">
        <v>570</v>
      </c>
      <c r="D57" s="132">
        <v>38959</v>
      </c>
      <c r="E57" s="128">
        <v>39027</v>
      </c>
      <c r="F57" s="132">
        <v>39027</v>
      </c>
      <c r="G57" s="34">
        <f t="shared" si="0"/>
        <v>1</v>
      </c>
      <c r="H57" s="341">
        <f t="shared" si="1"/>
        <v>68</v>
      </c>
      <c r="I57" s="341">
        <f t="shared" ca="1" si="2"/>
        <v>3.7362637362637362E-2</v>
      </c>
      <c r="J57" s="341">
        <f t="shared" ca="1" si="3"/>
        <v>3.7362637362637362E-2</v>
      </c>
      <c r="K57" s="341">
        <f t="shared" si="4"/>
        <v>68</v>
      </c>
      <c r="L57" s="341">
        <f t="shared" ca="1" si="5"/>
        <v>3.6976617727025554E-2</v>
      </c>
      <c r="M57" s="341">
        <f t="shared" ca="1" si="6"/>
        <v>3.6976617727025554E-2</v>
      </c>
    </row>
    <row r="58" spans="1:13">
      <c r="A58" s="659"/>
      <c r="B58" s="659"/>
      <c r="C58" s="152" t="s">
        <v>571</v>
      </c>
      <c r="D58" s="129">
        <v>38967</v>
      </c>
      <c r="E58" s="128">
        <v>39027</v>
      </c>
      <c r="F58" s="129">
        <v>39027</v>
      </c>
      <c r="G58" s="34">
        <f t="shared" si="0"/>
        <v>1</v>
      </c>
      <c r="H58" s="341">
        <f t="shared" si="1"/>
        <v>60</v>
      </c>
      <c r="I58" s="341">
        <f t="shared" ca="1" si="2"/>
        <v>3.2967032967032968E-2</v>
      </c>
      <c r="J58" s="341">
        <f t="shared" ca="1" si="3"/>
        <v>3.2967032967032968E-2</v>
      </c>
      <c r="K58" s="341">
        <f t="shared" si="4"/>
        <v>60</v>
      </c>
      <c r="L58" s="341">
        <f t="shared" ca="1" si="5"/>
        <v>3.2626427406199018E-2</v>
      </c>
      <c r="M58" s="341">
        <f t="shared" ca="1" si="6"/>
        <v>3.2626427406199018E-2</v>
      </c>
    </row>
    <row r="59" spans="1:13">
      <c r="A59" s="659"/>
      <c r="B59" s="659"/>
      <c r="C59" s="152" t="s">
        <v>572</v>
      </c>
      <c r="D59" s="129">
        <v>38967</v>
      </c>
      <c r="E59" s="128">
        <v>39027</v>
      </c>
      <c r="F59" s="129">
        <v>39027</v>
      </c>
      <c r="G59" s="34">
        <f t="shared" si="0"/>
        <v>1</v>
      </c>
      <c r="H59" s="341">
        <f t="shared" si="1"/>
        <v>60</v>
      </c>
      <c r="I59" s="341">
        <f t="shared" ca="1" si="2"/>
        <v>3.2967032967032968E-2</v>
      </c>
      <c r="J59" s="341">
        <f t="shared" ca="1" si="3"/>
        <v>3.2967032967032968E-2</v>
      </c>
      <c r="K59" s="341">
        <f t="shared" si="4"/>
        <v>60</v>
      </c>
      <c r="L59" s="341">
        <f t="shared" ca="1" si="5"/>
        <v>3.2626427406199018E-2</v>
      </c>
      <c r="M59" s="341">
        <f t="shared" ca="1" si="6"/>
        <v>3.2626427406199018E-2</v>
      </c>
    </row>
    <row r="60" spans="1:13">
      <c r="A60" s="659"/>
      <c r="B60" s="659"/>
      <c r="C60" s="152" t="s">
        <v>573</v>
      </c>
      <c r="D60" s="129">
        <v>38965</v>
      </c>
      <c r="E60" s="139">
        <v>39018</v>
      </c>
      <c r="F60" s="129">
        <v>39018</v>
      </c>
      <c r="G60" s="34">
        <f t="shared" si="0"/>
        <v>1</v>
      </c>
      <c r="H60" s="341">
        <f t="shared" si="1"/>
        <v>53</v>
      </c>
      <c r="I60" s="341">
        <f t="shared" ca="1" si="2"/>
        <v>2.9120879120879122E-2</v>
      </c>
      <c r="J60" s="341">
        <f t="shared" ca="1" si="3"/>
        <v>2.9120879120879122E-2</v>
      </c>
      <c r="K60" s="341">
        <f t="shared" si="4"/>
        <v>53</v>
      </c>
      <c r="L60" s="341">
        <f t="shared" ca="1" si="5"/>
        <v>2.8820010875475803E-2</v>
      </c>
      <c r="M60" s="341">
        <f t="shared" ca="1" si="6"/>
        <v>2.8820010875475803E-2</v>
      </c>
    </row>
    <row r="61" spans="1:13">
      <c r="A61" s="659"/>
      <c r="B61" s="659"/>
      <c r="C61" s="152" t="s">
        <v>574</v>
      </c>
      <c r="D61" s="129">
        <v>38973</v>
      </c>
      <c r="E61" s="139">
        <v>39021</v>
      </c>
      <c r="F61" s="129">
        <v>38996</v>
      </c>
      <c r="G61" s="34">
        <f t="shared" si="0"/>
        <v>0.51428571428571423</v>
      </c>
      <c r="H61" s="341">
        <f t="shared" si="1"/>
        <v>23</v>
      </c>
      <c r="I61" s="341">
        <f t="shared" ca="1" si="2"/>
        <v>1.2637362637362638E-2</v>
      </c>
      <c r="J61" s="341">
        <f t="shared" ca="1" si="3"/>
        <v>6.4992150706436411E-3</v>
      </c>
      <c r="K61" s="341">
        <f t="shared" si="4"/>
        <v>48</v>
      </c>
      <c r="L61" s="341">
        <f t="shared" ca="1" si="5"/>
        <v>2.6101141924959218E-2</v>
      </c>
      <c r="M61" s="341">
        <f t="shared" ca="1" si="6"/>
        <v>1.3423444418550454E-2</v>
      </c>
    </row>
    <row r="62" spans="1:13">
      <c r="A62" s="659"/>
      <c r="B62" s="659"/>
      <c r="C62" s="152" t="s">
        <v>575</v>
      </c>
      <c r="D62" s="129">
        <v>38985</v>
      </c>
      <c r="E62" s="139">
        <v>39022</v>
      </c>
      <c r="F62" s="129">
        <v>39022</v>
      </c>
      <c r="G62" s="34">
        <f t="shared" si="0"/>
        <v>1</v>
      </c>
      <c r="H62" s="341">
        <f t="shared" si="1"/>
        <v>37</v>
      </c>
      <c r="I62" s="341">
        <f t="shared" ca="1" si="2"/>
        <v>2.032967032967033E-2</v>
      </c>
      <c r="J62" s="341">
        <f t="shared" ca="1" si="3"/>
        <v>2.032967032967033E-2</v>
      </c>
      <c r="K62" s="341">
        <f t="shared" si="4"/>
        <v>37</v>
      </c>
      <c r="L62" s="341">
        <f t="shared" ca="1" si="5"/>
        <v>2.0119630233822731E-2</v>
      </c>
      <c r="M62" s="341">
        <f t="shared" ca="1" si="6"/>
        <v>2.0119630233822731E-2</v>
      </c>
    </row>
    <row r="63" spans="1:13" ht="22.5">
      <c r="A63" s="659"/>
      <c r="B63" s="659"/>
      <c r="C63" s="152" t="s">
        <v>576</v>
      </c>
      <c r="D63" s="129">
        <v>38993</v>
      </c>
      <c r="E63" s="128">
        <v>39027</v>
      </c>
      <c r="F63" s="129">
        <v>39027</v>
      </c>
      <c r="G63" s="34">
        <f t="shared" si="0"/>
        <v>1</v>
      </c>
      <c r="H63" s="341">
        <f t="shared" si="1"/>
        <v>34</v>
      </c>
      <c r="I63" s="341">
        <f t="shared" ca="1" si="2"/>
        <v>1.8681318681318681E-2</v>
      </c>
      <c r="J63" s="341">
        <f t="shared" ca="1" si="3"/>
        <v>1.8681318681318681E-2</v>
      </c>
      <c r="K63" s="341">
        <f t="shared" si="4"/>
        <v>34</v>
      </c>
      <c r="L63" s="341">
        <f t="shared" ca="1" si="5"/>
        <v>1.8488308863512777E-2</v>
      </c>
      <c r="M63" s="341">
        <f t="shared" ca="1" si="6"/>
        <v>1.8488308863512777E-2</v>
      </c>
    </row>
    <row r="64" spans="1:13">
      <c r="A64" s="659"/>
      <c r="B64" s="659"/>
      <c r="C64" s="152" t="s">
        <v>577</v>
      </c>
      <c r="D64" s="129">
        <v>39007</v>
      </c>
      <c r="E64" s="128">
        <v>39027</v>
      </c>
      <c r="F64" s="129">
        <v>39027</v>
      </c>
      <c r="G64" s="34">
        <f t="shared" si="0"/>
        <v>1</v>
      </c>
      <c r="H64" s="341">
        <f t="shared" si="1"/>
        <v>20</v>
      </c>
      <c r="I64" s="341">
        <f t="shared" ca="1" si="2"/>
        <v>1.098901098901099E-2</v>
      </c>
      <c r="J64" s="341">
        <f t="shared" ca="1" si="3"/>
        <v>1.098901098901099E-2</v>
      </c>
      <c r="K64" s="341">
        <f t="shared" si="4"/>
        <v>20</v>
      </c>
      <c r="L64" s="341">
        <f t="shared" ca="1" si="5"/>
        <v>1.0875475802066341E-2</v>
      </c>
      <c r="M64" s="341">
        <f t="shared" ca="1" si="6"/>
        <v>1.0875475802066341E-2</v>
      </c>
    </row>
    <row r="65" spans="1:13">
      <c r="A65" s="660"/>
      <c r="B65" s="660"/>
      <c r="C65" s="141" t="s">
        <v>578</v>
      </c>
      <c r="D65" s="125">
        <v>38995</v>
      </c>
      <c r="E65" s="130">
        <v>39003</v>
      </c>
      <c r="F65" s="125">
        <v>39003</v>
      </c>
      <c r="G65" s="34">
        <f t="shared" si="0"/>
        <v>1</v>
      </c>
      <c r="H65" s="341">
        <f t="shared" si="1"/>
        <v>8</v>
      </c>
      <c r="I65" s="341">
        <f t="shared" ca="1" si="2"/>
        <v>4.3956043956043956E-3</v>
      </c>
      <c r="J65" s="341">
        <f t="shared" ca="1" si="3"/>
        <v>4.3956043956043956E-3</v>
      </c>
      <c r="K65" s="341">
        <f t="shared" si="4"/>
        <v>8</v>
      </c>
      <c r="L65" s="341">
        <f t="shared" ca="1" si="5"/>
        <v>4.3501903208265358E-3</v>
      </c>
      <c r="M65" s="341">
        <f t="shared" ca="1" si="6"/>
        <v>4.3501903208265358E-3</v>
      </c>
    </row>
    <row r="66" spans="1:13" ht="22.5">
      <c r="A66" s="134">
        <v>240</v>
      </c>
      <c r="B66" s="82" t="s">
        <v>543</v>
      </c>
      <c r="C66" s="82" t="s">
        <v>579</v>
      </c>
      <c r="D66" s="124">
        <v>38953</v>
      </c>
      <c r="E66" s="124">
        <v>38986</v>
      </c>
      <c r="F66" s="124">
        <v>38986</v>
      </c>
      <c r="G66" s="34">
        <f t="shared" si="0"/>
        <v>1</v>
      </c>
      <c r="H66" s="341">
        <f t="shared" si="1"/>
        <v>33</v>
      </c>
      <c r="I66" s="341">
        <f t="shared" ca="1" si="2"/>
        <v>1.8131868131868133E-2</v>
      </c>
      <c r="J66" s="341">
        <f t="shared" ca="1" si="3"/>
        <v>1.8131868131868133E-2</v>
      </c>
      <c r="K66" s="341">
        <f t="shared" si="4"/>
        <v>33</v>
      </c>
      <c r="L66" s="341">
        <f t="shared" ca="1" si="5"/>
        <v>1.794453507340946E-2</v>
      </c>
      <c r="M66" s="341">
        <f t="shared" ca="1" si="6"/>
        <v>1.794453507340946E-2</v>
      </c>
    </row>
    <row r="67" spans="1:13" ht="22.5">
      <c r="A67" s="658">
        <v>243</v>
      </c>
      <c r="B67" s="661" t="s">
        <v>580</v>
      </c>
      <c r="C67" s="131" t="s">
        <v>581</v>
      </c>
      <c r="D67" s="132">
        <v>38992</v>
      </c>
      <c r="E67" s="142">
        <v>39036</v>
      </c>
      <c r="F67" s="132">
        <v>39033</v>
      </c>
      <c r="G67" s="34">
        <f t="shared" si="0"/>
        <v>0.90909090909090906</v>
      </c>
      <c r="H67" s="341">
        <f t="shared" si="1"/>
        <v>41</v>
      </c>
      <c r="I67" s="341">
        <f t="shared" ca="1" si="2"/>
        <v>2.2527472527472527E-2</v>
      </c>
      <c r="J67" s="341">
        <f t="shared" ca="1" si="3"/>
        <v>2.047952047952048E-2</v>
      </c>
      <c r="K67" s="341">
        <f t="shared" si="4"/>
        <v>44</v>
      </c>
      <c r="L67" s="341">
        <f t="shared" ca="1" si="5"/>
        <v>2.392604676454595E-2</v>
      </c>
      <c r="M67" s="341">
        <f t="shared" ca="1" si="6"/>
        <v>2.1750951604132682E-2</v>
      </c>
    </row>
    <row r="68" spans="1:13">
      <c r="A68" s="659"/>
      <c r="B68" s="659"/>
      <c r="C68" s="152" t="s">
        <v>582</v>
      </c>
      <c r="D68" s="129">
        <v>39034</v>
      </c>
      <c r="E68" s="128">
        <v>39052</v>
      </c>
      <c r="F68" s="136">
        <v>39052</v>
      </c>
      <c r="G68" s="34">
        <f t="shared" si="0"/>
        <v>1</v>
      </c>
      <c r="H68" s="341">
        <f t="shared" si="1"/>
        <v>18</v>
      </c>
      <c r="I68" s="341">
        <f t="shared" ca="1" si="2"/>
        <v>9.8901098901098897E-3</v>
      </c>
      <c r="J68" s="341">
        <f t="shared" ca="1" si="3"/>
        <v>9.8901098901098897E-3</v>
      </c>
      <c r="K68" s="341">
        <f t="shared" si="4"/>
        <v>18</v>
      </c>
      <c r="L68" s="341">
        <f t="shared" ca="1" si="5"/>
        <v>9.7879282218597055E-3</v>
      </c>
      <c r="M68" s="341">
        <f t="shared" ca="1" si="6"/>
        <v>9.7879282218597055E-3</v>
      </c>
    </row>
    <row r="69" spans="1:13" ht="22.5">
      <c r="A69" s="660"/>
      <c r="B69" s="660"/>
      <c r="C69" s="152" t="s">
        <v>583</v>
      </c>
      <c r="D69" s="129">
        <v>39030</v>
      </c>
      <c r="E69" s="128">
        <v>39051</v>
      </c>
      <c r="F69" s="136">
        <v>39043</v>
      </c>
      <c r="G69" s="34">
        <f t="shared" si="0"/>
        <v>0.625</v>
      </c>
      <c r="H69" s="341">
        <f t="shared" ref="H69" si="7">F69-D69</f>
        <v>13</v>
      </c>
      <c r="I69" s="341">
        <f t="shared" ca="1" si="2"/>
        <v>7.1428571428571426E-3</v>
      </c>
      <c r="J69" s="341">
        <f t="shared" ref="J69" ca="1" si="8">G69*I69</f>
        <v>4.464285714285714E-3</v>
      </c>
      <c r="K69" s="341">
        <f t="shared" si="4"/>
        <v>21</v>
      </c>
      <c r="L69" s="341">
        <f t="shared" ca="1" si="5"/>
        <v>1.1419249592169658E-2</v>
      </c>
      <c r="M69" s="341">
        <f t="shared" ca="1" si="6"/>
        <v>7.1370309951060366E-3</v>
      </c>
    </row>
  </sheetData>
  <mergeCells count="9">
    <mergeCell ref="A67:A69"/>
    <mergeCell ref="B67:B69"/>
    <mergeCell ref="A50:A56"/>
    <mergeCell ref="B50:B56"/>
    <mergeCell ref="B34:B35"/>
    <mergeCell ref="A38:A40"/>
    <mergeCell ref="B38:B40"/>
    <mergeCell ref="A57:A65"/>
    <mergeCell ref="B57:B65"/>
  </mergeCells>
  <dataValidations count="2">
    <dataValidation allowBlank="1" showInputMessage="1" showErrorMessage="1" errorTitle="Input Invalid" error="Selection must be from drop down list." sqref="E33:F33 D34:F69"/>
    <dataValidation type="list" allowBlank="1" showDropDown="1" showInputMessage="1" errorTitle="Input Invalid" error="Selection must be from drop down list." sqref="D33">
      <formula1>$GC$6:$GC$12</formula1>
    </dataValidation>
  </dataValidations>
  <hyperlinks>
    <hyperlink ref="A2" location="'On-Time Delivery Data'!A1" display="On-Time Delivery Data"/>
    <hyperlink ref="A1" location="'Table of Contents'!A1" display="Table of Contents"/>
  </hyperlinks>
  <pageMargins left="0.25" right="0.25" top="0.75" bottom="0.75" header="0.3" footer="0.3"/>
  <pageSetup orientation="landscape" r:id="rId1"/>
  <headerFooter>
    <oddFooter>&amp;L&amp;5&amp;Z&amp;F
Created: 9/29/2006 10:44:00 PM
Last Saved: 2/5/2008 9:15:17 PM
Last Printed: 2/5/2008 6:12:16 PM&amp;R&amp;5&amp;P - &amp;N
Title :&lt;Not Set&gt;
Subject: &lt;Not Set&gt;</oddFooter>
  </headerFooter>
  <drawing r:id="rId2"/>
</worksheet>
</file>

<file path=xl/worksheets/sheet22.xml><?xml version="1.0" encoding="utf-8"?>
<worksheet xmlns="http://schemas.openxmlformats.org/spreadsheetml/2006/main" xmlns:r="http://schemas.openxmlformats.org/officeDocument/2006/relationships">
  <sheetPr codeName="Sheet13"/>
  <dimension ref="A1:HF43"/>
  <sheetViews>
    <sheetView workbookViewId="0"/>
  </sheetViews>
  <sheetFormatPr defaultRowHeight="12.75"/>
  <cols>
    <col min="1" max="1" width="5.7109375" customWidth="1"/>
    <col min="2" max="2" width="30.7109375" customWidth="1"/>
    <col min="3" max="3" width="50.7109375" customWidth="1"/>
    <col min="4" max="6" width="12.7109375" customWidth="1"/>
    <col min="7" max="7" width="10.7109375" style="34" customWidth="1"/>
  </cols>
  <sheetData>
    <row r="1" spans="1:3">
      <c r="A1" s="5" t="s">
        <v>30</v>
      </c>
    </row>
    <row r="2" spans="1:3">
      <c r="A2" s="5" t="s">
        <v>60</v>
      </c>
    </row>
    <row r="4" spans="1:3">
      <c r="B4" s="118" t="s">
        <v>420</v>
      </c>
      <c r="C4" s="118" t="s">
        <v>441</v>
      </c>
    </row>
    <row r="5" spans="1:3">
      <c r="B5" s="118" t="s">
        <v>23</v>
      </c>
      <c r="C5" t="str">
        <f>Survey_Period</f>
        <v>H2 2006</v>
      </c>
    </row>
    <row r="6" spans="1:3">
      <c r="B6" s="118" t="s">
        <v>106</v>
      </c>
      <c r="C6" s="118" t="s">
        <v>586</v>
      </c>
    </row>
    <row r="7" spans="1:3">
      <c r="B7" s="118" t="s">
        <v>107</v>
      </c>
      <c r="C7" s="118" t="s">
        <v>10</v>
      </c>
    </row>
    <row r="11" spans="1:3">
      <c r="B11" s="118" t="s">
        <v>21</v>
      </c>
      <c r="C11" s="118" t="s">
        <v>18</v>
      </c>
    </row>
    <row r="12" spans="1:3">
      <c r="B12" s="118" t="s">
        <v>52</v>
      </c>
      <c r="C12" s="118" t="s">
        <v>10</v>
      </c>
    </row>
    <row r="13" spans="1:3">
      <c r="B13" s="118" t="s">
        <v>109</v>
      </c>
      <c r="C13">
        <v>34</v>
      </c>
    </row>
    <row r="14" spans="1:3">
      <c r="B14" s="118" t="s">
        <v>111</v>
      </c>
      <c r="C14">
        <v>43</v>
      </c>
    </row>
    <row r="15" spans="1:3">
      <c r="B15" s="118" t="s">
        <v>110</v>
      </c>
      <c r="C15">
        <v>7</v>
      </c>
    </row>
    <row r="16" spans="1:3">
      <c r="B16" s="118" t="s">
        <v>112</v>
      </c>
      <c r="C16">
        <v>7</v>
      </c>
    </row>
    <row r="24" spans="1:214">
      <c r="B24" s="317" t="s">
        <v>1125</v>
      </c>
      <c r="C24" s="474">
        <f ca="1">SUM(INDIRECT(ADDRESS($C$13, 13, TRUE)):INDIRECT(ADDRESS($C$14, 13, TRUE)))</f>
        <v>1.2048043031165956</v>
      </c>
    </row>
    <row r="25" spans="1:214">
      <c r="B25" s="317" t="s">
        <v>1124</v>
      </c>
      <c r="C25" s="474">
        <f ca="1">SUM(INDIRECT(ADDRESS($C$13, 10, TRUE)):INDIRECT(ADDRESS($C$14, 10, TRUE)))</f>
        <v>1.3971445083156047</v>
      </c>
    </row>
    <row r="26" spans="1:214">
      <c r="B26" s="341" t="s">
        <v>108</v>
      </c>
      <c r="C26" s="478">
        <f ca="1">AVERAGE(INDIRECT(ADDRESS($C$13, $C$15, TRUE)):INDIRECT(ADDRESS($C$14, $C$16, TRUE)))</f>
        <v>1.0402871381110583</v>
      </c>
    </row>
    <row r="27" spans="1:214">
      <c r="B27" s="341" t="s">
        <v>691</v>
      </c>
      <c r="C27" s="341">
        <f>C14-C13+1</f>
        <v>10</v>
      </c>
    </row>
    <row r="28" spans="1:214">
      <c r="B28" s="317" t="s">
        <v>1122</v>
      </c>
      <c r="C28" s="341">
        <f ca="1">SUM(INDIRECT(ADDRESS($C$13, 8, TRUE)):INDIRECT(ADDRESS($C$14, 8, TRUE)))</f>
        <v>1716</v>
      </c>
    </row>
    <row r="29" spans="1:214" ht="13.5" thickBot="1">
      <c r="B29" s="317" t="s">
        <v>1123</v>
      </c>
      <c r="C29" s="341">
        <f ca="1">SUM(INDIRECT(ADDRESS($C$13, 11, TRUE)):INDIRECT(ADDRESS($C$14, 11, TRUE)))</f>
        <v>1425</v>
      </c>
    </row>
    <row r="30" spans="1:214" ht="23.25">
      <c r="A30" s="153" t="s">
        <v>587</v>
      </c>
      <c r="B30" s="154"/>
      <c r="C30" s="154"/>
      <c r="D30" s="154"/>
      <c r="E30" s="154"/>
      <c r="F30" s="154"/>
      <c r="G30" s="171"/>
      <c r="H30" s="154"/>
      <c r="I30" s="154"/>
      <c r="J30" s="154"/>
      <c r="K30" s="154"/>
      <c r="L30" s="154"/>
      <c r="M30" s="154"/>
      <c r="N30" s="154"/>
      <c r="O30" s="667" t="s">
        <v>588</v>
      </c>
      <c r="P30" s="668"/>
      <c r="Q30" s="155"/>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c r="HA30" s="90"/>
      <c r="HB30" s="90"/>
      <c r="HC30" s="90"/>
      <c r="HD30" s="90"/>
      <c r="HE30" s="90"/>
      <c r="HF30" s="90"/>
    </row>
    <row r="31" spans="1:214" ht="15">
      <c r="A31" s="156" t="s">
        <v>589</v>
      </c>
      <c r="B31" s="157"/>
      <c r="C31" s="157"/>
      <c r="D31" s="157"/>
      <c r="E31" s="157"/>
      <c r="F31" s="157"/>
      <c r="G31" s="172"/>
      <c r="H31" s="157"/>
      <c r="I31" s="157"/>
      <c r="J31" s="157"/>
      <c r="K31" s="157"/>
      <c r="L31" s="157"/>
      <c r="M31" s="157"/>
      <c r="N31" s="157"/>
      <c r="O31" s="669"/>
      <c r="P31" s="670"/>
      <c r="Q31" s="15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18"/>
      <c r="AO31" s="118"/>
      <c r="AP31" s="118"/>
      <c r="AQ31" s="118"/>
      <c r="AR31" s="118"/>
      <c r="AS31" s="118"/>
      <c r="AT31" s="118"/>
      <c r="AU31" s="118"/>
      <c r="AV31" s="118"/>
      <c r="AW31" s="118"/>
      <c r="AX31" s="118"/>
      <c r="AY31" s="118"/>
      <c r="AZ31" s="118"/>
      <c r="BA31" s="118"/>
      <c r="BB31" s="118"/>
      <c r="BC31" s="118"/>
      <c r="BD31" s="118"/>
      <c r="BE31" s="118"/>
      <c r="BF31" s="118"/>
      <c r="BG31" s="118"/>
      <c r="BH31" s="118"/>
      <c r="BI31" s="118"/>
      <c r="BJ31" s="118"/>
      <c r="BK31" s="118"/>
      <c r="BL31" s="118"/>
      <c r="BM31" s="118"/>
      <c r="BN31" s="118"/>
      <c r="BO31" s="118"/>
      <c r="BP31" s="118"/>
      <c r="BQ31" s="118"/>
      <c r="BR31" s="118"/>
      <c r="BS31" s="118"/>
      <c r="BT31" s="118"/>
      <c r="BU31" s="118"/>
      <c r="BV31" s="118"/>
      <c r="BW31" s="118"/>
      <c r="BX31" s="118"/>
      <c r="BY31" s="118"/>
      <c r="BZ31" s="118"/>
      <c r="CA31" s="118"/>
      <c r="CB31" s="118"/>
      <c r="CC31" s="118"/>
      <c r="CD31" s="118"/>
      <c r="CE31" s="118"/>
      <c r="CF31" s="118"/>
      <c r="CG31" s="118"/>
      <c r="CH31" s="118"/>
      <c r="CI31" s="118"/>
      <c r="CJ31" s="118"/>
      <c r="CK31" s="118"/>
      <c r="CL31" s="118"/>
      <c r="CM31" s="118"/>
      <c r="CN31" s="118"/>
      <c r="CO31" s="118"/>
      <c r="CP31" s="118"/>
      <c r="CQ31" s="118"/>
      <c r="CR31" s="118"/>
      <c r="CS31" s="118"/>
      <c r="CT31" s="118"/>
      <c r="CU31" s="118"/>
      <c r="CV31" s="118"/>
      <c r="CW31" s="118"/>
      <c r="CX31" s="118"/>
      <c r="CY31" s="118"/>
      <c r="CZ31" s="118"/>
      <c r="DA31" s="118"/>
      <c r="DB31" s="118"/>
      <c r="DC31" s="118"/>
      <c r="DD31" s="118"/>
      <c r="DE31" s="118"/>
      <c r="DF31" s="118"/>
      <c r="DG31" s="118"/>
      <c r="DH31" s="118"/>
      <c r="DI31" s="118"/>
      <c r="DJ31" s="118"/>
      <c r="DK31" s="118"/>
      <c r="DL31" s="118"/>
      <c r="DM31" s="118"/>
      <c r="DN31" s="118"/>
      <c r="DO31" s="118"/>
      <c r="DP31" s="118"/>
      <c r="DQ31" s="118"/>
      <c r="DR31" s="118"/>
      <c r="DS31" s="118"/>
      <c r="DT31" s="118"/>
      <c r="DU31" s="118"/>
      <c r="DV31" s="118"/>
      <c r="DW31" s="118"/>
      <c r="DX31" s="118"/>
      <c r="DY31" s="118"/>
      <c r="DZ31" s="118"/>
      <c r="EA31" s="118"/>
      <c r="EB31" s="118"/>
      <c r="EC31" s="118"/>
      <c r="ED31" s="118"/>
      <c r="EE31" s="118"/>
      <c r="EF31" s="118"/>
      <c r="EG31" s="118"/>
      <c r="EH31" s="118"/>
      <c r="EI31" s="118"/>
      <c r="EJ31" s="118"/>
      <c r="EK31" s="118"/>
      <c r="EL31" s="118"/>
      <c r="EM31" s="118"/>
      <c r="EN31" s="118"/>
      <c r="EO31" s="118"/>
      <c r="EP31" s="118"/>
      <c r="EQ31" s="118"/>
      <c r="ER31" s="118"/>
      <c r="ES31" s="118"/>
      <c r="ET31" s="118"/>
      <c r="EU31" s="118"/>
      <c r="EV31" s="118"/>
      <c r="EW31" s="118"/>
      <c r="EX31" s="118"/>
      <c r="EY31" s="118"/>
      <c r="EZ31" s="118"/>
      <c r="FA31" s="118"/>
      <c r="FB31" s="118"/>
      <c r="FC31" s="118"/>
      <c r="FD31" s="118"/>
      <c r="FE31" s="118"/>
      <c r="FF31" s="118"/>
      <c r="FG31" s="118"/>
      <c r="FH31" s="118"/>
      <c r="FI31" s="118"/>
      <c r="FJ31" s="118"/>
      <c r="FK31" s="118"/>
      <c r="FL31" s="118"/>
      <c r="FM31" s="118"/>
      <c r="FN31" s="118"/>
      <c r="FO31" s="118"/>
      <c r="FP31" s="118"/>
      <c r="FQ31" s="118"/>
      <c r="FR31" s="118"/>
      <c r="FS31" s="118"/>
      <c r="FT31" s="118"/>
      <c r="FU31" s="118"/>
      <c r="FV31" s="118"/>
      <c r="FW31" s="118"/>
      <c r="FX31" s="118"/>
      <c r="FY31" s="118"/>
      <c r="FZ31" s="118"/>
      <c r="GA31" s="118"/>
      <c r="GB31" s="118"/>
      <c r="GC31" s="118"/>
      <c r="GD31" s="118"/>
      <c r="GE31" s="118"/>
      <c r="GF31" s="118"/>
      <c r="GG31" s="118"/>
      <c r="GH31" s="118"/>
      <c r="GI31" s="118"/>
      <c r="GJ31" s="118"/>
      <c r="GK31" s="118"/>
      <c r="GL31" s="118"/>
      <c r="GM31" s="118"/>
      <c r="GN31" s="118"/>
      <c r="GO31" s="118"/>
      <c r="GP31" s="118"/>
      <c r="GQ31" s="118"/>
      <c r="GR31" s="118"/>
      <c r="GS31" s="118"/>
      <c r="GT31" s="118"/>
      <c r="GU31" s="118"/>
      <c r="GV31" s="118"/>
      <c r="GW31" s="118"/>
      <c r="GX31" s="118"/>
      <c r="GY31" s="118"/>
      <c r="GZ31" s="118"/>
      <c r="HA31" s="118"/>
      <c r="HB31" s="118"/>
      <c r="HC31" s="118"/>
      <c r="HD31" s="118"/>
      <c r="HE31" s="118"/>
      <c r="HF31" s="118"/>
    </row>
    <row r="32" spans="1:214" ht="15.75" thickBot="1">
      <c r="A32" s="156" t="s">
        <v>590</v>
      </c>
      <c r="B32" s="157"/>
      <c r="C32" s="157"/>
      <c r="D32" s="157"/>
      <c r="E32" s="157"/>
      <c r="F32" s="157"/>
      <c r="G32" s="172"/>
      <c r="H32" s="157"/>
      <c r="I32" s="157"/>
      <c r="J32" s="157"/>
      <c r="K32" s="157"/>
      <c r="L32" s="157"/>
      <c r="M32" s="157"/>
      <c r="N32" s="157"/>
      <c r="O32" s="656" t="s">
        <v>88</v>
      </c>
      <c r="P32" s="657"/>
      <c r="Q32" s="158"/>
      <c r="R32" s="118"/>
      <c r="S32" s="118"/>
      <c r="T32" s="118"/>
      <c r="U32" s="118"/>
      <c r="V32" s="118"/>
      <c r="W32" s="118"/>
      <c r="X32" s="118"/>
      <c r="Y32" s="118"/>
      <c r="Z32" s="118"/>
      <c r="AA32" s="118"/>
      <c r="AB32" s="118"/>
      <c r="AC32" s="118"/>
      <c r="AD32" s="118"/>
      <c r="AE32" s="118"/>
      <c r="AF32" s="118"/>
      <c r="AG32" s="118"/>
      <c r="AH32" s="118"/>
      <c r="AI32" s="118"/>
      <c r="AJ32" s="118"/>
      <c r="AK32" s="118"/>
      <c r="AL32" s="118"/>
      <c r="AM32" s="118"/>
      <c r="AN32" s="118"/>
      <c r="AO32" s="118"/>
      <c r="AP32" s="118"/>
      <c r="AQ32" s="118"/>
      <c r="AR32" s="118"/>
      <c r="AS32" s="118"/>
      <c r="AT32" s="118"/>
      <c r="AU32" s="118"/>
      <c r="AV32" s="118"/>
      <c r="AW32" s="118"/>
      <c r="AX32" s="118"/>
      <c r="AY32" s="118"/>
      <c r="AZ32" s="118"/>
      <c r="BA32" s="118"/>
      <c r="BB32" s="118"/>
      <c r="BC32" s="118"/>
      <c r="BD32" s="118"/>
      <c r="BE32" s="118"/>
      <c r="BF32" s="118"/>
      <c r="BG32" s="118"/>
      <c r="BH32" s="118"/>
      <c r="BI32" s="118"/>
      <c r="BJ32" s="118"/>
      <c r="BK32" s="118"/>
      <c r="BL32" s="118"/>
      <c r="BM32" s="118"/>
      <c r="BN32" s="118"/>
      <c r="BO32" s="118"/>
      <c r="BP32" s="118"/>
      <c r="BQ32" s="118"/>
      <c r="BR32" s="118"/>
      <c r="BS32" s="118"/>
      <c r="BT32" s="118"/>
      <c r="BU32" s="118"/>
      <c r="BV32" s="118"/>
      <c r="BW32" s="118"/>
      <c r="BX32" s="118"/>
      <c r="BY32" s="118"/>
      <c r="BZ32" s="118"/>
      <c r="CA32" s="118"/>
      <c r="CB32" s="118"/>
      <c r="CC32" s="118"/>
      <c r="CD32" s="118"/>
      <c r="CE32" s="118"/>
      <c r="CF32" s="118"/>
      <c r="CG32" s="118"/>
      <c r="CH32" s="118"/>
      <c r="CI32" s="118"/>
      <c r="CJ32" s="118"/>
      <c r="CK32" s="118"/>
      <c r="CL32" s="118"/>
      <c r="CM32" s="118"/>
      <c r="CN32" s="118"/>
      <c r="CO32" s="118"/>
      <c r="CP32" s="118"/>
      <c r="CQ32" s="118"/>
      <c r="CR32" s="118"/>
      <c r="CS32" s="118"/>
      <c r="CT32" s="118"/>
      <c r="CU32" s="118"/>
      <c r="CV32" s="118"/>
      <c r="CW32" s="118"/>
      <c r="CX32" s="118"/>
      <c r="CY32" s="118"/>
      <c r="CZ32" s="118"/>
      <c r="DA32" s="118"/>
      <c r="DB32" s="118"/>
      <c r="DC32" s="118"/>
      <c r="DD32" s="118"/>
      <c r="DE32" s="118"/>
      <c r="DF32" s="118"/>
      <c r="DG32" s="118"/>
      <c r="DH32" s="118"/>
      <c r="DI32" s="118"/>
      <c r="DJ32" s="118"/>
      <c r="DK32" s="118"/>
      <c r="DL32" s="118"/>
      <c r="DM32" s="118"/>
      <c r="DN32" s="118"/>
      <c r="DO32" s="118"/>
      <c r="DP32" s="118"/>
      <c r="DQ32" s="118"/>
      <c r="DR32" s="118"/>
      <c r="DS32" s="118"/>
      <c r="DT32" s="118"/>
      <c r="DU32" s="118"/>
      <c r="DV32" s="118"/>
      <c r="DW32" s="118"/>
      <c r="DX32" s="118"/>
      <c r="DY32" s="118"/>
      <c r="DZ32" s="118"/>
      <c r="EA32" s="118"/>
      <c r="EB32" s="118"/>
      <c r="EC32" s="118"/>
      <c r="ED32" s="118"/>
      <c r="EE32" s="118"/>
      <c r="EF32" s="118"/>
      <c r="EG32" s="118"/>
      <c r="EH32" s="118"/>
      <c r="EI32" s="118"/>
      <c r="EJ32" s="118"/>
      <c r="EK32" s="118"/>
      <c r="EL32" s="118"/>
      <c r="EM32" s="118"/>
      <c r="EN32" s="118"/>
      <c r="EO32" s="118"/>
      <c r="EP32" s="118"/>
      <c r="EQ32" s="118"/>
      <c r="ER32" s="118"/>
      <c r="ES32" s="118"/>
      <c r="ET32" s="118"/>
      <c r="EU32" s="118"/>
      <c r="EV32" s="118"/>
      <c r="EW32" s="118"/>
      <c r="EX32" s="118"/>
      <c r="EY32" s="118"/>
      <c r="EZ32" s="118"/>
      <c r="FA32" s="118"/>
      <c r="FB32" s="118"/>
      <c r="FC32" s="118"/>
      <c r="FD32" s="118"/>
      <c r="FE32" s="118"/>
      <c r="FF32" s="118"/>
      <c r="FG32" s="118"/>
      <c r="FH32" s="118"/>
      <c r="FI32" s="118"/>
      <c r="FJ32" s="118"/>
      <c r="FK32" s="118"/>
      <c r="FL32" s="118"/>
      <c r="FM32" s="118"/>
      <c r="FN32" s="118"/>
      <c r="FO32" s="118"/>
      <c r="FP32" s="118"/>
      <c r="FQ32" s="118"/>
      <c r="FR32" s="118"/>
      <c r="FS32" s="118"/>
      <c r="FT32" s="118"/>
      <c r="FU32" s="118"/>
      <c r="FV32" s="118"/>
      <c r="FW32" s="118"/>
      <c r="FX32" s="118"/>
      <c r="FY32" s="118"/>
      <c r="FZ32" s="118"/>
      <c r="GA32" s="118"/>
      <c r="GB32" s="118"/>
      <c r="GC32" s="118"/>
      <c r="GD32" s="118"/>
      <c r="GE32" s="118"/>
      <c r="GF32" s="118"/>
      <c r="GG32" s="118"/>
      <c r="GH32" s="118"/>
      <c r="GI32" s="118"/>
      <c r="GJ32" s="118"/>
      <c r="GK32" s="118"/>
      <c r="GL32" s="118"/>
      <c r="GM32" s="118"/>
      <c r="GN32" s="118"/>
      <c r="GO32" s="118"/>
      <c r="GP32" s="118"/>
      <c r="GQ32" s="118"/>
      <c r="GR32" s="118"/>
      <c r="GS32" s="118"/>
      <c r="GT32" s="118"/>
      <c r="GU32" s="118"/>
      <c r="GV32" s="118"/>
      <c r="GW32" s="118"/>
      <c r="GX32" s="118"/>
      <c r="GY32" s="118"/>
      <c r="GZ32" s="118"/>
      <c r="HA32" s="118"/>
      <c r="HB32" s="118"/>
      <c r="HC32" s="118"/>
      <c r="HD32" s="118"/>
      <c r="HE32" s="118"/>
      <c r="HF32" s="118"/>
    </row>
    <row r="33" spans="1:13" ht="38.25">
      <c r="A33" s="159" t="s">
        <v>89</v>
      </c>
      <c r="B33" s="159" t="s">
        <v>90</v>
      </c>
      <c r="C33" s="159" t="s">
        <v>91</v>
      </c>
      <c r="D33" s="20" t="s">
        <v>92</v>
      </c>
      <c r="E33" s="160" t="s">
        <v>93</v>
      </c>
      <c r="F33" s="160" t="s">
        <v>94</v>
      </c>
    </row>
    <row r="34" spans="1:13">
      <c r="A34" s="80" t="s">
        <v>591</v>
      </c>
      <c r="B34" s="161" t="s">
        <v>592</v>
      </c>
      <c r="C34" s="162" t="s">
        <v>593</v>
      </c>
      <c r="D34" s="163">
        <v>38750</v>
      </c>
      <c r="E34" s="164">
        <v>38880</v>
      </c>
      <c r="F34" s="165">
        <v>38880</v>
      </c>
      <c r="G34" s="34">
        <f t="shared" ref="G34:G43" si="0">IF(AND(NOT(ISBLANK(D34)),ISNUMBER(D34),     NOT(ISBLANK(E34)),ISNUMBER(E34),     NOT(ISBLANK(F34)),ISNUMBER(F34)),NETWORKDAYS(D34,F34)/NETWORKDAYS(D34,E34),"Not Used")</f>
        <v>1</v>
      </c>
      <c r="H34" s="341">
        <f t="shared" ref="H34" si="1">F34-D34</f>
        <v>130</v>
      </c>
      <c r="I34" s="341">
        <f t="shared" ref="I34:I43" ca="1" si="2">H34/$C$28</f>
        <v>7.575757575757576E-2</v>
      </c>
      <c r="J34" s="341">
        <f t="shared" ref="J34" ca="1" si="3">G34*I34</f>
        <v>7.575757575757576E-2</v>
      </c>
      <c r="K34" s="341">
        <f t="shared" ref="K34" si="4">E34-D34</f>
        <v>130</v>
      </c>
      <c r="L34" s="341">
        <f t="shared" ref="L34:L43" ca="1" si="5">K34/$C$29</f>
        <v>9.1228070175438603E-2</v>
      </c>
      <c r="M34" s="341">
        <f t="shared" ref="M34" ca="1" si="6">G34*L34</f>
        <v>9.1228070175438603E-2</v>
      </c>
    </row>
    <row r="35" spans="1:13" ht="102">
      <c r="A35" s="167" t="s">
        <v>591</v>
      </c>
      <c r="B35" s="80" t="s">
        <v>594</v>
      </c>
      <c r="C35" s="168" t="s">
        <v>595</v>
      </c>
      <c r="D35" s="163">
        <v>38930</v>
      </c>
      <c r="E35" s="164">
        <v>38988</v>
      </c>
      <c r="F35" s="163">
        <v>38957</v>
      </c>
      <c r="G35" s="34">
        <f t="shared" si="0"/>
        <v>0.46511627906976744</v>
      </c>
      <c r="H35" s="341">
        <f t="shared" ref="H35:H42" si="7">F35-D35</f>
        <v>27</v>
      </c>
      <c r="I35" s="341">
        <f t="shared" ca="1" si="2"/>
        <v>1.5734265734265736E-2</v>
      </c>
      <c r="J35" s="341">
        <f t="shared" ref="J35:J42" ca="1" si="8">G35*I35</f>
        <v>7.3182631322166215E-3</v>
      </c>
      <c r="K35" s="341">
        <f t="shared" ref="K35:K42" si="9">E35-D35</f>
        <v>58</v>
      </c>
      <c r="L35" s="341">
        <f t="shared" ca="1" si="5"/>
        <v>4.0701754385964913E-2</v>
      </c>
      <c r="M35" s="341">
        <f t="shared" ref="M35:M42" ca="1" si="10">G35*L35</f>
        <v>1.8931048551611589E-2</v>
      </c>
    </row>
    <row r="36" spans="1:13">
      <c r="A36" s="80" t="s">
        <v>591</v>
      </c>
      <c r="B36" s="80" t="s">
        <v>594</v>
      </c>
      <c r="C36" s="168" t="s">
        <v>596</v>
      </c>
      <c r="D36" s="163">
        <v>38814</v>
      </c>
      <c r="E36" s="163">
        <v>38971</v>
      </c>
      <c r="F36" s="163">
        <v>38957</v>
      </c>
      <c r="G36" s="34">
        <f t="shared" si="0"/>
        <v>0.9107142857142857</v>
      </c>
      <c r="H36" s="341">
        <f t="shared" si="7"/>
        <v>143</v>
      </c>
      <c r="I36" s="341">
        <f t="shared" ca="1" si="2"/>
        <v>8.3333333333333329E-2</v>
      </c>
      <c r="J36" s="341">
        <f t="shared" ca="1" si="8"/>
        <v>7.5892857142857137E-2</v>
      </c>
      <c r="K36" s="341">
        <f t="shared" si="9"/>
        <v>157</v>
      </c>
      <c r="L36" s="341">
        <f t="shared" ca="1" si="5"/>
        <v>0.11017543859649123</v>
      </c>
      <c r="M36" s="341">
        <f t="shared" ca="1" si="10"/>
        <v>0.10033834586466166</v>
      </c>
    </row>
    <row r="37" spans="1:13">
      <c r="A37" s="80" t="s">
        <v>591</v>
      </c>
      <c r="B37" s="80" t="s">
        <v>594</v>
      </c>
      <c r="C37" s="168" t="s">
        <v>597</v>
      </c>
      <c r="D37" s="163">
        <v>38814</v>
      </c>
      <c r="E37" s="163">
        <v>38971</v>
      </c>
      <c r="F37" s="163">
        <v>38957</v>
      </c>
      <c r="G37" s="34">
        <f t="shared" si="0"/>
        <v>0.9107142857142857</v>
      </c>
      <c r="H37" s="341">
        <f t="shared" si="7"/>
        <v>143</v>
      </c>
      <c r="I37" s="341">
        <f t="shared" ca="1" si="2"/>
        <v>8.3333333333333329E-2</v>
      </c>
      <c r="J37" s="341">
        <f t="shared" ca="1" si="8"/>
        <v>7.5892857142857137E-2</v>
      </c>
      <c r="K37" s="341">
        <f t="shared" si="9"/>
        <v>157</v>
      </c>
      <c r="L37" s="341">
        <f t="shared" ca="1" si="5"/>
        <v>0.11017543859649123</v>
      </c>
      <c r="M37" s="341">
        <f t="shared" ca="1" si="10"/>
        <v>0.10033834586466166</v>
      </c>
    </row>
    <row r="38" spans="1:13">
      <c r="A38" s="166" t="s">
        <v>591</v>
      </c>
      <c r="B38" s="161" t="s">
        <v>592</v>
      </c>
      <c r="C38" s="169" t="s">
        <v>598</v>
      </c>
      <c r="D38" s="163">
        <v>38923</v>
      </c>
      <c r="E38" s="164">
        <v>38971</v>
      </c>
      <c r="F38" s="163">
        <v>38960</v>
      </c>
      <c r="G38" s="34">
        <f t="shared" si="0"/>
        <v>0.8</v>
      </c>
      <c r="H38" s="341">
        <f t="shared" si="7"/>
        <v>37</v>
      </c>
      <c r="I38" s="341">
        <f t="shared" ca="1" si="2"/>
        <v>2.156177156177156E-2</v>
      </c>
      <c r="J38" s="341">
        <f t="shared" ca="1" si="8"/>
        <v>1.724941724941725E-2</v>
      </c>
      <c r="K38" s="341">
        <f t="shared" si="9"/>
        <v>48</v>
      </c>
      <c r="L38" s="341">
        <f t="shared" ca="1" si="5"/>
        <v>3.3684210526315789E-2</v>
      </c>
      <c r="M38" s="341">
        <f t="shared" ca="1" si="10"/>
        <v>2.6947368421052633E-2</v>
      </c>
    </row>
    <row r="39" spans="1:13" ht="76.5">
      <c r="A39" s="167" t="s">
        <v>591</v>
      </c>
      <c r="B39" s="161" t="s">
        <v>592</v>
      </c>
      <c r="C39" s="168" t="s">
        <v>599</v>
      </c>
      <c r="D39" s="163">
        <v>38930</v>
      </c>
      <c r="E39" s="164">
        <v>38988</v>
      </c>
      <c r="F39" s="163">
        <v>38988</v>
      </c>
      <c r="G39" s="34">
        <f t="shared" si="0"/>
        <v>1</v>
      </c>
      <c r="H39" s="341">
        <f t="shared" si="7"/>
        <v>58</v>
      </c>
      <c r="I39" s="341">
        <f t="shared" ca="1" si="2"/>
        <v>3.37995337995338E-2</v>
      </c>
      <c r="J39" s="341">
        <f t="shared" ca="1" si="8"/>
        <v>3.37995337995338E-2</v>
      </c>
      <c r="K39" s="341">
        <f t="shared" si="9"/>
        <v>58</v>
      </c>
      <c r="L39" s="341">
        <f t="shared" ca="1" si="5"/>
        <v>4.0701754385964913E-2</v>
      </c>
      <c r="M39" s="341">
        <f t="shared" ca="1" si="10"/>
        <v>4.0701754385964913E-2</v>
      </c>
    </row>
    <row r="40" spans="1:13">
      <c r="A40" s="80" t="s">
        <v>591</v>
      </c>
      <c r="B40" s="80" t="s">
        <v>600</v>
      </c>
      <c r="C40" s="168" t="s">
        <v>601</v>
      </c>
      <c r="D40" s="163">
        <v>38862</v>
      </c>
      <c r="E40" s="163">
        <v>39027</v>
      </c>
      <c r="F40" s="163">
        <v>39027</v>
      </c>
      <c r="G40" s="34">
        <f t="shared" si="0"/>
        <v>1</v>
      </c>
      <c r="H40" s="341">
        <f t="shared" si="7"/>
        <v>165</v>
      </c>
      <c r="I40" s="341">
        <f t="shared" ca="1" si="2"/>
        <v>9.6153846153846159E-2</v>
      </c>
      <c r="J40" s="341">
        <f t="shared" ca="1" si="8"/>
        <v>9.6153846153846159E-2</v>
      </c>
      <c r="K40" s="341">
        <f t="shared" si="9"/>
        <v>165</v>
      </c>
      <c r="L40" s="341">
        <f t="shared" ca="1" si="5"/>
        <v>0.11578947368421053</v>
      </c>
      <c r="M40" s="341">
        <f t="shared" ca="1" si="10"/>
        <v>0.11578947368421053</v>
      </c>
    </row>
    <row r="41" spans="1:13">
      <c r="A41" s="80" t="s">
        <v>591</v>
      </c>
      <c r="B41" s="80" t="s">
        <v>600</v>
      </c>
      <c r="C41" s="168" t="s">
        <v>602</v>
      </c>
      <c r="D41" s="163">
        <v>38922</v>
      </c>
      <c r="E41" s="163">
        <v>39027</v>
      </c>
      <c r="F41" s="163">
        <v>39027</v>
      </c>
      <c r="G41" s="34">
        <f t="shared" si="0"/>
        <v>1</v>
      </c>
      <c r="H41" s="341">
        <f t="shared" si="7"/>
        <v>105</v>
      </c>
      <c r="I41" s="341">
        <f t="shared" ca="1" si="2"/>
        <v>6.1188811188811192E-2</v>
      </c>
      <c r="J41" s="341">
        <f t="shared" ca="1" si="8"/>
        <v>6.1188811188811192E-2</v>
      </c>
      <c r="K41" s="341">
        <f t="shared" si="9"/>
        <v>105</v>
      </c>
      <c r="L41" s="341">
        <f t="shared" ca="1" si="5"/>
        <v>7.3684210526315783E-2</v>
      </c>
      <c r="M41" s="341">
        <f t="shared" ca="1" si="10"/>
        <v>7.3684210526315783E-2</v>
      </c>
    </row>
    <row r="42" spans="1:13">
      <c r="A42" s="80" t="s">
        <v>591</v>
      </c>
      <c r="B42" s="161" t="s">
        <v>592</v>
      </c>
      <c r="C42" s="168" t="s">
        <v>603</v>
      </c>
      <c r="D42" s="163">
        <v>38443</v>
      </c>
      <c r="E42" s="164">
        <v>38717</v>
      </c>
      <c r="F42" s="170">
        <v>39031</v>
      </c>
      <c r="G42" s="34">
        <f t="shared" si="0"/>
        <v>2.1479591836734695</v>
      </c>
      <c r="H42" s="341">
        <f t="shared" si="7"/>
        <v>588</v>
      </c>
      <c r="I42" s="341">
        <f t="shared" ca="1" si="2"/>
        <v>0.34265734265734266</v>
      </c>
      <c r="J42" s="341">
        <f t="shared" ca="1" si="8"/>
        <v>0.73601398601398604</v>
      </c>
      <c r="K42" s="341">
        <f t="shared" si="9"/>
        <v>274</v>
      </c>
      <c r="L42" s="341">
        <f t="shared" ca="1" si="5"/>
        <v>0.19228070175438597</v>
      </c>
      <c r="M42" s="341">
        <f t="shared" ca="1" si="10"/>
        <v>0.41301109917651274</v>
      </c>
    </row>
    <row r="43" spans="1:13">
      <c r="A43" s="166" t="s">
        <v>591</v>
      </c>
      <c r="B43" s="161" t="s">
        <v>592</v>
      </c>
      <c r="C43" s="168" t="s">
        <v>604</v>
      </c>
      <c r="D43" s="163">
        <v>38686</v>
      </c>
      <c r="E43" s="164">
        <v>38959</v>
      </c>
      <c r="F43" s="170">
        <v>39006</v>
      </c>
      <c r="G43" s="34">
        <f t="shared" si="0"/>
        <v>1.1683673469387754</v>
      </c>
      <c r="H43" s="341">
        <f t="shared" ref="H43" si="11">F43-D43</f>
        <v>320</v>
      </c>
      <c r="I43" s="341">
        <f t="shared" ca="1" si="2"/>
        <v>0.18648018648018649</v>
      </c>
      <c r="J43" s="341">
        <f t="shared" ref="J43" ca="1" si="12">G43*I43</f>
        <v>0.21787736073450359</v>
      </c>
      <c r="K43" s="341">
        <f t="shared" ref="K43" si="13">E43-D43</f>
        <v>273</v>
      </c>
      <c r="L43" s="341">
        <f t="shared" ca="1" si="5"/>
        <v>0.19157894736842104</v>
      </c>
      <c r="M43" s="341">
        <f t="shared" ref="M43" ca="1" si="14">G43*L43</f>
        <v>0.22383458646616539</v>
      </c>
    </row>
  </sheetData>
  <mergeCells count="2">
    <mergeCell ref="O30:P31"/>
    <mergeCell ref="O32:P32"/>
  </mergeCell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9:15:17 PM
Last Printed: 2/5/2008 6:12:16 PM&amp;R&amp;5&amp;P - &amp;N
Title :&lt;Not Set&gt;
Subject: &lt;Not Set&gt;</oddFooter>
  </headerFooter>
  <drawing r:id="rId2"/>
</worksheet>
</file>

<file path=xl/worksheets/sheet23.xml><?xml version="1.0" encoding="utf-8"?>
<worksheet xmlns="http://schemas.openxmlformats.org/spreadsheetml/2006/main" xmlns:r="http://schemas.openxmlformats.org/officeDocument/2006/relationships">
  <sheetPr codeName="Sheet9"/>
  <dimension ref="A1:M37"/>
  <sheetViews>
    <sheetView workbookViewId="0"/>
  </sheetViews>
  <sheetFormatPr defaultRowHeight="12.75"/>
  <cols>
    <col min="1" max="1" width="5.7109375" customWidth="1"/>
    <col min="2" max="2" width="30.7109375" customWidth="1"/>
    <col min="3" max="3" width="50.7109375" customWidth="1"/>
    <col min="4" max="6" width="12.7109375" customWidth="1"/>
    <col min="7" max="7" width="10.7109375" style="34" customWidth="1"/>
  </cols>
  <sheetData>
    <row r="1" spans="1:3">
      <c r="A1" s="5" t="s">
        <v>30</v>
      </c>
    </row>
    <row r="2" spans="1:3">
      <c r="A2" s="5" t="s">
        <v>60</v>
      </c>
    </row>
    <row r="4" spans="1:3">
      <c r="B4" s="42" t="s">
        <v>420</v>
      </c>
      <c r="C4" s="42" t="s">
        <v>441</v>
      </c>
    </row>
    <row r="5" spans="1:3">
      <c r="B5" s="42" t="s">
        <v>23</v>
      </c>
      <c r="C5" t="str">
        <f>Survey_Period</f>
        <v>H2 2006</v>
      </c>
    </row>
    <row r="6" spans="1:3">
      <c r="B6" s="42" t="s">
        <v>106</v>
      </c>
      <c r="C6" s="42" t="s">
        <v>71</v>
      </c>
    </row>
    <row r="7" spans="1:3">
      <c r="B7" s="42" t="s">
        <v>107</v>
      </c>
      <c r="C7" s="42" t="s">
        <v>76</v>
      </c>
    </row>
    <row r="11" spans="1:3">
      <c r="B11" s="42" t="s">
        <v>21</v>
      </c>
      <c r="C11" s="42" t="s">
        <v>48</v>
      </c>
    </row>
    <row r="12" spans="1:3">
      <c r="B12" s="42" t="s">
        <v>52</v>
      </c>
      <c r="C12" s="42" t="s">
        <v>11</v>
      </c>
    </row>
    <row r="13" spans="1:3">
      <c r="B13" s="42" t="s">
        <v>109</v>
      </c>
      <c r="C13">
        <v>33</v>
      </c>
    </row>
    <row r="14" spans="1:3">
      <c r="B14" s="42" t="s">
        <v>111</v>
      </c>
      <c r="C14">
        <v>37</v>
      </c>
    </row>
    <row r="15" spans="1:3">
      <c r="B15" s="42" t="s">
        <v>110</v>
      </c>
      <c r="C15">
        <v>7</v>
      </c>
    </row>
    <row r="16" spans="1:3">
      <c r="B16" s="42" t="s">
        <v>112</v>
      </c>
      <c r="C16">
        <v>7</v>
      </c>
    </row>
    <row r="24" spans="1:10">
      <c r="B24" s="317" t="s">
        <v>1125</v>
      </c>
      <c r="C24" s="474">
        <f ca="1">SUM(INDIRECT(ADDRESS($C$13, 13, TRUE)):INDIRECT(ADDRESS($C$14, 13, TRUE)))</f>
        <v>1</v>
      </c>
    </row>
    <row r="25" spans="1:10">
      <c r="B25" s="317" t="s">
        <v>1124</v>
      </c>
      <c r="C25" s="474">
        <f ca="1">SUM(INDIRECT(ADDRESS($C$13, 10, TRUE)):INDIRECT(ADDRESS($C$14, 10, TRUE)))</f>
        <v>1</v>
      </c>
    </row>
    <row r="26" spans="1:10">
      <c r="B26" s="341" t="s">
        <v>108</v>
      </c>
      <c r="C26" s="478">
        <f ca="1">AVERAGE(INDIRECT(ADDRESS($C$13, $C$15, TRUE)):INDIRECT(ADDRESS($C$14, $C$16, TRUE)))</f>
        <v>1</v>
      </c>
    </row>
    <row r="27" spans="1:10">
      <c r="B27" s="341" t="s">
        <v>691</v>
      </c>
      <c r="C27" s="341">
        <f>C14-C13+1</f>
        <v>5</v>
      </c>
    </row>
    <row r="28" spans="1:10">
      <c r="B28" s="317" t="s">
        <v>1122</v>
      </c>
      <c r="C28" s="341">
        <f ca="1">SUM(INDIRECT(ADDRESS($C$13, 8, TRUE)):INDIRECT(ADDRESS($C$14, 8, TRUE)))</f>
        <v>870</v>
      </c>
    </row>
    <row r="29" spans="1:10">
      <c r="B29" s="317" t="s">
        <v>1123</v>
      </c>
      <c r="C29" s="341">
        <f ca="1">SUM(INDIRECT(ADDRESS($C$13, 11, TRUE)):INDIRECT(ADDRESS($C$14, 11, TRUE)))</f>
        <v>870</v>
      </c>
    </row>
    <row r="30" spans="1:10" ht="18.75">
      <c r="A30" s="671" t="s">
        <v>469</v>
      </c>
      <c r="B30" s="672"/>
      <c r="C30" s="672"/>
      <c r="D30" s="672"/>
      <c r="E30" s="672"/>
      <c r="F30" s="672"/>
      <c r="G30" s="672"/>
      <c r="H30" s="672"/>
      <c r="I30" s="672"/>
      <c r="J30" s="673"/>
    </row>
    <row r="31" spans="1:10">
      <c r="A31" s="674" t="s">
        <v>470</v>
      </c>
      <c r="B31" s="675"/>
      <c r="C31" s="675"/>
      <c r="D31" s="675"/>
      <c r="E31" s="675"/>
      <c r="F31" s="675"/>
      <c r="G31" s="675"/>
      <c r="H31" s="675"/>
      <c r="I31" s="675"/>
      <c r="J31" s="676"/>
    </row>
    <row r="32" spans="1:10" ht="27">
      <c r="A32" s="17" t="s">
        <v>89</v>
      </c>
      <c r="B32" s="17" t="s">
        <v>90</v>
      </c>
      <c r="C32" s="17" t="s">
        <v>91</v>
      </c>
      <c r="D32" s="78" t="s">
        <v>92</v>
      </c>
      <c r="E32" s="79" t="s">
        <v>93</v>
      </c>
      <c r="F32" s="79" t="s">
        <v>94</v>
      </c>
    </row>
    <row r="33" spans="1:13">
      <c r="A33" s="80">
        <v>9</v>
      </c>
      <c r="B33" s="80" t="s">
        <v>471</v>
      </c>
      <c r="C33" s="43" t="s">
        <v>472</v>
      </c>
      <c r="D33" s="81">
        <v>38873</v>
      </c>
      <c r="E33" s="81">
        <v>38918</v>
      </c>
      <c r="F33" s="81">
        <v>38918</v>
      </c>
      <c r="G33" s="34">
        <f t="shared" ref="G33:G37" si="0">IF(AND(NOT(ISBLANK(D33)),ISNUMBER(D33),     NOT(ISBLANK(E33)),ISNUMBER(E33),     NOT(ISBLANK(F33)),ISNUMBER(F33)),NETWORKDAYS(D33,F33)/NETWORKDAYS(D33,E33),"Not Used")</f>
        <v>1</v>
      </c>
      <c r="H33" s="341">
        <f t="shared" ref="H33" si="1">F33-D33</f>
        <v>45</v>
      </c>
      <c r="I33" s="341">
        <f t="shared" ref="I33:I37" ca="1" si="2">H33/$C$28</f>
        <v>5.1724137931034482E-2</v>
      </c>
      <c r="J33" s="341">
        <f t="shared" ref="J33" ca="1" si="3">G33*I33</f>
        <v>5.1724137931034482E-2</v>
      </c>
      <c r="K33" s="341">
        <f t="shared" ref="K33" si="4">E33-D33</f>
        <v>45</v>
      </c>
      <c r="L33" s="341">
        <f t="shared" ref="L33:L37" ca="1" si="5">K33/$C$29</f>
        <v>5.1724137931034482E-2</v>
      </c>
      <c r="M33" s="341">
        <f t="shared" ref="M33" ca="1" si="6">G33*L33</f>
        <v>5.1724137931034482E-2</v>
      </c>
    </row>
    <row r="34" spans="1:13">
      <c r="A34" s="80">
        <v>10</v>
      </c>
      <c r="B34" s="80" t="s">
        <v>473</v>
      </c>
      <c r="C34" s="43" t="s">
        <v>474</v>
      </c>
      <c r="D34" s="81">
        <v>38750</v>
      </c>
      <c r="E34" s="81">
        <v>38933</v>
      </c>
      <c r="F34" s="81">
        <v>38933</v>
      </c>
      <c r="G34" s="34">
        <f t="shared" si="0"/>
        <v>1</v>
      </c>
      <c r="H34" s="341">
        <f t="shared" ref="H34:H37" si="7">F34-D34</f>
        <v>183</v>
      </c>
      <c r="I34" s="341">
        <f t="shared" ca="1" si="2"/>
        <v>0.2103448275862069</v>
      </c>
      <c r="J34" s="341">
        <f t="shared" ref="J34:J37" ca="1" si="8">G34*I34</f>
        <v>0.2103448275862069</v>
      </c>
      <c r="K34" s="341">
        <f t="shared" ref="K34:K37" si="9">E34-D34</f>
        <v>183</v>
      </c>
      <c r="L34" s="341">
        <f t="shared" ca="1" si="5"/>
        <v>0.2103448275862069</v>
      </c>
      <c r="M34" s="341">
        <f t="shared" ref="M34:M37" ca="1" si="10">G34*L34</f>
        <v>0.2103448275862069</v>
      </c>
    </row>
    <row r="35" spans="1:13">
      <c r="A35" s="80">
        <v>11</v>
      </c>
      <c r="B35" s="80" t="s">
        <v>475</v>
      </c>
      <c r="C35" s="43" t="s">
        <v>476</v>
      </c>
      <c r="D35" s="81">
        <v>38937</v>
      </c>
      <c r="E35" s="81">
        <v>39032</v>
      </c>
      <c r="F35" s="81">
        <v>39032</v>
      </c>
      <c r="G35" s="34">
        <f t="shared" si="0"/>
        <v>1</v>
      </c>
      <c r="H35" s="341">
        <f t="shared" si="7"/>
        <v>95</v>
      </c>
      <c r="I35" s="341">
        <f t="shared" ca="1" si="2"/>
        <v>0.10919540229885058</v>
      </c>
      <c r="J35" s="341">
        <f t="shared" ca="1" si="8"/>
        <v>0.10919540229885058</v>
      </c>
      <c r="K35" s="341">
        <f t="shared" si="9"/>
        <v>95</v>
      </c>
      <c r="L35" s="341">
        <f t="shared" ca="1" si="5"/>
        <v>0.10919540229885058</v>
      </c>
      <c r="M35" s="341">
        <f t="shared" ca="1" si="10"/>
        <v>0.10919540229885058</v>
      </c>
    </row>
    <row r="36" spans="1:13">
      <c r="A36" s="80">
        <v>12</v>
      </c>
      <c r="B36" s="80" t="s">
        <v>477</v>
      </c>
      <c r="C36" s="82" t="s">
        <v>478</v>
      </c>
      <c r="D36" s="81">
        <v>38719</v>
      </c>
      <c r="E36" s="81">
        <v>39052</v>
      </c>
      <c r="F36" s="81">
        <v>39052</v>
      </c>
      <c r="G36" s="34">
        <f t="shared" si="0"/>
        <v>1</v>
      </c>
      <c r="H36" s="341">
        <f t="shared" si="7"/>
        <v>333</v>
      </c>
      <c r="I36" s="341">
        <f t="shared" ca="1" si="2"/>
        <v>0.38275862068965516</v>
      </c>
      <c r="J36" s="341">
        <f t="shared" ca="1" si="8"/>
        <v>0.38275862068965516</v>
      </c>
      <c r="K36" s="341">
        <f t="shared" si="9"/>
        <v>333</v>
      </c>
      <c r="L36" s="341">
        <f t="shared" ca="1" si="5"/>
        <v>0.38275862068965516</v>
      </c>
      <c r="M36" s="341">
        <f t="shared" ca="1" si="10"/>
        <v>0.38275862068965516</v>
      </c>
    </row>
    <row r="37" spans="1:13" ht="22.5">
      <c r="A37" s="80">
        <v>13</v>
      </c>
      <c r="B37" s="83" t="s">
        <v>477</v>
      </c>
      <c r="C37" s="84" t="s">
        <v>479</v>
      </c>
      <c r="D37" s="81">
        <v>38838</v>
      </c>
      <c r="E37" s="81">
        <v>39052</v>
      </c>
      <c r="F37" s="81">
        <v>39052</v>
      </c>
      <c r="G37" s="34">
        <f t="shared" si="0"/>
        <v>1</v>
      </c>
      <c r="H37" s="341">
        <f t="shared" si="7"/>
        <v>214</v>
      </c>
      <c r="I37" s="341">
        <f t="shared" ca="1" si="2"/>
        <v>0.24597701149425288</v>
      </c>
      <c r="J37" s="341">
        <f t="shared" ca="1" si="8"/>
        <v>0.24597701149425288</v>
      </c>
      <c r="K37" s="341">
        <f t="shared" si="9"/>
        <v>214</v>
      </c>
      <c r="L37" s="341">
        <f t="shared" ca="1" si="5"/>
        <v>0.24597701149425288</v>
      </c>
      <c r="M37" s="341">
        <f t="shared" ca="1" si="10"/>
        <v>0.24597701149425288</v>
      </c>
    </row>
  </sheetData>
  <mergeCells count="2">
    <mergeCell ref="A30:J30"/>
    <mergeCell ref="A31:J31"/>
  </mergeCells>
  <dataValidations count="2">
    <dataValidation allowBlank="1" showInputMessage="1" showErrorMessage="1" errorTitle="Input Invalid" error="Selection must be from drop down list." sqref="E32:F32"/>
    <dataValidation type="list" allowBlank="1" showDropDown="1" showInputMessage="1" errorTitle="Input Invalid" error="Selection must be from drop down list." sqref="D32">
      <formula1>#REF!</formula1>
    </dataValidation>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9:15:17 PM
Last Printed: 2/5/2008 6:12:16 PM&amp;R&amp;5&amp;P - &amp;N
Title :&lt;Not Set&gt;
Subject: &lt;Not Set&gt;</oddFooter>
  </headerFooter>
  <drawing r:id="rId2"/>
</worksheet>
</file>

<file path=xl/worksheets/sheet24.xml><?xml version="1.0" encoding="utf-8"?>
<worksheet xmlns="http://schemas.openxmlformats.org/spreadsheetml/2006/main" xmlns:r="http://schemas.openxmlformats.org/officeDocument/2006/relationships">
  <sheetPr codeName="Sheet12"/>
  <dimension ref="A1:AD39"/>
  <sheetViews>
    <sheetView workbookViewId="0"/>
  </sheetViews>
  <sheetFormatPr defaultRowHeight="12.75"/>
  <cols>
    <col min="1" max="1" width="5.7109375" customWidth="1"/>
    <col min="2" max="2" width="30.7109375" customWidth="1"/>
    <col min="3" max="3" width="50.7109375" customWidth="1"/>
    <col min="4" max="6" width="12.7109375" customWidth="1"/>
    <col min="7" max="7" width="10.7109375" style="34" customWidth="1"/>
  </cols>
  <sheetData>
    <row r="1" spans="1:3">
      <c r="A1" s="5" t="s">
        <v>30</v>
      </c>
    </row>
    <row r="2" spans="1:3">
      <c r="A2" s="5" t="s">
        <v>60</v>
      </c>
    </row>
    <row r="4" spans="1:3">
      <c r="B4" s="176" t="s">
        <v>420</v>
      </c>
      <c r="C4" s="176" t="s">
        <v>441</v>
      </c>
    </row>
    <row r="5" spans="1:3">
      <c r="B5" s="176" t="s">
        <v>23</v>
      </c>
      <c r="C5" t="str">
        <f>Survey_Period</f>
        <v>H2 2006</v>
      </c>
    </row>
    <row r="6" spans="1:3">
      <c r="B6" s="176" t="s">
        <v>106</v>
      </c>
      <c r="C6" s="176" t="s">
        <v>606</v>
      </c>
    </row>
    <row r="7" spans="1:3">
      <c r="B7" s="176" t="s">
        <v>107</v>
      </c>
      <c r="C7" s="176" t="s">
        <v>80</v>
      </c>
    </row>
    <row r="11" spans="1:3">
      <c r="B11" s="176" t="s">
        <v>21</v>
      </c>
      <c r="C11" s="176" t="s">
        <v>49</v>
      </c>
    </row>
    <row r="12" spans="1:3">
      <c r="B12" s="176" t="s">
        <v>52</v>
      </c>
      <c r="C12" s="176" t="s">
        <v>68</v>
      </c>
    </row>
    <row r="13" spans="1:3">
      <c r="B13" s="176" t="s">
        <v>109</v>
      </c>
      <c r="C13">
        <v>34</v>
      </c>
    </row>
    <row r="14" spans="1:3">
      <c r="B14" s="176" t="s">
        <v>111</v>
      </c>
      <c r="C14">
        <v>39</v>
      </c>
    </row>
    <row r="15" spans="1:3">
      <c r="B15" s="176" t="s">
        <v>110</v>
      </c>
      <c r="C15">
        <v>7</v>
      </c>
    </row>
    <row r="16" spans="1:3">
      <c r="B16" s="176" t="s">
        <v>112</v>
      </c>
      <c r="C16">
        <v>7</v>
      </c>
    </row>
    <row r="24" spans="1:30">
      <c r="B24" s="317" t="s">
        <v>1125</v>
      </c>
      <c r="C24" s="474">
        <f ca="1">SUM(INDIRECT(ADDRESS($C$13, 13, TRUE)):INDIRECT(ADDRESS($C$14, 13, TRUE)))</f>
        <v>0.97458567250479033</v>
      </c>
    </row>
    <row r="25" spans="1:30">
      <c r="B25" s="317" t="s">
        <v>1124</v>
      </c>
      <c r="C25" s="474">
        <f ca="1">SUM(INDIRECT(ADDRESS($C$13, 10, TRUE)):INDIRECT(ADDRESS($C$14, 10, TRUE)))</f>
        <v>0.97712849339474761</v>
      </c>
    </row>
    <row r="26" spans="1:30">
      <c r="B26" s="341" t="s">
        <v>108</v>
      </c>
      <c r="C26" s="478">
        <f ca="1">AVERAGE(INDIRECT(ADDRESS($C$13, $C$15, TRUE)):INDIRECT(ADDRESS($C$14, $C$16, TRUE)))</f>
        <v>0.98013245033112584</v>
      </c>
    </row>
    <row r="27" spans="1:30">
      <c r="B27" s="341" t="s">
        <v>691</v>
      </c>
      <c r="C27" s="341">
        <f>C14-C13+1</f>
        <v>6</v>
      </c>
    </row>
    <row r="28" spans="1:30">
      <c r="B28" s="317" t="s">
        <v>1122</v>
      </c>
      <c r="C28" s="341">
        <f ca="1">SUM(INDIRECT(ADDRESS($C$13, 8, TRUE)):INDIRECT(ADDRESS($C$14, 8, TRUE)))</f>
        <v>959</v>
      </c>
    </row>
    <row r="29" spans="1:30">
      <c r="B29" s="317" t="s">
        <v>1123</v>
      </c>
      <c r="C29" s="341">
        <f ca="1">SUM(INDIRECT(ADDRESS($C$13, 11, TRUE)):INDIRECT(ADDRESS($C$14, 11, TRUE)))</f>
        <v>985</v>
      </c>
    </row>
    <row r="30" spans="1:30" ht="18.75">
      <c r="A30" s="85"/>
      <c r="B30" s="86" t="s">
        <v>541</v>
      </c>
      <c r="C30" s="87"/>
      <c r="D30" s="87"/>
      <c r="E30" s="87"/>
      <c r="F30" s="119"/>
      <c r="G30" s="143"/>
      <c r="H30" s="119"/>
      <c r="I30" s="119"/>
      <c r="J30" s="119"/>
      <c r="K30" s="173"/>
      <c r="L30" s="87"/>
      <c r="M30" s="87"/>
      <c r="N30" s="90"/>
      <c r="O30" s="90"/>
      <c r="P30" s="90"/>
      <c r="Q30" s="90"/>
      <c r="R30" s="90"/>
      <c r="S30" s="90"/>
      <c r="T30" s="90"/>
      <c r="U30" s="90"/>
      <c r="V30" s="90"/>
      <c r="W30" s="90"/>
      <c r="X30" s="90"/>
      <c r="Y30" s="90"/>
      <c r="Z30" s="90"/>
      <c r="AA30" s="90"/>
      <c r="AB30" s="90"/>
      <c r="AC30" s="90"/>
      <c r="AD30" s="90"/>
    </row>
    <row r="31" spans="1:30">
      <c r="A31" s="91"/>
      <c r="B31" s="92" t="s">
        <v>44</v>
      </c>
      <c r="C31" s="93"/>
      <c r="D31" s="93"/>
      <c r="E31" s="93"/>
      <c r="F31" s="120"/>
      <c r="G31" s="144"/>
      <c r="H31" s="120"/>
      <c r="I31" s="120"/>
      <c r="J31" s="120"/>
      <c r="K31" s="174"/>
      <c r="L31" s="93"/>
      <c r="M31" s="93"/>
      <c r="N31" s="176"/>
      <c r="O31" s="176"/>
      <c r="P31" s="176"/>
      <c r="Q31" s="176"/>
      <c r="R31" s="176"/>
      <c r="S31" s="176"/>
      <c r="T31" s="176"/>
      <c r="U31" s="176"/>
      <c r="V31" s="176"/>
      <c r="W31" s="176"/>
      <c r="X31" s="176"/>
      <c r="Y31" s="176"/>
      <c r="Z31" s="176"/>
      <c r="AA31" s="176"/>
      <c r="AB31" s="176"/>
      <c r="AC31" s="176"/>
      <c r="AD31" s="176"/>
    </row>
    <row r="32" spans="1:30">
      <c r="A32" s="96"/>
      <c r="B32" s="97" t="s">
        <v>542</v>
      </c>
      <c r="C32" s="98"/>
      <c r="D32" s="98"/>
      <c r="E32" s="98"/>
      <c r="F32" s="121"/>
      <c r="G32" s="145"/>
      <c r="H32" s="121"/>
      <c r="I32" s="121"/>
      <c r="J32" s="121"/>
      <c r="K32" s="175"/>
      <c r="L32" s="98"/>
      <c r="M32" s="98"/>
      <c r="N32" s="176"/>
      <c r="O32" s="176"/>
      <c r="P32" s="176"/>
      <c r="Q32" s="176"/>
      <c r="R32" s="176"/>
      <c r="S32" s="176"/>
      <c r="T32" s="176"/>
      <c r="U32" s="176"/>
      <c r="V32" s="176"/>
      <c r="W32" s="176"/>
      <c r="X32" s="176"/>
      <c r="Y32" s="176"/>
      <c r="Z32" s="176"/>
      <c r="AA32" s="176"/>
      <c r="AB32" s="176"/>
      <c r="AC32" s="176"/>
      <c r="AD32" s="176"/>
    </row>
    <row r="33" spans="1:13" ht="36">
      <c r="A33" s="101" t="s">
        <v>89</v>
      </c>
      <c r="B33" s="102" t="s">
        <v>90</v>
      </c>
      <c r="C33" s="101" t="s">
        <v>91</v>
      </c>
      <c r="D33" s="122" t="s">
        <v>92</v>
      </c>
      <c r="E33" s="123" t="s">
        <v>93</v>
      </c>
      <c r="F33" s="123" t="s">
        <v>94</v>
      </c>
    </row>
    <row r="34" spans="1:13">
      <c r="A34" s="134">
        <v>216</v>
      </c>
      <c r="B34" s="177" t="s">
        <v>608</v>
      </c>
      <c r="C34" s="131" t="s">
        <v>609</v>
      </c>
      <c r="D34" s="132">
        <v>38838</v>
      </c>
      <c r="E34" s="178">
        <v>38897</v>
      </c>
      <c r="F34" s="106">
        <v>38897</v>
      </c>
      <c r="G34" s="34">
        <f t="shared" ref="G34:G39" si="0">IF(AND(NOT(ISBLANK(D34)),ISNUMBER(D34),     NOT(ISBLANK(E34)),ISNUMBER(E34),     NOT(ISBLANK(F34)),ISNUMBER(F34)),NETWORKDAYS(D34,F34)/NETWORKDAYS(D34,E34),"Not Used")</f>
        <v>1</v>
      </c>
      <c r="H34" s="341">
        <f t="shared" ref="H34" si="1">F34-D34</f>
        <v>59</v>
      </c>
      <c r="I34" s="341">
        <f t="shared" ref="I34:I39" ca="1" si="2">H34/$C$28</f>
        <v>6.1522419186652764E-2</v>
      </c>
      <c r="J34" s="341">
        <f t="shared" ref="J34" ca="1" si="3">G34*I34</f>
        <v>6.1522419186652764E-2</v>
      </c>
      <c r="K34" s="341">
        <f t="shared" ref="K34" si="4">E34-D34</f>
        <v>59</v>
      </c>
      <c r="L34" s="341">
        <f t="shared" ref="L34:L39" ca="1" si="5">K34/$C$29</f>
        <v>5.9898477157360408E-2</v>
      </c>
      <c r="M34" s="341">
        <f t="shared" ref="M34" ca="1" si="6">G34*L34</f>
        <v>5.9898477157360408E-2</v>
      </c>
    </row>
    <row r="35" spans="1:13" ht="13.5" thickBot="1">
      <c r="A35" s="182">
        <v>217</v>
      </c>
      <c r="B35" s="183" t="s">
        <v>610</v>
      </c>
      <c r="C35" s="183" t="s">
        <v>607</v>
      </c>
      <c r="D35" s="184">
        <v>38693</v>
      </c>
      <c r="E35" s="185">
        <v>38903</v>
      </c>
      <c r="F35" s="184">
        <v>38877</v>
      </c>
      <c r="G35" s="34">
        <f t="shared" si="0"/>
        <v>0.88079470198675491</v>
      </c>
      <c r="H35" s="341">
        <f t="shared" ref="H35:H39" si="7">F35-D35</f>
        <v>184</v>
      </c>
      <c r="I35" s="341">
        <f t="shared" ca="1" si="2"/>
        <v>0.19186652763295098</v>
      </c>
      <c r="J35" s="341">
        <f t="shared" ref="J35:J39" ca="1" si="8">G35*I35</f>
        <v>0.16899502102769853</v>
      </c>
      <c r="K35" s="341">
        <f t="shared" ref="K35:K39" si="9">E35-D35</f>
        <v>210</v>
      </c>
      <c r="L35" s="341">
        <f t="shared" ca="1" si="5"/>
        <v>0.21319796954314721</v>
      </c>
      <c r="M35" s="341">
        <f t="shared" ref="M35:M39" ca="1" si="10">G35*L35</f>
        <v>0.1877836420479376</v>
      </c>
    </row>
    <row r="36" spans="1:13" ht="22.5">
      <c r="A36" s="134">
        <v>225</v>
      </c>
      <c r="B36" s="177" t="s">
        <v>611</v>
      </c>
      <c r="C36" s="131" t="s">
        <v>612</v>
      </c>
      <c r="D36" s="132">
        <v>38918</v>
      </c>
      <c r="E36" s="178">
        <v>38925</v>
      </c>
      <c r="F36" s="106">
        <v>38925</v>
      </c>
      <c r="G36" s="34">
        <f t="shared" si="0"/>
        <v>1</v>
      </c>
      <c r="H36" s="341">
        <f t="shared" si="7"/>
        <v>7</v>
      </c>
      <c r="I36" s="341">
        <f t="shared" ca="1" si="2"/>
        <v>7.2992700729927005E-3</v>
      </c>
      <c r="J36" s="341">
        <f t="shared" ca="1" si="8"/>
        <v>7.2992700729927005E-3</v>
      </c>
      <c r="K36" s="341">
        <f t="shared" si="9"/>
        <v>7</v>
      </c>
      <c r="L36" s="341">
        <f t="shared" ca="1" si="5"/>
        <v>7.1065989847715737E-3</v>
      </c>
      <c r="M36" s="341">
        <f t="shared" ca="1" si="10"/>
        <v>7.1065989847715737E-3</v>
      </c>
    </row>
    <row r="37" spans="1:13" ht="22.5">
      <c r="A37" s="134">
        <v>231</v>
      </c>
      <c r="B37" s="177" t="s">
        <v>613</v>
      </c>
      <c r="C37" s="131" t="s">
        <v>614</v>
      </c>
      <c r="D37" s="132">
        <v>38567</v>
      </c>
      <c r="E37" s="178">
        <v>38954</v>
      </c>
      <c r="F37" s="178">
        <v>38954</v>
      </c>
      <c r="G37" s="34">
        <f t="shared" si="0"/>
        <v>1</v>
      </c>
      <c r="H37" s="341">
        <f t="shared" si="7"/>
        <v>387</v>
      </c>
      <c r="I37" s="341">
        <f t="shared" ca="1" si="2"/>
        <v>0.40354535974973932</v>
      </c>
      <c r="J37" s="341">
        <f t="shared" ca="1" si="8"/>
        <v>0.40354535974973932</v>
      </c>
      <c r="K37" s="341">
        <f t="shared" si="9"/>
        <v>387</v>
      </c>
      <c r="L37" s="341">
        <f t="shared" ca="1" si="5"/>
        <v>0.39289340101522841</v>
      </c>
      <c r="M37" s="341">
        <f t="shared" ca="1" si="10"/>
        <v>0.39289340101522841</v>
      </c>
    </row>
    <row r="38" spans="1:13" ht="22.5">
      <c r="A38" s="186">
        <v>241</v>
      </c>
      <c r="B38" s="177" t="s">
        <v>615</v>
      </c>
      <c r="C38" s="131" t="s">
        <v>616</v>
      </c>
      <c r="D38" s="132">
        <v>38714</v>
      </c>
      <c r="E38" s="187">
        <v>39023</v>
      </c>
      <c r="F38" s="132">
        <v>39023</v>
      </c>
      <c r="G38" s="34">
        <f t="shared" si="0"/>
        <v>1</v>
      </c>
      <c r="H38" s="341">
        <f t="shared" si="7"/>
        <v>309</v>
      </c>
      <c r="I38" s="341">
        <f t="shared" ca="1" si="2"/>
        <v>0.32221063607924921</v>
      </c>
      <c r="J38" s="341">
        <f t="shared" ca="1" si="8"/>
        <v>0.32221063607924921</v>
      </c>
      <c r="K38" s="341">
        <f t="shared" si="9"/>
        <v>309</v>
      </c>
      <c r="L38" s="341">
        <f t="shared" ca="1" si="5"/>
        <v>0.31370558375634516</v>
      </c>
      <c r="M38" s="341">
        <f t="shared" ca="1" si="10"/>
        <v>0.31370558375634516</v>
      </c>
    </row>
    <row r="39" spans="1:13" ht="22.5">
      <c r="A39" s="186">
        <v>242</v>
      </c>
      <c r="B39" s="177" t="s">
        <v>617</v>
      </c>
      <c r="C39" s="131" t="s">
        <v>618</v>
      </c>
      <c r="D39" s="132">
        <v>39024</v>
      </c>
      <c r="E39" s="187">
        <v>39037</v>
      </c>
      <c r="F39" s="187">
        <v>39037</v>
      </c>
      <c r="G39" s="34">
        <f t="shared" si="0"/>
        <v>1</v>
      </c>
      <c r="H39" s="341">
        <f t="shared" si="7"/>
        <v>13</v>
      </c>
      <c r="I39" s="341">
        <f t="shared" ca="1" si="2"/>
        <v>1.3555787278415016E-2</v>
      </c>
      <c r="J39" s="341">
        <f t="shared" ca="1" si="8"/>
        <v>1.3555787278415016E-2</v>
      </c>
      <c r="K39" s="341">
        <f t="shared" si="9"/>
        <v>13</v>
      </c>
      <c r="L39" s="341">
        <f t="shared" ca="1" si="5"/>
        <v>1.3197969543147208E-2</v>
      </c>
      <c r="M39" s="341">
        <f t="shared" ca="1" si="10"/>
        <v>1.3197969543147208E-2</v>
      </c>
    </row>
  </sheetData>
  <dataValidations count="2">
    <dataValidation allowBlank="1" showInputMessage="1" showErrorMessage="1" errorTitle="Input Invalid" error="Selection must be from drop down list." sqref="F38 F36 E33:F33 D34:D39 E35:F35 F34"/>
    <dataValidation type="list" allowBlank="1" showDropDown="1" showInputMessage="1" errorTitle="Input Invalid" error="Selection must be from drop down list." sqref="D33">
      <formula1>$GC$6:$GC$12</formula1>
    </dataValidation>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9:15:17 PM
Last Printed: 2/5/2008 6:12:16 PM&amp;R&amp;5&amp;P - &amp;N
Title :&lt;Not Set&gt;
Subject: &lt;Not Set&gt;</oddFooter>
  </headerFooter>
  <drawing r:id="rId2"/>
</worksheet>
</file>

<file path=xl/worksheets/sheet25.xml><?xml version="1.0" encoding="utf-8"?>
<worksheet xmlns="http://schemas.openxmlformats.org/spreadsheetml/2006/main" xmlns:r="http://schemas.openxmlformats.org/officeDocument/2006/relationships">
  <sheetPr codeName="Sheet14"/>
  <dimension ref="A1:R74"/>
  <sheetViews>
    <sheetView workbookViewId="0"/>
  </sheetViews>
  <sheetFormatPr defaultRowHeight="12.75"/>
  <cols>
    <col min="1" max="1" width="5.7109375" customWidth="1"/>
    <col min="2" max="2" width="32.140625" customWidth="1"/>
    <col min="3" max="3" width="50.7109375" customWidth="1"/>
    <col min="4" max="6" width="12.7109375" customWidth="1"/>
    <col min="7" max="7" width="10.7109375" style="34" customWidth="1"/>
  </cols>
  <sheetData>
    <row r="1" spans="1:3">
      <c r="A1" s="5" t="s">
        <v>30</v>
      </c>
    </row>
    <row r="2" spans="1:3">
      <c r="A2" s="5" t="s">
        <v>60</v>
      </c>
    </row>
    <row r="4" spans="1:3">
      <c r="B4" s="195" t="s">
        <v>420</v>
      </c>
      <c r="C4" s="195" t="s">
        <v>441</v>
      </c>
    </row>
    <row r="5" spans="1:3">
      <c r="B5" s="195" t="s">
        <v>23</v>
      </c>
      <c r="C5" t="str">
        <f>Survey_Period</f>
        <v>H2 2006</v>
      </c>
    </row>
    <row r="6" spans="1:3">
      <c r="B6" s="195" t="s">
        <v>106</v>
      </c>
      <c r="C6" s="195" t="s">
        <v>619</v>
      </c>
    </row>
    <row r="7" spans="1:3">
      <c r="B7" s="195" t="s">
        <v>107</v>
      </c>
      <c r="C7" s="195" t="s">
        <v>80</v>
      </c>
    </row>
    <row r="11" spans="1:3">
      <c r="B11" s="195" t="s">
        <v>21</v>
      </c>
      <c r="C11" s="195" t="s">
        <v>31</v>
      </c>
    </row>
    <row r="12" spans="1:3">
      <c r="B12" s="195" t="s">
        <v>52</v>
      </c>
      <c r="C12" s="195" t="s">
        <v>9</v>
      </c>
    </row>
    <row r="13" spans="1:3">
      <c r="B13" s="195" t="s">
        <v>109</v>
      </c>
      <c r="C13">
        <v>34</v>
      </c>
    </row>
    <row r="14" spans="1:3">
      <c r="B14" s="195" t="s">
        <v>111</v>
      </c>
      <c r="C14">
        <v>74</v>
      </c>
    </row>
    <row r="15" spans="1:3">
      <c r="B15" s="195" t="s">
        <v>110</v>
      </c>
      <c r="C15">
        <v>7</v>
      </c>
    </row>
    <row r="16" spans="1:3">
      <c r="B16" s="195" t="s">
        <v>112</v>
      </c>
      <c r="C16">
        <v>7</v>
      </c>
    </row>
    <row r="24" spans="1:18">
      <c r="B24" s="317" t="s">
        <v>1125</v>
      </c>
      <c r="C24" s="474">
        <f ca="1">SUM(INDIRECT(ADDRESS($C$13, 13, TRUE)):INDIRECT(ADDRESS($C$14, 13, TRUE)))</f>
        <v>0.98824762711603897</v>
      </c>
    </row>
    <row r="25" spans="1:18">
      <c r="B25" s="317" t="s">
        <v>1124</v>
      </c>
      <c r="C25" s="474">
        <f ca="1">SUM(INDIRECT(ADDRESS($C$13, 10, TRUE)):INDIRECT(ADDRESS($C$14, 10, TRUE)))</f>
        <v>0.9902585937602002</v>
      </c>
    </row>
    <row r="26" spans="1:18">
      <c r="B26" s="341" t="s">
        <v>108</v>
      </c>
      <c r="C26" s="478">
        <f ca="1">AVERAGE(INDIRECT(ADDRESS($C$13, $C$15, TRUE)):INDIRECT(ADDRESS($C$14, $C$16, TRUE)))</f>
        <v>0.97835312193382962</v>
      </c>
    </row>
    <row r="27" spans="1:18">
      <c r="B27" s="341" t="s">
        <v>691</v>
      </c>
      <c r="C27" s="341">
        <f>C14-C13+1</f>
        <v>41</v>
      </c>
    </row>
    <row r="28" spans="1:18">
      <c r="B28" s="317" t="s">
        <v>1122</v>
      </c>
      <c r="C28" s="341">
        <f ca="1">SUM(INDIRECT(ADDRESS($C$13, 8, TRUE)):INDIRECT(ADDRESS($C$14, 8, TRUE)))</f>
        <v>3970</v>
      </c>
    </row>
    <row r="29" spans="1:18">
      <c r="B29" s="317" t="s">
        <v>1123</v>
      </c>
      <c r="C29" s="341">
        <f ca="1">SUM(INDIRECT(ADDRESS($C$13, 11, TRUE)):INDIRECT(ADDRESS($C$14, 11, TRUE)))</f>
        <v>4010</v>
      </c>
    </row>
    <row r="30" spans="1:18" ht="14.25">
      <c r="A30" s="195"/>
      <c r="B30" s="85"/>
      <c r="C30" s="672" t="s">
        <v>620</v>
      </c>
      <c r="D30" s="677"/>
      <c r="E30" s="677"/>
      <c r="F30" s="677"/>
      <c r="G30" s="677"/>
      <c r="H30" s="677"/>
      <c r="I30" s="677"/>
      <c r="J30" s="677"/>
      <c r="K30" s="677"/>
      <c r="L30" s="677"/>
      <c r="M30" s="677"/>
      <c r="N30" s="678"/>
      <c r="O30" s="90"/>
      <c r="P30" s="195"/>
      <c r="Q30" s="195"/>
      <c r="R30" s="195"/>
    </row>
    <row r="31" spans="1:18">
      <c r="A31" s="195"/>
      <c r="B31" s="91"/>
      <c r="C31" s="679" t="s">
        <v>621</v>
      </c>
      <c r="D31" s="680"/>
      <c r="E31" s="680"/>
      <c r="F31" s="680"/>
      <c r="G31" s="680"/>
      <c r="H31" s="680"/>
      <c r="I31" s="680"/>
      <c r="J31" s="680"/>
      <c r="K31" s="680"/>
      <c r="L31" s="680"/>
      <c r="M31" s="680"/>
      <c r="N31" s="680"/>
      <c r="O31" s="36"/>
      <c r="P31" s="195"/>
      <c r="Q31" s="195"/>
      <c r="R31" s="195"/>
    </row>
    <row r="32" spans="1:18">
      <c r="A32" s="195"/>
      <c r="B32" s="96"/>
      <c r="C32" s="681" t="s">
        <v>622</v>
      </c>
      <c r="D32" s="682"/>
      <c r="E32" s="682"/>
      <c r="F32" s="682"/>
      <c r="G32" s="682"/>
      <c r="H32" s="682"/>
      <c r="I32" s="682"/>
      <c r="J32" s="682"/>
      <c r="K32" s="682"/>
      <c r="L32" s="682"/>
      <c r="M32" s="682"/>
      <c r="N32" s="682"/>
      <c r="O32" s="36"/>
      <c r="P32" s="195"/>
      <c r="Q32" s="195"/>
      <c r="R32" s="195"/>
    </row>
    <row r="33" spans="1:13" ht="36">
      <c r="A33" s="195" t="s">
        <v>89</v>
      </c>
      <c r="B33" s="101" t="s">
        <v>90</v>
      </c>
      <c r="C33" s="101" t="s">
        <v>91</v>
      </c>
      <c r="D33" s="101" t="s">
        <v>92</v>
      </c>
      <c r="E33" s="103" t="s">
        <v>93</v>
      </c>
      <c r="F33" s="103" t="s">
        <v>94</v>
      </c>
    </row>
    <row r="34" spans="1:13" ht="38.25">
      <c r="A34" s="195">
        <v>82</v>
      </c>
      <c r="B34" s="82" t="s">
        <v>623</v>
      </c>
      <c r="C34" s="82" t="s">
        <v>624</v>
      </c>
      <c r="D34" s="178">
        <v>38737</v>
      </c>
      <c r="E34" s="178">
        <v>38919</v>
      </c>
      <c r="F34" s="181">
        <v>38923</v>
      </c>
      <c r="G34" s="34">
        <f t="shared" ref="G34:G60" si="0">IF(AND(NOT(ISBLANK(D34)),ISNUMBER(D34),     NOT(ISBLANK(E34)),ISNUMBER(E34),     NOT(ISBLANK(F34)),ISNUMBER(F34)),NETWORKDAYS(D34,F34)/NETWORKDAYS(D34,E34),"Not Used")</f>
        <v>1.0152671755725191</v>
      </c>
      <c r="H34" s="341">
        <f t="shared" ref="H34" si="1">F34-D34</f>
        <v>186</v>
      </c>
      <c r="I34" s="341">
        <f t="shared" ref="I34:I74" ca="1" si="2">H34/$C$28</f>
        <v>4.6851385390428213E-2</v>
      </c>
      <c r="J34" s="341">
        <f t="shared" ref="J34" ca="1" si="3">G34*I34</f>
        <v>4.7566673716999637E-2</v>
      </c>
      <c r="K34" s="341">
        <f t="shared" ref="K34" si="4">E34-D34</f>
        <v>182</v>
      </c>
      <c r="L34" s="341">
        <f t="shared" ref="L34:L74" ca="1" si="5">K34/$C$29</f>
        <v>4.5386533665835414E-2</v>
      </c>
      <c r="M34" s="341">
        <f t="shared" ref="M34" ca="1" si="6">G34*L34</f>
        <v>4.607945784393977E-2</v>
      </c>
    </row>
    <row r="35" spans="1:13" ht="33.75">
      <c r="A35" s="195">
        <v>83</v>
      </c>
      <c r="B35" s="82" t="s">
        <v>625</v>
      </c>
      <c r="C35" s="189" t="s">
        <v>626</v>
      </c>
      <c r="D35" s="178">
        <v>38769</v>
      </c>
      <c r="E35" s="178">
        <v>38926</v>
      </c>
      <c r="F35" s="181">
        <v>38924</v>
      </c>
      <c r="G35" s="34">
        <f t="shared" si="0"/>
        <v>0.98245614035087714</v>
      </c>
      <c r="H35" s="341">
        <f t="shared" ref="H35:H74" si="7">F35-D35</f>
        <v>155</v>
      </c>
      <c r="I35" s="341">
        <f t="shared" ca="1" si="2"/>
        <v>3.9042821158690177E-2</v>
      </c>
      <c r="J35" s="341">
        <f t="shared" ref="J35:J74" ca="1" si="8">G35*I35</f>
        <v>3.835785938397631E-2</v>
      </c>
      <c r="K35" s="341">
        <f t="shared" ref="K35:K74" si="9">E35-D35</f>
        <v>157</v>
      </c>
      <c r="L35" s="341">
        <f t="shared" ca="1" si="5"/>
        <v>3.9152119700748132E-2</v>
      </c>
      <c r="M35" s="341">
        <f t="shared" ref="M35:M74" ca="1" si="10">G35*L35</f>
        <v>3.8465240407752552E-2</v>
      </c>
    </row>
    <row r="36" spans="1:13" ht="45">
      <c r="A36" s="195">
        <v>84</v>
      </c>
      <c r="B36" s="82" t="s">
        <v>627</v>
      </c>
      <c r="C36" s="82" t="s">
        <v>628</v>
      </c>
      <c r="D36" s="178">
        <v>38869</v>
      </c>
      <c r="E36" s="181">
        <v>38954</v>
      </c>
      <c r="F36" s="181">
        <v>38954</v>
      </c>
      <c r="G36" s="34">
        <f t="shared" si="0"/>
        <v>1</v>
      </c>
      <c r="H36" s="341">
        <f t="shared" si="7"/>
        <v>85</v>
      </c>
      <c r="I36" s="341">
        <f t="shared" ca="1" si="2"/>
        <v>2.1410579345088162E-2</v>
      </c>
      <c r="J36" s="341">
        <f t="shared" ca="1" si="8"/>
        <v>2.1410579345088162E-2</v>
      </c>
      <c r="K36" s="341">
        <f t="shared" si="9"/>
        <v>85</v>
      </c>
      <c r="L36" s="341">
        <f t="shared" ca="1" si="5"/>
        <v>2.119700748129676E-2</v>
      </c>
      <c r="M36" s="341">
        <f t="shared" ca="1" si="10"/>
        <v>2.119700748129676E-2</v>
      </c>
    </row>
    <row r="37" spans="1:13" ht="25.5">
      <c r="A37" s="195">
        <v>85</v>
      </c>
      <c r="B37" s="82" t="s">
        <v>629</v>
      </c>
      <c r="C37" s="188" t="s">
        <v>630</v>
      </c>
      <c r="D37" s="178">
        <v>38665</v>
      </c>
      <c r="E37" s="181">
        <v>38947</v>
      </c>
      <c r="F37" s="181">
        <v>38947</v>
      </c>
      <c r="G37" s="34">
        <f t="shared" si="0"/>
        <v>1</v>
      </c>
      <c r="H37" s="341">
        <f t="shared" si="7"/>
        <v>282</v>
      </c>
      <c r="I37" s="341">
        <f t="shared" ca="1" si="2"/>
        <v>7.1032745591939547E-2</v>
      </c>
      <c r="J37" s="341">
        <f t="shared" ca="1" si="8"/>
        <v>7.1032745591939547E-2</v>
      </c>
      <c r="K37" s="341">
        <f t="shared" si="9"/>
        <v>282</v>
      </c>
      <c r="L37" s="341">
        <f t="shared" ca="1" si="5"/>
        <v>7.0324189526184536E-2</v>
      </c>
      <c r="M37" s="341">
        <f t="shared" ca="1" si="10"/>
        <v>7.0324189526184536E-2</v>
      </c>
    </row>
    <row r="38" spans="1:13" ht="33.75">
      <c r="A38" s="195">
        <v>86</v>
      </c>
      <c r="B38" s="82" t="s">
        <v>631</v>
      </c>
      <c r="C38" s="82" t="s">
        <v>632</v>
      </c>
      <c r="D38" s="178">
        <v>38769</v>
      </c>
      <c r="E38" s="181">
        <v>38940</v>
      </c>
      <c r="F38" s="181">
        <v>38939</v>
      </c>
      <c r="G38" s="34">
        <f t="shared" si="0"/>
        <v>0.99193548387096775</v>
      </c>
      <c r="H38" s="341">
        <f t="shared" si="7"/>
        <v>170</v>
      </c>
      <c r="I38" s="341">
        <f t="shared" ca="1" si="2"/>
        <v>4.2821158690176324E-2</v>
      </c>
      <c r="J38" s="341">
        <f t="shared" ca="1" si="8"/>
        <v>4.2475826765255548E-2</v>
      </c>
      <c r="K38" s="341">
        <f t="shared" si="9"/>
        <v>171</v>
      </c>
      <c r="L38" s="341">
        <f t="shared" ca="1" si="5"/>
        <v>4.2643391521197005E-2</v>
      </c>
      <c r="M38" s="341">
        <f t="shared" ca="1" si="10"/>
        <v>4.2299493202477674E-2</v>
      </c>
    </row>
    <row r="39" spans="1:13" ht="56.25">
      <c r="A39" s="195">
        <v>87</v>
      </c>
      <c r="B39" s="82" t="s">
        <v>633</v>
      </c>
      <c r="C39" s="82" t="s">
        <v>634</v>
      </c>
      <c r="D39" s="178">
        <v>38769</v>
      </c>
      <c r="E39" s="181">
        <v>38982</v>
      </c>
      <c r="F39" s="181">
        <v>38982</v>
      </c>
      <c r="G39" s="34">
        <f t="shared" si="0"/>
        <v>1</v>
      </c>
      <c r="H39" s="341">
        <f t="shared" si="7"/>
        <v>213</v>
      </c>
      <c r="I39" s="341">
        <f t="shared" ca="1" si="2"/>
        <v>5.3652392947103278E-2</v>
      </c>
      <c r="J39" s="341">
        <f t="shared" ca="1" si="8"/>
        <v>5.3652392947103278E-2</v>
      </c>
      <c r="K39" s="341">
        <f t="shared" si="9"/>
        <v>213</v>
      </c>
      <c r="L39" s="341">
        <f t="shared" ca="1" si="5"/>
        <v>5.3117206982543644E-2</v>
      </c>
      <c r="M39" s="341">
        <f t="shared" ca="1" si="10"/>
        <v>5.3117206982543644E-2</v>
      </c>
    </row>
    <row r="40" spans="1:13" ht="22.5">
      <c r="A40" s="195">
        <v>88</v>
      </c>
      <c r="B40" s="82" t="s">
        <v>635</v>
      </c>
      <c r="C40" s="82" t="s">
        <v>636</v>
      </c>
      <c r="D40" s="178">
        <v>38883</v>
      </c>
      <c r="E40" s="181">
        <v>38982</v>
      </c>
      <c r="F40" s="181">
        <v>38971</v>
      </c>
      <c r="G40" s="34">
        <f t="shared" si="0"/>
        <v>0.875</v>
      </c>
      <c r="H40" s="341">
        <f t="shared" si="7"/>
        <v>88</v>
      </c>
      <c r="I40" s="341">
        <f t="shared" ca="1" si="2"/>
        <v>2.216624685138539E-2</v>
      </c>
      <c r="J40" s="341">
        <f t="shared" ca="1" si="8"/>
        <v>1.9395465994962217E-2</v>
      </c>
      <c r="K40" s="341">
        <f t="shared" si="9"/>
        <v>99</v>
      </c>
      <c r="L40" s="341">
        <f t="shared" ca="1" si="5"/>
        <v>2.4688279301745636E-2</v>
      </c>
      <c r="M40" s="341">
        <f t="shared" ca="1" si="10"/>
        <v>2.1602244389027431E-2</v>
      </c>
    </row>
    <row r="41" spans="1:13" ht="22.5">
      <c r="A41" s="195">
        <v>89</v>
      </c>
      <c r="B41" s="82" t="s">
        <v>637</v>
      </c>
      <c r="C41" s="82" t="s">
        <v>638</v>
      </c>
      <c r="D41" s="178">
        <v>38934</v>
      </c>
      <c r="E41" s="181">
        <v>38990</v>
      </c>
      <c r="F41" s="181">
        <v>38990</v>
      </c>
      <c r="G41" s="34">
        <f t="shared" si="0"/>
        <v>1</v>
      </c>
      <c r="H41" s="341">
        <f t="shared" si="7"/>
        <v>56</v>
      </c>
      <c r="I41" s="341">
        <f t="shared" ca="1" si="2"/>
        <v>1.4105793450881612E-2</v>
      </c>
      <c r="J41" s="341">
        <f t="shared" ca="1" si="8"/>
        <v>1.4105793450881612E-2</v>
      </c>
      <c r="K41" s="341">
        <f t="shared" si="9"/>
        <v>56</v>
      </c>
      <c r="L41" s="341">
        <f t="shared" ca="1" si="5"/>
        <v>1.3965087281795512E-2</v>
      </c>
      <c r="M41" s="341">
        <f t="shared" ca="1" si="10"/>
        <v>1.3965087281795512E-2</v>
      </c>
    </row>
    <row r="42" spans="1:13" ht="22.5">
      <c r="A42" s="195">
        <v>90</v>
      </c>
      <c r="B42" s="82" t="s">
        <v>639</v>
      </c>
      <c r="C42" s="82" t="s">
        <v>640</v>
      </c>
      <c r="D42" s="178">
        <v>38936</v>
      </c>
      <c r="E42" s="181">
        <v>38968</v>
      </c>
      <c r="F42" s="181">
        <v>38968</v>
      </c>
      <c r="G42" s="34">
        <f t="shared" si="0"/>
        <v>1</v>
      </c>
      <c r="H42" s="341">
        <f t="shared" si="7"/>
        <v>32</v>
      </c>
      <c r="I42" s="341">
        <f t="shared" ca="1" si="2"/>
        <v>8.0604534005037781E-3</v>
      </c>
      <c r="J42" s="341">
        <f t="shared" ca="1" si="8"/>
        <v>8.0604534005037781E-3</v>
      </c>
      <c r="K42" s="341">
        <f t="shared" si="9"/>
        <v>32</v>
      </c>
      <c r="L42" s="341">
        <f t="shared" ca="1" si="5"/>
        <v>7.9800498753117202E-3</v>
      </c>
      <c r="M42" s="341">
        <f t="shared" ca="1" si="10"/>
        <v>7.9800498753117202E-3</v>
      </c>
    </row>
    <row r="43" spans="1:13" ht="45">
      <c r="A43" s="195">
        <v>91</v>
      </c>
      <c r="B43" s="82" t="s">
        <v>641</v>
      </c>
      <c r="C43" s="82" t="s">
        <v>642</v>
      </c>
      <c r="D43" s="178">
        <v>38950</v>
      </c>
      <c r="E43" s="181">
        <v>38985</v>
      </c>
      <c r="F43" s="181">
        <v>38985</v>
      </c>
      <c r="G43" s="34">
        <f t="shared" si="0"/>
        <v>1</v>
      </c>
      <c r="H43" s="341">
        <f t="shared" si="7"/>
        <v>35</v>
      </c>
      <c r="I43" s="341">
        <f t="shared" ca="1" si="2"/>
        <v>8.8161209068010078E-3</v>
      </c>
      <c r="J43" s="341">
        <f t="shared" ca="1" si="8"/>
        <v>8.8161209068010078E-3</v>
      </c>
      <c r="K43" s="341">
        <f t="shared" si="9"/>
        <v>35</v>
      </c>
      <c r="L43" s="341">
        <f t="shared" ca="1" si="5"/>
        <v>8.7281795511221939E-3</v>
      </c>
      <c r="M43" s="341">
        <f t="shared" ca="1" si="10"/>
        <v>8.7281795511221939E-3</v>
      </c>
    </row>
    <row r="44" spans="1:13" ht="56.25">
      <c r="A44" s="195">
        <v>92</v>
      </c>
      <c r="B44" s="82" t="s">
        <v>633</v>
      </c>
      <c r="C44" s="82" t="s">
        <v>634</v>
      </c>
      <c r="D44" s="178">
        <v>38769</v>
      </c>
      <c r="E44" s="181">
        <v>38982</v>
      </c>
      <c r="F44" s="181">
        <v>38982</v>
      </c>
      <c r="G44" s="34">
        <f t="shared" si="0"/>
        <v>1</v>
      </c>
      <c r="H44" s="341">
        <f t="shared" si="7"/>
        <v>213</v>
      </c>
      <c r="I44" s="341">
        <f t="shared" ca="1" si="2"/>
        <v>5.3652392947103278E-2</v>
      </c>
      <c r="J44" s="341">
        <f t="shared" ca="1" si="8"/>
        <v>5.3652392947103278E-2</v>
      </c>
      <c r="K44" s="341">
        <f t="shared" si="9"/>
        <v>213</v>
      </c>
      <c r="L44" s="341">
        <f t="shared" ca="1" si="5"/>
        <v>5.3117206982543644E-2</v>
      </c>
      <c r="M44" s="341">
        <f t="shared" ca="1" si="10"/>
        <v>5.3117206982543644E-2</v>
      </c>
    </row>
    <row r="45" spans="1:13" ht="22.5">
      <c r="A45" s="195">
        <v>93</v>
      </c>
      <c r="B45" s="82" t="s">
        <v>635</v>
      </c>
      <c r="C45" s="82" t="s">
        <v>636</v>
      </c>
      <c r="D45" s="178">
        <v>38883</v>
      </c>
      <c r="E45" s="181">
        <v>38982</v>
      </c>
      <c r="F45" s="181">
        <v>38971</v>
      </c>
      <c r="G45" s="34">
        <f t="shared" si="0"/>
        <v>0.875</v>
      </c>
      <c r="H45" s="341">
        <f t="shared" si="7"/>
        <v>88</v>
      </c>
      <c r="I45" s="341">
        <f t="shared" ca="1" si="2"/>
        <v>2.216624685138539E-2</v>
      </c>
      <c r="J45" s="341">
        <f t="shared" ca="1" si="8"/>
        <v>1.9395465994962217E-2</v>
      </c>
      <c r="K45" s="341">
        <f t="shared" si="9"/>
        <v>99</v>
      </c>
      <c r="L45" s="341">
        <f t="shared" ca="1" si="5"/>
        <v>2.4688279301745636E-2</v>
      </c>
      <c r="M45" s="341">
        <f t="shared" ca="1" si="10"/>
        <v>2.1602244389027431E-2</v>
      </c>
    </row>
    <row r="46" spans="1:13" ht="22.5">
      <c r="A46" s="195">
        <v>94</v>
      </c>
      <c r="B46" s="82" t="s">
        <v>637</v>
      </c>
      <c r="C46" s="82" t="s">
        <v>638</v>
      </c>
      <c r="D46" s="178">
        <v>38934</v>
      </c>
      <c r="E46" s="181">
        <v>38990</v>
      </c>
      <c r="F46" s="181">
        <v>38990</v>
      </c>
      <c r="G46" s="34">
        <f t="shared" si="0"/>
        <v>1</v>
      </c>
      <c r="H46" s="341">
        <f t="shared" si="7"/>
        <v>56</v>
      </c>
      <c r="I46" s="341">
        <f t="shared" ca="1" si="2"/>
        <v>1.4105793450881612E-2</v>
      </c>
      <c r="J46" s="341">
        <f t="shared" ca="1" si="8"/>
        <v>1.4105793450881612E-2</v>
      </c>
      <c r="K46" s="341">
        <f t="shared" si="9"/>
        <v>56</v>
      </c>
      <c r="L46" s="341">
        <f t="shared" ca="1" si="5"/>
        <v>1.3965087281795512E-2</v>
      </c>
      <c r="M46" s="341">
        <f t="shared" ca="1" si="10"/>
        <v>1.3965087281795512E-2</v>
      </c>
    </row>
    <row r="47" spans="1:13" ht="22.5">
      <c r="A47" s="195">
        <v>95</v>
      </c>
      <c r="B47" s="82" t="s">
        <v>639</v>
      </c>
      <c r="C47" s="82" t="s">
        <v>640</v>
      </c>
      <c r="D47" s="178">
        <v>38936</v>
      </c>
      <c r="E47" s="181">
        <v>38968</v>
      </c>
      <c r="F47" s="181">
        <v>38968</v>
      </c>
      <c r="G47" s="34">
        <f t="shared" si="0"/>
        <v>1</v>
      </c>
      <c r="H47" s="341">
        <f t="shared" si="7"/>
        <v>32</v>
      </c>
      <c r="I47" s="341">
        <f t="shared" ca="1" si="2"/>
        <v>8.0604534005037781E-3</v>
      </c>
      <c r="J47" s="341">
        <f t="shared" ca="1" si="8"/>
        <v>8.0604534005037781E-3</v>
      </c>
      <c r="K47" s="341">
        <f t="shared" si="9"/>
        <v>32</v>
      </c>
      <c r="L47" s="341">
        <f t="shared" ca="1" si="5"/>
        <v>7.9800498753117202E-3</v>
      </c>
      <c r="M47" s="341">
        <f t="shared" ca="1" si="10"/>
        <v>7.9800498753117202E-3</v>
      </c>
    </row>
    <row r="48" spans="1:13" ht="45">
      <c r="A48" s="195">
        <v>96</v>
      </c>
      <c r="B48" s="82" t="s">
        <v>641</v>
      </c>
      <c r="C48" s="82" t="s">
        <v>642</v>
      </c>
      <c r="D48" s="178">
        <v>38950</v>
      </c>
      <c r="E48" s="181">
        <v>38985</v>
      </c>
      <c r="F48" s="181">
        <v>38985</v>
      </c>
      <c r="G48" s="34">
        <f t="shared" si="0"/>
        <v>1</v>
      </c>
      <c r="H48" s="341">
        <f t="shared" si="7"/>
        <v>35</v>
      </c>
      <c r="I48" s="341">
        <f t="shared" ca="1" si="2"/>
        <v>8.8161209068010078E-3</v>
      </c>
      <c r="J48" s="341">
        <f t="shared" ca="1" si="8"/>
        <v>8.8161209068010078E-3</v>
      </c>
      <c r="K48" s="341">
        <f t="shared" si="9"/>
        <v>35</v>
      </c>
      <c r="L48" s="341">
        <f t="shared" ca="1" si="5"/>
        <v>8.7281795511221939E-3</v>
      </c>
      <c r="M48" s="341">
        <f t="shared" ca="1" si="10"/>
        <v>8.7281795511221939E-3</v>
      </c>
    </row>
    <row r="49" spans="1:13" ht="25.5">
      <c r="A49" s="195">
        <v>97</v>
      </c>
      <c r="B49" s="179" t="s">
        <v>643</v>
      </c>
      <c r="C49" s="188" t="s">
        <v>630</v>
      </c>
      <c r="D49" s="178">
        <v>38811</v>
      </c>
      <c r="E49" s="181">
        <v>39010</v>
      </c>
      <c r="F49" s="181">
        <v>39018</v>
      </c>
      <c r="G49" s="34">
        <f t="shared" si="0"/>
        <v>1.0347222222222223</v>
      </c>
      <c r="H49" s="341">
        <f t="shared" si="7"/>
        <v>207</v>
      </c>
      <c r="I49" s="341">
        <f t="shared" ca="1" si="2"/>
        <v>5.2141057934508815E-2</v>
      </c>
      <c r="J49" s="341">
        <f t="shared" ca="1" si="8"/>
        <v>5.3951511335012602E-2</v>
      </c>
      <c r="K49" s="341">
        <f t="shared" si="9"/>
        <v>199</v>
      </c>
      <c r="L49" s="341">
        <f t="shared" ca="1" si="5"/>
        <v>4.9625935162094764E-2</v>
      </c>
      <c r="M49" s="341">
        <f t="shared" ca="1" si="10"/>
        <v>5.1349057910778616E-2</v>
      </c>
    </row>
    <row r="50" spans="1:13" ht="56.25">
      <c r="A50" s="195">
        <v>98</v>
      </c>
      <c r="B50" s="179" t="s">
        <v>644</v>
      </c>
      <c r="C50" s="82" t="s">
        <v>645</v>
      </c>
      <c r="D50" s="178">
        <v>38943</v>
      </c>
      <c r="E50" s="181">
        <v>39010</v>
      </c>
      <c r="F50" s="181">
        <v>39010</v>
      </c>
      <c r="G50" s="34">
        <f t="shared" si="0"/>
        <v>1</v>
      </c>
      <c r="H50" s="341">
        <f t="shared" si="7"/>
        <v>67</v>
      </c>
      <c r="I50" s="341">
        <f t="shared" ca="1" si="2"/>
        <v>1.6876574307304788E-2</v>
      </c>
      <c r="J50" s="341">
        <f t="shared" ca="1" si="8"/>
        <v>1.6876574307304788E-2</v>
      </c>
      <c r="K50" s="341">
        <f t="shared" si="9"/>
        <v>67</v>
      </c>
      <c r="L50" s="341">
        <f t="shared" ca="1" si="5"/>
        <v>1.6708229426433914E-2</v>
      </c>
      <c r="M50" s="341">
        <f t="shared" ca="1" si="10"/>
        <v>1.6708229426433914E-2</v>
      </c>
    </row>
    <row r="51" spans="1:13" ht="67.5">
      <c r="A51" s="195">
        <v>99</v>
      </c>
      <c r="B51" s="179" t="s">
        <v>646</v>
      </c>
      <c r="C51" s="82" t="s">
        <v>647</v>
      </c>
      <c r="D51" s="178">
        <v>38934</v>
      </c>
      <c r="E51" s="181">
        <v>39003</v>
      </c>
      <c r="F51" s="181">
        <v>39003</v>
      </c>
      <c r="G51" s="34">
        <f t="shared" si="0"/>
        <v>1</v>
      </c>
      <c r="H51" s="341">
        <f t="shared" si="7"/>
        <v>69</v>
      </c>
      <c r="I51" s="341">
        <f t="shared" ca="1" si="2"/>
        <v>1.7380352644836273E-2</v>
      </c>
      <c r="J51" s="341">
        <f t="shared" ca="1" si="8"/>
        <v>1.7380352644836273E-2</v>
      </c>
      <c r="K51" s="341">
        <f t="shared" si="9"/>
        <v>69</v>
      </c>
      <c r="L51" s="341">
        <f t="shared" ca="1" si="5"/>
        <v>1.7206982543640899E-2</v>
      </c>
      <c r="M51" s="341">
        <f t="shared" ca="1" si="10"/>
        <v>1.7206982543640899E-2</v>
      </c>
    </row>
    <row r="52" spans="1:13">
      <c r="A52" s="195">
        <v>100</v>
      </c>
      <c r="B52" s="179" t="s">
        <v>648</v>
      </c>
      <c r="C52" s="82" t="s">
        <v>649</v>
      </c>
      <c r="D52" s="178">
        <v>38992</v>
      </c>
      <c r="E52" s="181">
        <v>39010</v>
      </c>
      <c r="F52" s="181">
        <v>39007</v>
      </c>
      <c r="G52" s="34">
        <f t="shared" si="0"/>
        <v>0.8</v>
      </c>
      <c r="H52" s="341">
        <f t="shared" si="7"/>
        <v>15</v>
      </c>
      <c r="I52" s="341">
        <f t="shared" ca="1" si="2"/>
        <v>3.778337531486146E-3</v>
      </c>
      <c r="J52" s="341">
        <f t="shared" ca="1" si="8"/>
        <v>3.0226700251889168E-3</v>
      </c>
      <c r="K52" s="341">
        <f t="shared" si="9"/>
        <v>18</v>
      </c>
      <c r="L52" s="341">
        <f t="shared" ca="1" si="5"/>
        <v>4.4887780548628431E-3</v>
      </c>
      <c r="M52" s="341">
        <f t="shared" ca="1" si="10"/>
        <v>3.5910224438902745E-3</v>
      </c>
    </row>
    <row r="53" spans="1:13" ht="25.5">
      <c r="A53" s="195">
        <v>101</v>
      </c>
      <c r="B53" s="179" t="s">
        <v>650</v>
      </c>
      <c r="C53" s="188" t="s">
        <v>630</v>
      </c>
      <c r="D53" s="178">
        <v>38930</v>
      </c>
      <c r="E53" s="181">
        <v>39027</v>
      </c>
      <c r="F53" s="181">
        <v>39027</v>
      </c>
      <c r="G53" s="34">
        <f t="shared" si="0"/>
        <v>1</v>
      </c>
      <c r="H53" s="341">
        <f t="shared" si="7"/>
        <v>97</v>
      </c>
      <c r="I53" s="341">
        <f t="shared" ca="1" si="2"/>
        <v>2.4433249370277077E-2</v>
      </c>
      <c r="J53" s="341">
        <f t="shared" ca="1" si="8"/>
        <v>2.4433249370277077E-2</v>
      </c>
      <c r="K53" s="341">
        <f t="shared" si="9"/>
        <v>97</v>
      </c>
      <c r="L53" s="341">
        <f t="shared" ca="1" si="5"/>
        <v>2.4189526184538655E-2</v>
      </c>
      <c r="M53" s="341">
        <f t="shared" ca="1" si="10"/>
        <v>2.4189526184538655E-2</v>
      </c>
    </row>
    <row r="54" spans="1:13" ht="78.75">
      <c r="A54" s="195">
        <v>102</v>
      </c>
      <c r="B54" s="179" t="s">
        <v>651</v>
      </c>
      <c r="C54" s="188" t="s">
        <v>630</v>
      </c>
      <c r="D54" s="178">
        <v>38930</v>
      </c>
      <c r="E54" s="181">
        <v>39027</v>
      </c>
      <c r="F54" s="181">
        <v>39027</v>
      </c>
      <c r="G54" s="34">
        <f t="shared" si="0"/>
        <v>1</v>
      </c>
      <c r="H54" s="341">
        <f t="shared" si="7"/>
        <v>97</v>
      </c>
      <c r="I54" s="341">
        <f t="shared" ca="1" si="2"/>
        <v>2.4433249370277077E-2</v>
      </c>
      <c r="J54" s="341">
        <f t="shared" ca="1" si="8"/>
        <v>2.4433249370277077E-2</v>
      </c>
      <c r="K54" s="341">
        <f t="shared" si="9"/>
        <v>97</v>
      </c>
      <c r="L54" s="341">
        <f t="shared" ca="1" si="5"/>
        <v>2.4189526184538655E-2</v>
      </c>
      <c r="M54" s="341">
        <f t="shared" ca="1" si="10"/>
        <v>2.4189526184538655E-2</v>
      </c>
    </row>
    <row r="55" spans="1:13" ht="56.25">
      <c r="A55" s="195">
        <v>103</v>
      </c>
      <c r="B55" s="179" t="s">
        <v>652</v>
      </c>
      <c r="C55" s="82" t="s">
        <v>653</v>
      </c>
      <c r="D55" s="178">
        <v>38957</v>
      </c>
      <c r="E55" s="181">
        <v>39038</v>
      </c>
      <c r="F55" s="181">
        <v>39038</v>
      </c>
      <c r="G55" s="34">
        <f t="shared" si="0"/>
        <v>1</v>
      </c>
      <c r="H55" s="341">
        <f t="shared" si="7"/>
        <v>81</v>
      </c>
      <c r="I55" s="341">
        <f t="shared" ca="1" si="2"/>
        <v>2.0403022670025188E-2</v>
      </c>
      <c r="J55" s="341">
        <f t="shared" ca="1" si="8"/>
        <v>2.0403022670025188E-2</v>
      </c>
      <c r="K55" s="341">
        <f t="shared" si="9"/>
        <v>81</v>
      </c>
      <c r="L55" s="341">
        <f t="shared" ca="1" si="5"/>
        <v>2.0199501246882794E-2</v>
      </c>
      <c r="M55" s="341">
        <f t="shared" ca="1" si="10"/>
        <v>2.0199501246882794E-2</v>
      </c>
    </row>
    <row r="56" spans="1:13" ht="45">
      <c r="A56" s="195">
        <v>104</v>
      </c>
      <c r="B56" s="179" t="s">
        <v>654</v>
      </c>
      <c r="C56" s="82" t="s">
        <v>655</v>
      </c>
      <c r="D56" s="178">
        <v>38988</v>
      </c>
      <c r="E56" s="181">
        <v>39027</v>
      </c>
      <c r="F56" s="181">
        <v>39027</v>
      </c>
      <c r="G56" s="34">
        <f t="shared" si="0"/>
        <v>1</v>
      </c>
      <c r="H56" s="341">
        <f t="shared" si="7"/>
        <v>39</v>
      </c>
      <c r="I56" s="341">
        <f t="shared" ca="1" si="2"/>
        <v>9.82367758186398E-3</v>
      </c>
      <c r="J56" s="341">
        <f t="shared" ca="1" si="8"/>
        <v>9.82367758186398E-3</v>
      </c>
      <c r="K56" s="341">
        <f t="shared" si="9"/>
        <v>39</v>
      </c>
      <c r="L56" s="341">
        <f t="shared" ca="1" si="5"/>
        <v>9.72568578553616E-3</v>
      </c>
      <c r="M56" s="341">
        <f t="shared" ca="1" si="10"/>
        <v>9.72568578553616E-3</v>
      </c>
    </row>
    <row r="57" spans="1:13" ht="123.75">
      <c r="A57" s="195">
        <v>105</v>
      </c>
      <c r="B57" s="179" t="s">
        <v>656</v>
      </c>
      <c r="C57" s="82" t="s">
        <v>657</v>
      </c>
      <c r="D57" s="178">
        <v>39021</v>
      </c>
      <c r="E57" s="181">
        <v>39051</v>
      </c>
      <c r="F57" s="181">
        <v>39051</v>
      </c>
      <c r="G57" s="34">
        <f t="shared" si="0"/>
        <v>1</v>
      </c>
      <c r="H57" s="341">
        <f t="shared" si="7"/>
        <v>30</v>
      </c>
      <c r="I57" s="341">
        <f t="shared" ca="1" si="2"/>
        <v>7.556675062972292E-3</v>
      </c>
      <c r="J57" s="341">
        <f t="shared" ca="1" si="8"/>
        <v>7.556675062972292E-3</v>
      </c>
      <c r="K57" s="341">
        <f t="shared" si="9"/>
        <v>30</v>
      </c>
      <c r="L57" s="341">
        <f t="shared" ca="1" si="5"/>
        <v>7.481296758104738E-3</v>
      </c>
      <c r="M57" s="341">
        <f t="shared" ca="1" si="10"/>
        <v>7.481296758104738E-3</v>
      </c>
    </row>
    <row r="58" spans="1:13" ht="25.5">
      <c r="A58" s="195">
        <v>106</v>
      </c>
      <c r="B58" s="179" t="s">
        <v>658</v>
      </c>
      <c r="C58" s="188" t="s">
        <v>630</v>
      </c>
      <c r="D58" s="178">
        <v>38930</v>
      </c>
      <c r="E58" s="181">
        <v>39065</v>
      </c>
      <c r="F58" s="181">
        <v>39065</v>
      </c>
      <c r="G58" s="34">
        <f t="shared" si="0"/>
        <v>1</v>
      </c>
      <c r="H58" s="341">
        <f t="shared" si="7"/>
        <v>135</v>
      </c>
      <c r="I58" s="341">
        <f t="shared" ca="1" si="2"/>
        <v>3.4005037783375318E-2</v>
      </c>
      <c r="J58" s="341">
        <f t="shared" ca="1" si="8"/>
        <v>3.4005037783375318E-2</v>
      </c>
      <c r="K58" s="341">
        <f t="shared" si="9"/>
        <v>135</v>
      </c>
      <c r="L58" s="341">
        <f t="shared" ca="1" si="5"/>
        <v>3.366583541147132E-2</v>
      </c>
      <c r="M58" s="341">
        <f t="shared" ca="1" si="10"/>
        <v>3.366583541147132E-2</v>
      </c>
    </row>
    <row r="59" spans="1:13" ht="33.75">
      <c r="A59" s="195">
        <v>107</v>
      </c>
      <c r="B59" s="179" t="s">
        <v>659</v>
      </c>
      <c r="C59" s="82" t="s">
        <v>660</v>
      </c>
      <c r="D59" s="190">
        <v>38991</v>
      </c>
      <c r="E59" s="191">
        <v>39065</v>
      </c>
      <c r="F59" s="191">
        <v>39065</v>
      </c>
      <c r="G59" s="34">
        <f t="shared" si="0"/>
        <v>1</v>
      </c>
      <c r="H59" s="341">
        <f t="shared" si="7"/>
        <v>74</v>
      </c>
      <c r="I59" s="341">
        <f t="shared" ca="1" si="2"/>
        <v>1.8639798488664986E-2</v>
      </c>
      <c r="J59" s="341">
        <f t="shared" ca="1" si="8"/>
        <v>1.8639798488664986E-2</v>
      </c>
      <c r="K59" s="341">
        <f t="shared" si="9"/>
        <v>74</v>
      </c>
      <c r="L59" s="341">
        <f t="shared" ca="1" si="5"/>
        <v>1.8453865336658354E-2</v>
      </c>
      <c r="M59" s="341">
        <f t="shared" ca="1" si="10"/>
        <v>1.8453865336658354E-2</v>
      </c>
    </row>
    <row r="60" spans="1:13" ht="33.75">
      <c r="A60" s="195">
        <v>108</v>
      </c>
      <c r="B60" s="179" t="s">
        <v>661</v>
      </c>
      <c r="C60" s="82" t="s">
        <v>662</v>
      </c>
      <c r="D60" s="190">
        <v>39056</v>
      </c>
      <c r="E60" s="181">
        <v>39082</v>
      </c>
      <c r="F60" s="181">
        <v>39080</v>
      </c>
      <c r="G60" s="34">
        <f t="shared" si="0"/>
        <v>1</v>
      </c>
      <c r="H60" s="341">
        <f t="shared" si="7"/>
        <v>24</v>
      </c>
      <c r="I60" s="341">
        <f t="shared" ca="1" si="2"/>
        <v>6.0453400503778336E-3</v>
      </c>
      <c r="J60" s="341">
        <f t="shared" ca="1" si="8"/>
        <v>6.0453400503778336E-3</v>
      </c>
      <c r="K60" s="341">
        <f t="shared" si="9"/>
        <v>26</v>
      </c>
      <c r="L60" s="341">
        <f t="shared" ca="1" si="5"/>
        <v>6.4837905236907727E-3</v>
      </c>
      <c r="M60" s="341">
        <f t="shared" ca="1" si="10"/>
        <v>6.4837905236907727E-3</v>
      </c>
    </row>
    <row r="61" spans="1:13" ht="78.75">
      <c r="A61" s="195">
        <v>169</v>
      </c>
      <c r="B61" s="192" t="s">
        <v>663</v>
      </c>
      <c r="C61" s="180" t="s">
        <v>664</v>
      </c>
      <c r="D61" s="193">
        <v>38824</v>
      </c>
      <c r="E61" s="194">
        <v>38954</v>
      </c>
      <c r="F61" s="194">
        <v>38954</v>
      </c>
      <c r="G61" s="34">
        <f t="shared" ref="G61:G74" si="11">IF(AND(NOT(ISBLANK(D61)),ISNUMBER(D61),     NOT(ISBLANK(E61)),ISNUMBER(E61),     NOT(ISBLANK(F61)),ISNUMBER(F61)),NETWORKDAYS(D61,F61)/NETWORKDAYS(D61,E61),"Not Used")</f>
        <v>1</v>
      </c>
      <c r="H61" s="341">
        <f t="shared" si="7"/>
        <v>130</v>
      </c>
      <c r="I61" s="341">
        <f t="shared" ca="1" si="2"/>
        <v>3.2745591939546598E-2</v>
      </c>
      <c r="J61" s="341">
        <f t="shared" ca="1" si="8"/>
        <v>3.2745591939546598E-2</v>
      </c>
      <c r="K61" s="341">
        <f t="shared" si="9"/>
        <v>130</v>
      </c>
      <c r="L61" s="341">
        <f t="shared" ca="1" si="5"/>
        <v>3.2418952618453865E-2</v>
      </c>
      <c r="M61" s="341">
        <f t="shared" ca="1" si="10"/>
        <v>3.2418952618453865E-2</v>
      </c>
    </row>
    <row r="62" spans="1:13" ht="67.5">
      <c r="A62" s="195">
        <v>170</v>
      </c>
      <c r="B62" s="192" t="s">
        <v>665</v>
      </c>
      <c r="C62" s="180" t="s">
        <v>666</v>
      </c>
      <c r="D62" s="193">
        <v>38845</v>
      </c>
      <c r="E62" s="194">
        <v>38954</v>
      </c>
      <c r="F62" s="194">
        <v>38954</v>
      </c>
      <c r="G62" s="34">
        <f t="shared" si="11"/>
        <v>1</v>
      </c>
      <c r="H62" s="341">
        <f t="shared" si="7"/>
        <v>109</v>
      </c>
      <c r="I62" s="341">
        <f t="shared" ca="1" si="2"/>
        <v>2.7455919395465996E-2</v>
      </c>
      <c r="J62" s="341">
        <f t="shared" ca="1" si="8"/>
        <v>2.7455919395465996E-2</v>
      </c>
      <c r="K62" s="341">
        <f t="shared" si="9"/>
        <v>109</v>
      </c>
      <c r="L62" s="341">
        <f t="shared" ca="1" si="5"/>
        <v>2.7182044887780549E-2</v>
      </c>
      <c r="M62" s="341">
        <f t="shared" ca="1" si="10"/>
        <v>2.7182044887780549E-2</v>
      </c>
    </row>
    <row r="63" spans="1:13" ht="22.5">
      <c r="A63" s="195">
        <v>171</v>
      </c>
      <c r="B63" s="192" t="s">
        <v>667</v>
      </c>
      <c r="C63" s="180" t="s">
        <v>668</v>
      </c>
      <c r="D63" s="193">
        <v>38930</v>
      </c>
      <c r="E63" s="194">
        <v>38965</v>
      </c>
      <c r="F63" s="194">
        <v>38958</v>
      </c>
      <c r="G63" s="34">
        <f t="shared" si="11"/>
        <v>0.80769230769230771</v>
      </c>
      <c r="H63" s="341">
        <f t="shared" si="7"/>
        <v>28</v>
      </c>
      <c r="I63" s="341">
        <f t="shared" ca="1" si="2"/>
        <v>7.0528967254408059E-3</v>
      </c>
      <c r="J63" s="341">
        <f t="shared" ca="1" si="8"/>
        <v>5.6965704320868045E-3</v>
      </c>
      <c r="K63" s="341">
        <f t="shared" si="9"/>
        <v>35</v>
      </c>
      <c r="L63" s="341">
        <f t="shared" ca="1" si="5"/>
        <v>8.7281795511221939E-3</v>
      </c>
      <c r="M63" s="341">
        <f t="shared" ca="1" si="10"/>
        <v>7.0496834835986951E-3</v>
      </c>
    </row>
    <row r="64" spans="1:13" ht="22.5">
      <c r="A64" s="195">
        <v>172</v>
      </c>
      <c r="B64" s="192" t="s">
        <v>669</v>
      </c>
      <c r="C64" s="180" t="s">
        <v>670</v>
      </c>
      <c r="D64" s="193">
        <v>38930</v>
      </c>
      <c r="E64" s="194">
        <v>38988</v>
      </c>
      <c r="F64" s="194">
        <v>38993</v>
      </c>
      <c r="G64" s="34">
        <f t="shared" si="11"/>
        <v>1.069767441860465</v>
      </c>
      <c r="H64" s="341">
        <f t="shared" si="7"/>
        <v>63</v>
      </c>
      <c r="I64" s="341">
        <f t="shared" ca="1" si="2"/>
        <v>1.5869017632241814E-2</v>
      </c>
      <c r="J64" s="341">
        <f t="shared" ca="1" si="8"/>
        <v>1.6976158397281938E-2</v>
      </c>
      <c r="K64" s="341">
        <f t="shared" si="9"/>
        <v>58</v>
      </c>
      <c r="L64" s="341">
        <f t="shared" ca="1" si="5"/>
        <v>1.4463840399002495E-2</v>
      </c>
      <c r="M64" s="341">
        <f t="shared" ca="1" si="10"/>
        <v>1.5472945543118946E-2</v>
      </c>
    </row>
    <row r="65" spans="1:13" ht="33.75">
      <c r="A65" s="195">
        <v>173</v>
      </c>
      <c r="B65" s="192" t="s">
        <v>601</v>
      </c>
      <c r="C65" s="180" t="s">
        <v>671</v>
      </c>
      <c r="D65" s="193">
        <v>39006</v>
      </c>
      <c r="E65" s="194">
        <v>39024</v>
      </c>
      <c r="F65" s="194">
        <v>39024</v>
      </c>
      <c r="G65" s="34">
        <f t="shared" si="11"/>
        <v>1</v>
      </c>
      <c r="H65" s="341">
        <f t="shared" si="7"/>
        <v>18</v>
      </c>
      <c r="I65" s="341">
        <f t="shared" ca="1" si="2"/>
        <v>4.5340050377833752E-3</v>
      </c>
      <c r="J65" s="341">
        <f t="shared" ca="1" si="8"/>
        <v>4.5340050377833752E-3</v>
      </c>
      <c r="K65" s="341">
        <f t="shared" si="9"/>
        <v>18</v>
      </c>
      <c r="L65" s="341">
        <f t="shared" ca="1" si="5"/>
        <v>4.4887780548628431E-3</v>
      </c>
      <c r="M65" s="341">
        <f t="shared" ca="1" si="10"/>
        <v>4.4887780548628431E-3</v>
      </c>
    </row>
    <row r="66" spans="1:13" ht="33.75">
      <c r="A66" s="195">
        <v>174</v>
      </c>
      <c r="B66" s="192" t="s">
        <v>672</v>
      </c>
      <c r="C66" s="180" t="s">
        <v>673</v>
      </c>
      <c r="D66" s="193">
        <v>38936</v>
      </c>
      <c r="E66" s="194">
        <v>39024</v>
      </c>
      <c r="F66" s="194">
        <v>39024</v>
      </c>
      <c r="G66" s="34">
        <f t="shared" si="11"/>
        <v>1</v>
      </c>
      <c r="H66" s="341">
        <f t="shared" si="7"/>
        <v>88</v>
      </c>
      <c r="I66" s="341">
        <f t="shared" ca="1" si="2"/>
        <v>2.216624685138539E-2</v>
      </c>
      <c r="J66" s="341">
        <f t="shared" ca="1" si="8"/>
        <v>2.216624685138539E-2</v>
      </c>
      <c r="K66" s="341">
        <f t="shared" si="9"/>
        <v>88</v>
      </c>
      <c r="L66" s="341">
        <f t="shared" ca="1" si="5"/>
        <v>2.1945137157107233E-2</v>
      </c>
      <c r="M66" s="341">
        <f t="shared" ca="1" si="10"/>
        <v>2.1945137157107233E-2</v>
      </c>
    </row>
    <row r="67" spans="1:13" ht="202.5">
      <c r="A67" s="195">
        <v>175</v>
      </c>
      <c r="B67" s="192" t="s">
        <v>674</v>
      </c>
      <c r="C67" s="180" t="s">
        <v>675</v>
      </c>
      <c r="D67" s="193">
        <v>38950</v>
      </c>
      <c r="E67" s="194">
        <v>39024</v>
      </c>
      <c r="F67" s="194">
        <v>39024</v>
      </c>
      <c r="G67" s="34">
        <f t="shared" si="11"/>
        <v>1</v>
      </c>
      <c r="H67" s="341">
        <f t="shared" si="7"/>
        <v>74</v>
      </c>
      <c r="I67" s="341">
        <f t="shared" ca="1" si="2"/>
        <v>1.8639798488664986E-2</v>
      </c>
      <c r="J67" s="341">
        <f t="shared" ca="1" si="8"/>
        <v>1.8639798488664986E-2</v>
      </c>
      <c r="K67" s="341">
        <f t="shared" si="9"/>
        <v>74</v>
      </c>
      <c r="L67" s="341">
        <f t="shared" ca="1" si="5"/>
        <v>1.8453865336658354E-2</v>
      </c>
      <c r="M67" s="341">
        <f t="shared" ca="1" si="10"/>
        <v>1.8453865336658354E-2</v>
      </c>
    </row>
    <row r="68" spans="1:13" ht="33.75">
      <c r="A68" s="195">
        <v>176</v>
      </c>
      <c r="B68" s="192" t="s">
        <v>676</v>
      </c>
      <c r="C68" s="189" t="s">
        <v>677</v>
      </c>
      <c r="D68" s="193">
        <v>39013</v>
      </c>
      <c r="E68" s="194">
        <v>39038</v>
      </c>
      <c r="F68" s="194">
        <v>39038</v>
      </c>
      <c r="G68" s="34">
        <f t="shared" si="11"/>
        <v>1</v>
      </c>
      <c r="H68" s="341">
        <f t="shared" si="7"/>
        <v>25</v>
      </c>
      <c r="I68" s="341">
        <f t="shared" ca="1" si="2"/>
        <v>6.2972292191435771E-3</v>
      </c>
      <c r="J68" s="341">
        <f t="shared" ca="1" si="8"/>
        <v>6.2972292191435771E-3</v>
      </c>
      <c r="K68" s="341">
        <f t="shared" si="9"/>
        <v>25</v>
      </c>
      <c r="L68" s="341">
        <f t="shared" ca="1" si="5"/>
        <v>6.2344139650872821E-3</v>
      </c>
      <c r="M68" s="341">
        <f t="shared" ca="1" si="10"/>
        <v>6.2344139650872821E-3</v>
      </c>
    </row>
    <row r="69" spans="1:13" ht="33.75">
      <c r="A69" s="195">
        <v>177</v>
      </c>
      <c r="B69" s="192" t="s">
        <v>678</v>
      </c>
      <c r="C69" s="180" t="s">
        <v>679</v>
      </c>
      <c r="D69" s="193">
        <v>38978</v>
      </c>
      <c r="E69" s="194">
        <v>39055</v>
      </c>
      <c r="F69" s="194">
        <v>39055</v>
      </c>
      <c r="G69" s="34">
        <f t="shared" si="11"/>
        <v>1</v>
      </c>
      <c r="H69" s="341">
        <f t="shared" si="7"/>
        <v>77</v>
      </c>
      <c r="I69" s="341">
        <f t="shared" ca="1" si="2"/>
        <v>1.9395465994962217E-2</v>
      </c>
      <c r="J69" s="341">
        <f t="shared" ca="1" si="8"/>
        <v>1.9395465994962217E-2</v>
      </c>
      <c r="K69" s="341">
        <f t="shared" si="9"/>
        <v>77</v>
      </c>
      <c r="L69" s="341">
        <f t="shared" ca="1" si="5"/>
        <v>1.9201995012468828E-2</v>
      </c>
      <c r="M69" s="341">
        <f t="shared" ca="1" si="10"/>
        <v>1.9201995012468828E-2</v>
      </c>
    </row>
    <row r="70" spans="1:13" ht="22.5">
      <c r="A70" s="195">
        <v>205</v>
      </c>
      <c r="B70" s="82" t="s">
        <v>680</v>
      </c>
      <c r="C70" s="82" t="s">
        <v>681</v>
      </c>
      <c r="D70" s="178">
        <v>38908</v>
      </c>
      <c r="E70" s="181">
        <v>38959</v>
      </c>
      <c r="F70" s="181">
        <v>38957</v>
      </c>
      <c r="G70" s="34">
        <f t="shared" si="11"/>
        <v>0.94736842105263153</v>
      </c>
      <c r="H70" s="341">
        <f t="shared" si="7"/>
        <v>49</v>
      </c>
      <c r="I70" s="341">
        <f t="shared" ca="1" si="2"/>
        <v>1.234256926952141E-2</v>
      </c>
      <c r="J70" s="341">
        <f t="shared" ca="1" si="8"/>
        <v>1.169296036059923E-2</v>
      </c>
      <c r="K70" s="341">
        <f t="shared" si="9"/>
        <v>51</v>
      </c>
      <c r="L70" s="341">
        <f t="shared" ca="1" si="5"/>
        <v>1.2718204488778055E-2</v>
      </c>
      <c r="M70" s="341">
        <f t="shared" ca="1" si="10"/>
        <v>1.2048825305158157E-2</v>
      </c>
    </row>
    <row r="71" spans="1:13" ht="22.5">
      <c r="A71" s="195">
        <v>206</v>
      </c>
      <c r="B71" s="82" t="s">
        <v>682</v>
      </c>
      <c r="C71" s="82" t="s">
        <v>683</v>
      </c>
      <c r="D71" s="178">
        <v>38944</v>
      </c>
      <c r="E71" s="178">
        <v>38988</v>
      </c>
      <c r="F71" s="181">
        <v>38985</v>
      </c>
      <c r="G71" s="34">
        <f t="shared" si="11"/>
        <v>0.90909090909090906</v>
      </c>
      <c r="H71" s="341">
        <f t="shared" si="7"/>
        <v>41</v>
      </c>
      <c r="I71" s="341">
        <f t="shared" ca="1" si="2"/>
        <v>1.0327455919395465E-2</v>
      </c>
      <c r="J71" s="341">
        <f t="shared" ca="1" si="8"/>
        <v>9.3885962903595133E-3</v>
      </c>
      <c r="K71" s="341">
        <f t="shared" si="9"/>
        <v>44</v>
      </c>
      <c r="L71" s="341">
        <f t="shared" ca="1" si="5"/>
        <v>1.0972568578553617E-2</v>
      </c>
      <c r="M71" s="341">
        <f t="shared" ca="1" si="10"/>
        <v>9.9750623441396506E-3</v>
      </c>
    </row>
    <row r="72" spans="1:13" ht="22.5">
      <c r="A72" s="195">
        <v>207</v>
      </c>
      <c r="B72" s="82" t="s">
        <v>684</v>
      </c>
      <c r="C72" s="82" t="s">
        <v>685</v>
      </c>
      <c r="D72" s="178">
        <v>38803</v>
      </c>
      <c r="E72" s="181">
        <v>38996</v>
      </c>
      <c r="F72" s="181">
        <v>38995</v>
      </c>
      <c r="G72" s="34">
        <f t="shared" si="11"/>
        <v>0.99285714285714288</v>
      </c>
      <c r="H72" s="341">
        <f t="shared" si="7"/>
        <v>192</v>
      </c>
      <c r="I72" s="341">
        <f t="shared" ca="1" si="2"/>
        <v>4.8362720403022669E-2</v>
      </c>
      <c r="J72" s="341">
        <f t="shared" ca="1" si="8"/>
        <v>4.8017272400143939E-2</v>
      </c>
      <c r="K72" s="341">
        <f t="shared" si="9"/>
        <v>193</v>
      </c>
      <c r="L72" s="341">
        <f t="shared" ca="1" si="5"/>
        <v>4.8129675810473817E-2</v>
      </c>
      <c r="M72" s="341">
        <f t="shared" ca="1" si="10"/>
        <v>4.7785892411827575E-2</v>
      </c>
    </row>
    <row r="73" spans="1:13" ht="33.75">
      <c r="A73" s="195">
        <v>209</v>
      </c>
      <c r="B73" s="82" t="s">
        <v>686</v>
      </c>
      <c r="C73" s="82" t="s">
        <v>687</v>
      </c>
      <c r="D73" s="178">
        <v>38642</v>
      </c>
      <c r="E73" s="178">
        <v>38999</v>
      </c>
      <c r="F73" s="178">
        <v>38999</v>
      </c>
      <c r="G73" s="34">
        <f t="shared" si="11"/>
        <v>1</v>
      </c>
      <c r="H73" s="341">
        <f t="shared" si="7"/>
        <v>357</v>
      </c>
      <c r="I73" s="341">
        <f t="shared" ca="1" si="2"/>
        <v>8.9924433249370272E-2</v>
      </c>
      <c r="J73" s="341">
        <f t="shared" ca="1" si="8"/>
        <v>8.9924433249370272E-2</v>
      </c>
      <c r="K73" s="341">
        <f t="shared" si="9"/>
        <v>357</v>
      </c>
      <c r="L73" s="341">
        <f t="shared" ca="1" si="5"/>
        <v>8.9027431421446382E-2</v>
      </c>
      <c r="M73" s="341">
        <f t="shared" ca="1" si="10"/>
        <v>8.9027431421446382E-2</v>
      </c>
    </row>
    <row r="74" spans="1:13" ht="22.5">
      <c r="A74" s="195">
        <v>210</v>
      </c>
      <c r="B74" s="82" t="s">
        <v>688</v>
      </c>
      <c r="C74" s="82" t="s">
        <v>689</v>
      </c>
      <c r="D74" s="178">
        <v>38978</v>
      </c>
      <c r="E74" s="178">
        <v>39050</v>
      </c>
      <c r="F74" s="181">
        <v>39036</v>
      </c>
      <c r="G74" s="34">
        <f t="shared" si="11"/>
        <v>0.81132075471698117</v>
      </c>
      <c r="H74" s="341">
        <f t="shared" si="7"/>
        <v>58</v>
      </c>
      <c r="I74" s="341">
        <f t="shared" ca="1" si="2"/>
        <v>1.4609571788413099E-2</v>
      </c>
      <c r="J74" s="341">
        <f t="shared" ca="1" si="8"/>
        <v>1.1853048809467231E-2</v>
      </c>
      <c r="K74" s="341">
        <f t="shared" si="9"/>
        <v>72</v>
      </c>
      <c r="L74" s="341">
        <f t="shared" ca="1" si="5"/>
        <v>1.7955112219451373E-2</v>
      </c>
      <c r="M74" s="341">
        <f t="shared" ca="1" si="10"/>
        <v>1.4567355196913379E-2</v>
      </c>
    </row>
  </sheetData>
  <mergeCells count="3">
    <mergeCell ref="C30:N30"/>
    <mergeCell ref="C31:N31"/>
    <mergeCell ref="C32:N32"/>
  </mergeCells>
  <dataValidations count="2">
    <dataValidation type="list" allowBlank="1" showDropDown="1" showInputMessage="1" errorTitle="Input Invalid" error="Selection must be from drop down list." sqref="D33">
      <formula1>#REF!</formula1>
    </dataValidation>
    <dataValidation allowBlank="1" showInputMessage="1" showErrorMessage="1" errorTitle="Input Invalid" error="Selection must be from drop down list." sqref="E33:F60"/>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9:15:17 PM
Last Printed: 2/5/2008 6:12:16 PM&amp;R&amp;5&amp;P - &amp;N
Title :&lt;Not Set&gt;
Subject: &lt;Not Set&gt;</oddFooter>
  </headerFooter>
  <drawing r:id="rId2"/>
</worksheet>
</file>

<file path=xl/worksheets/sheet26.xml><?xml version="1.0" encoding="utf-8"?>
<worksheet xmlns="http://schemas.openxmlformats.org/spreadsheetml/2006/main" xmlns:r="http://schemas.openxmlformats.org/officeDocument/2006/relationships">
  <sheetPr codeName="Sheet1"/>
  <dimension ref="A1:K205"/>
  <sheetViews>
    <sheetView topLeftCell="A16" workbookViewId="0"/>
  </sheetViews>
  <sheetFormatPr defaultRowHeight="12.75"/>
  <cols>
    <col min="1" max="1" width="18.7109375" customWidth="1"/>
    <col min="2" max="3" width="18.7109375" style="341" customWidth="1"/>
    <col min="4" max="4" width="17.42578125" customWidth="1"/>
    <col min="5" max="5" width="13" style="197" customWidth="1"/>
    <col min="6" max="6" width="17.7109375" customWidth="1"/>
    <col min="7" max="7" width="13" customWidth="1"/>
    <col min="8" max="8" width="96.5703125" customWidth="1"/>
    <col min="9" max="9" width="20.42578125" customWidth="1"/>
    <col min="10" max="10" width="15.7109375" customWidth="1"/>
    <col min="11" max="11" width="25.7109375" customWidth="1"/>
  </cols>
  <sheetData>
    <row r="1" spans="1:4">
      <c r="A1" s="5" t="s">
        <v>30</v>
      </c>
      <c r="B1" s="5"/>
      <c r="C1" s="5"/>
    </row>
    <row r="4" spans="1:4">
      <c r="B4" s="317" t="s">
        <v>1119</v>
      </c>
      <c r="C4" s="317" t="s">
        <v>1118</v>
      </c>
    </row>
    <row r="5" spans="1:4">
      <c r="B5" s="481">
        <v>0</v>
      </c>
      <c r="C5" s="491">
        <v>1</v>
      </c>
      <c r="D5" s="491" t="s">
        <v>1128</v>
      </c>
    </row>
    <row r="6" spans="1:4">
      <c r="B6" s="481">
        <v>0.7</v>
      </c>
      <c r="C6" s="491">
        <v>2</v>
      </c>
      <c r="D6" s="491" t="s">
        <v>1156</v>
      </c>
    </row>
    <row r="7" spans="1:4">
      <c r="B7" s="481">
        <v>0.8</v>
      </c>
      <c r="C7" s="491">
        <v>3</v>
      </c>
      <c r="D7" s="491" t="s">
        <v>1157</v>
      </c>
    </row>
    <row r="8" spans="1:4">
      <c r="B8" s="481">
        <v>0.9</v>
      </c>
      <c r="C8" s="491">
        <v>4</v>
      </c>
      <c r="D8" s="491" t="s">
        <v>1129</v>
      </c>
    </row>
    <row r="9" spans="1:4">
      <c r="B9" s="481">
        <v>0.95</v>
      </c>
      <c r="C9" s="491">
        <v>4.5</v>
      </c>
      <c r="D9" s="491" t="s">
        <v>1130</v>
      </c>
    </row>
    <row r="10" spans="1:4">
      <c r="B10" s="481">
        <v>0.98</v>
      </c>
      <c r="C10" s="491">
        <v>5</v>
      </c>
      <c r="D10" s="491" t="s">
        <v>1134</v>
      </c>
    </row>
    <row r="11" spans="1:4">
      <c r="B11" s="481">
        <v>1</v>
      </c>
      <c r="C11" s="491">
        <v>5</v>
      </c>
      <c r="D11" s="491" t="s">
        <v>1135</v>
      </c>
    </row>
    <row r="12" spans="1:4">
      <c r="B12" s="481">
        <v>1.0201</v>
      </c>
      <c r="C12" s="491">
        <v>4.5</v>
      </c>
      <c r="D12" s="491" t="s">
        <v>1131</v>
      </c>
    </row>
    <row r="13" spans="1:4">
      <c r="B13" s="481">
        <v>1.0501</v>
      </c>
      <c r="C13" s="491">
        <v>4</v>
      </c>
      <c r="D13" s="491" t="s">
        <v>1132</v>
      </c>
    </row>
    <row r="14" spans="1:4">
      <c r="B14" s="481">
        <v>1.1001000000000001</v>
      </c>
      <c r="C14" s="491">
        <v>3</v>
      </c>
      <c r="D14" s="491" t="s">
        <v>1158</v>
      </c>
    </row>
    <row r="15" spans="1:4">
      <c r="B15" s="481">
        <v>1.2000999999999999</v>
      </c>
      <c r="C15" s="491">
        <v>2</v>
      </c>
      <c r="D15" s="491" t="s">
        <v>1159</v>
      </c>
    </row>
    <row r="16" spans="1:4">
      <c r="B16" s="481">
        <v>1.3001</v>
      </c>
      <c r="C16" s="491">
        <v>1</v>
      </c>
      <c r="D16" s="491" t="s">
        <v>1133</v>
      </c>
    </row>
    <row r="17" spans="1:11">
      <c r="B17" s="481">
        <v>100</v>
      </c>
      <c r="C17" s="491">
        <v>1</v>
      </c>
      <c r="D17" s="491"/>
    </row>
    <row r="30" spans="1:11" ht="47.25">
      <c r="A30" s="12" t="s">
        <v>52</v>
      </c>
      <c r="B30" s="12" t="s">
        <v>1118</v>
      </c>
      <c r="C30" s="12" t="s">
        <v>1126</v>
      </c>
      <c r="D30" s="12" t="s">
        <v>1127</v>
      </c>
      <c r="E30" s="198" t="s">
        <v>692</v>
      </c>
      <c r="F30" s="12" t="s">
        <v>21</v>
      </c>
      <c r="G30" s="12" t="s">
        <v>20</v>
      </c>
      <c r="H30" s="12" t="s">
        <v>53</v>
      </c>
      <c r="I30" s="12" t="s">
        <v>54</v>
      </c>
      <c r="J30" s="12" t="s">
        <v>55</v>
      </c>
      <c r="K30" s="12" t="s">
        <v>56</v>
      </c>
    </row>
    <row r="31" spans="1:11">
      <c r="A31" s="275" t="s">
        <v>57</v>
      </c>
      <c r="B31" s="341">
        <f ca="1">LOOKUP(C31,$B$5:$B$17,$C$5:$C$17)</f>
        <v>5</v>
      </c>
      <c r="C31" s="474">
        <f t="shared" ref="C31" ca="1" si="0">AVERAGE(C32:C44)</f>
        <v>1.0139668318243389</v>
      </c>
      <c r="D31" s="474">
        <f ca="1">AVERAGE(D32:D44)</f>
        <v>0.99390465887761648</v>
      </c>
      <c r="E31" s="199">
        <f>SUM(E32:E44)</f>
        <v>147</v>
      </c>
      <c r="H31" s="275"/>
      <c r="I31" s="275"/>
      <c r="J31" s="275"/>
      <c r="K31" s="275"/>
    </row>
    <row r="32" spans="1:11">
      <c r="A32" s="13" t="s">
        <v>693</v>
      </c>
      <c r="B32" s="479" t="e">
        <f t="shared" ref="B32:B44" si="1">LOOKUP(C32,$B$5:$B$14,$C$5:$C$14)</f>
        <v>#N/A</v>
      </c>
      <c r="C32" s="474" t="s">
        <v>1107</v>
      </c>
      <c r="D32" s="474" t="s">
        <v>1107</v>
      </c>
      <c r="E32" s="199"/>
      <c r="H32" s="13"/>
      <c r="I32" s="14"/>
      <c r="J32" s="1"/>
      <c r="K32" s="5"/>
    </row>
    <row r="33" spans="1:11">
      <c r="A33" s="13" t="s">
        <v>24</v>
      </c>
      <c r="B33" s="479">
        <f t="shared" ca="1" si="1"/>
        <v>4.5</v>
      </c>
      <c r="C33" s="474">
        <f ca="1">'eBusiness On-Time Data'!$C$24</f>
        <v>0.9619976721428839</v>
      </c>
      <c r="D33" s="474">
        <f ca="1">'eBusiness On-Time Data'!$C$26</f>
        <v>0.98183959361037687</v>
      </c>
      <c r="E33" s="199">
        <f>'eBusiness On-Time Data'!$C$27</f>
        <v>13</v>
      </c>
      <c r="F33" t="s">
        <v>41</v>
      </c>
      <c r="H33" s="13" t="s">
        <v>75</v>
      </c>
      <c r="I33" s="13" t="s">
        <v>77</v>
      </c>
      <c r="J33" s="1" t="s">
        <v>58</v>
      </c>
      <c r="K33" s="5" t="s">
        <v>59</v>
      </c>
    </row>
    <row r="34" spans="1:11">
      <c r="A34" s="13" t="s">
        <v>25</v>
      </c>
      <c r="B34" s="479" t="e">
        <f t="shared" si="1"/>
        <v>#N/A</v>
      </c>
      <c r="C34" s="474" t="s">
        <v>1107</v>
      </c>
      <c r="D34" s="474" t="s">
        <v>1107</v>
      </c>
      <c r="E34" s="199"/>
      <c r="H34" s="13"/>
      <c r="I34" s="13"/>
      <c r="J34" s="289"/>
      <c r="K34" s="5"/>
    </row>
    <row r="35" spans="1:11">
      <c r="A35" s="13" t="s">
        <v>26</v>
      </c>
      <c r="B35" s="479">
        <f t="shared" ca="1" si="1"/>
        <v>5</v>
      </c>
      <c r="C35" s="474">
        <f ca="1">'IT Finance On-Time Data'!$C$24</f>
        <v>0.98987499999999995</v>
      </c>
      <c r="D35" s="474">
        <f ca="1">'IT Finance On-Time Data'!$C$26</f>
        <v>0.98928571428571421</v>
      </c>
      <c r="E35" s="199">
        <f>'IT Finance On-Time Data'!$C$27</f>
        <v>28</v>
      </c>
      <c r="F35" t="s">
        <v>46</v>
      </c>
      <c r="H35" s="13" t="s">
        <v>78</v>
      </c>
      <c r="I35" s="13" t="s">
        <v>481</v>
      </c>
      <c r="J35" s="1" t="s">
        <v>58</v>
      </c>
      <c r="K35" s="5" t="s">
        <v>540</v>
      </c>
    </row>
    <row r="36" spans="1:11">
      <c r="A36" s="13" t="s">
        <v>7</v>
      </c>
      <c r="B36" s="479" t="e">
        <f t="shared" si="1"/>
        <v>#N/A</v>
      </c>
      <c r="C36" s="474" t="s">
        <v>1107</v>
      </c>
      <c r="D36" s="474" t="s">
        <v>1107</v>
      </c>
      <c r="E36" s="199"/>
      <c r="H36" s="13"/>
      <c r="I36" s="13"/>
      <c r="J36" s="275"/>
      <c r="K36" s="289"/>
    </row>
    <row r="37" spans="1:11">
      <c r="A37" s="13" t="s">
        <v>541</v>
      </c>
      <c r="B37" s="479">
        <f t="shared" ca="1" si="1"/>
        <v>5</v>
      </c>
      <c r="C37" s="474">
        <f ca="1">'IT Producer On-Time Delivery'!$C$24</f>
        <v>0.99222437971440081</v>
      </c>
      <c r="D37" s="474">
        <f ca="1">'IT Producer On-Time Delivery'!$C$26</f>
        <v>0.98133925274882705</v>
      </c>
      <c r="E37" s="199">
        <f>'IT Producer On-Time Delivery'!$C$27</f>
        <v>36</v>
      </c>
      <c r="F37" t="s">
        <v>44</v>
      </c>
      <c r="H37" s="13" t="s">
        <v>72</v>
      </c>
      <c r="I37" s="13" t="s">
        <v>80</v>
      </c>
      <c r="J37" s="289" t="s">
        <v>58</v>
      </c>
      <c r="K37" s="5" t="s">
        <v>584</v>
      </c>
    </row>
    <row r="38" spans="1:11">
      <c r="A38" s="13" t="s">
        <v>8</v>
      </c>
      <c r="B38" s="479">
        <f t="shared" ca="1" si="1"/>
        <v>5</v>
      </c>
      <c r="C38" s="474">
        <f ca="1">'IT Sales On-Time Data'!$C$24</f>
        <v>1</v>
      </c>
      <c r="D38" s="474">
        <f ca="1">'IT Sales On-Time Data'!$C$26</f>
        <v>1</v>
      </c>
      <c r="E38" s="199">
        <f>'IT Sales On-Time Data'!$C$27</f>
        <v>8</v>
      </c>
      <c r="F38" t="s">
        <v>45</v>
      </c>
      <c r="H38" s="13" t="s">
        <v>74</v>
      </c>
      <c r="I38" s="14" t="s">
        <v>73</v>
      </c>
      <c r="J38" s="1"/>
      <c r="K38" s="5" t="s">
        <v>113</v>
      </c>
    </row>
    <row r="39" spans="1:11">
      <c r="A39" s="13" t="s">
        <v>9</v>
      </c>
      <c r="B39" s="479">
        <f t="shared" ca="1" si="1"/>
        <v>5</v>
      </c>
      <c r="C39" s="478">
        <f ca="1">'IT Service On-Time Delivery'!$C$24</f>
        <v>0.98824762711603897</v>
      </c>
      <c r="D39" s="478">
        <f ca="1">'IT Service On-Time Delivery'!$C$26</f>
        <v>0.97835312193382962</v>
      </c>
      <c r="E39" s="197">
        <f>'IT Service On-Time Delivery'!$C$27</f>
        <v>41</v>
      </c>
      <c r="F39" t="s">
        <v>31</v>
      </c>
      <c r="H39" s="13" t="s">
        <v>619</v>
      </c>
      <c r="I39" s="13" t="s">
        <v>80</v>
      </c>
      <c r="J39" s="289" t="s">
        <v>58</v>
      </c>
      <c r="K39" s="5" t="s">
        <v>690</v>
      </c>
    </row>
    <row r="40" spans="1:11">
      <c r="A40" s="315" t="s">
        <v>12</v>
      </c>
      <c r="B40" s="479" t="e">
        <f t="shared" si="1"/>
        <v>#N/A</v>
      </c>
      <c r="C40" s="474" t="s">
        <v>1107</v>
      </c>
      <c r="D40" s="474" t="s">
        <v>1107</v>
      </c>
      <c r="E40" s="199"/>
      <c r="H40" s="13"/>
      <c r="I40" s="13"/>
      <c r="J40" s="289"/>
      <c r="K40" s="5"/>
    </row>
    <row r="41" spans="1:11" s="289" customFormat="1">
      <c r="A41" s="13" t="s">
        <v>10</v>
      </c>
      <c r="B41" s="491">
        <f t="shared" ca="1" si="1"/>
        <v>3</v>
      </c>
      <c r="C41" s="474">
        <f ca="1">'Product Admin On-Time Delivery'!$C$24</f>
        <v>1.2048043031165956</v>
      </c>
      <c r="D41" s="474">
        <f ca="1">'Product Admin On-Time Delivery'!$C$26</f>
        <v>1.0402871381110583</v>
      </c>
      <c r="E41" s="199">
        <f>'Product Admin On-Time Delivery'!$C$27</f>
        <v>10</v>
      </c>
      <c r="F41" s="289" t="s">
        <v>18</v>
      </c>
      <c r="H41" s="13" t="s">
        <v>586</v>
      </c>
      <c r="I41" s="13" t="s">
        <v>10</v>
      </c>
      <c r="J41" s="1"/>
      <c r="K41" s="5" t="s">
        <v>605</v>
      </c>
    </row>
    <row r="42" spans="1:11" s="491" customFormat="1">
      <c r="A42" s="13" t="s">
        <v>1110</v>
      </c>
      <c r="B42" s="491" t="e">
        <f t="shared" si="1"/>
        <v>#N/A</v>
      </c>
      <c r="C42" s="474" t="s">
        <v>1107</v>
      </c>
      <c r="D42" s="474"/>
      <c r="E42" s="199"/>
      <c r="H42" s="13"/>
      <c r="I42" s="13"/>
      <c r="J42" s="1"/>
      <c r="K42" s="5"/>
    </row>
    <row r="43" spans="1:11" s="289" customFormat="1">
      <c r="A43" s="13" t="s">
        <v>68</v>
      </c>
      <c r="B43" s="491">
        <f t="shared" ca="1" si="1"/>
        <v>4.5</v>
      </c>
      <c r="C43" s="474">
        <f ca="1">'Viewpoint On-Time Delivery'!$C$24</f>
        <v>0.97458567250479033</v>
      </c>
      <c r="D43" s="474">
        <f ca="1">'Viewpoint On-Time Delivery'!$C$26</f>
        <v>0.98013245033112584</v>
      </c>
      <c r="E43" s="199">
        <f>'Viewpoint On-Time Delivery'!$C$27</f>
        <v>6</v>
      </c>
      <c r="F43" s="289" t="s">
        <v>49</v>
      </c>
      <c r="H43" s="13" t="s">
        <v>606</v>
      </c>
      <c r="I43" s="13" t="s">
        <v>80</v>
      </c>
      <c r="J43" s="289" t="s">
        <v>58</v>
      </c>
      <c r="K43" s="5" t="s">
        <v>585</v>
      </c>
    </row>
    <row r="44" spans="1:11">
      <c r="A44" s="13" t="s">
        <v>11</v>
      </c>
      <c r="B44" s="479">
        <f t="shared" ca="1" si="1"/>
        <v>5</v>
      </c>
      <c r="C44" s="474">
        <f ca="1">'Workflow On-Time Data'!$C$24</f>
        <v>1</v>
      </c>
      <c r="D44" s="474">
        <f ca="1">'Workflow On-Time Data'!$C$26</f>
        <v>1</v>
      </c>
      <c r="E44" s="199">
        <f>'Workflow On-Time Data'!$C$27</f>
        <v>5</v>
      </c>
      <c r="F44" t="s">
        <v>48</v>
      </c>
      <c r="H44" s="13" t="s">
        <v>71</v>
      </c>
      <c r="I44" s="13" t="s">
        <v>76</v>
      </c>
      <c r="J44" s="1" t="s">
        <v>58</v>
      </c>
      <c r="K44" s="5" t="s">
        <v>480</v>
      </c>
    </row>
    <row r="47" spans="1:11">
      <c r="B47" s="479">
        <f t="shared" ref="B47:B127" si="2">LOOKUP(C47,$B$5:$B$14,$C$5:$C$14)</f>
        <v>1</v>
      </c>
      <c r="C47" s="481">
        <v>0.01</v>
      </c>
    </row>
    <row r="48" spans="1:11">
      <c r="B48" s="479">
        <f t="shared" si="2"/>
        <v>1</v>
      </c>
      <c r="C48" s="481">
        <v>0.1</v>
      </c>
    </row>
    <row r="49" spans="2:3">
      <c r="B49" s="479">
        <f t="shared" si="2"/>
        <v>1</v>
      </c>
      <c r="C49" s="481">
        <v>0.2</v>
      </c>
    </row>
    <row r="50" spans="2:3">
      <c r="B50" s="479">
        <f t="shared" si="2"/>
        <v>1</v>
      </c>
      <c r="C50" s="481">
        <v>0.3</v>
      </c>
    </row>
    <row r="51" spans="2:3">
      <c r="B51" s="479">
        <f t="shared" si="2"/>
        <v>1</v>
      </c>
      <c r="C51" s="481">
        <v>0.4</v>
      </c>
    </row>
    <row r="52" spans="2:3">
      <c r="B52" s="479">
        <f t="shared" si="2"/>
        <v>1</v>
      </c>
      <c r="C52" s="481">
        <v>0.5</v>
      </c>
    </row>
    <row r="53" spans="2:3">
      <c r="B53" s="479">
        <f t="shared" si="2"/>
        <v>1</v>
      </c>
      <c r="C53" s="481">
        <v>0.6</v>
      </c>
    </row>
    <row r="54" spans="2:3">
      <c r="B54" s="479">
        <f t="shared" si="2"/>
        <v>1</v>
      </c>
      <c r="C54" s="481">
        <v>0.61</v>
      </c>
    </row>
    <row r="55" spans="2:3">
      <c r="B55" s="479">
        <f t="shared" si="2"/>
        <v>1</v>
      </c>
      <c r="C55" s="481">
        <v>0.62</v>
      </c>
    </row>
    <row r="56" spans="2:3">
      <c r="B56" s="479">
        <f t="shared" si="2"/>
        <v>1</v>
      </c>
      <c r="C56" s="481">
        <v>0.63</v>
      </c>
    </row>
    <row r="57" spans="2:3">
      <c r="B57" s="479">
        <f t="shared" si="2"/>
        <v>1</v>
      </c>
      <c r="C57" s="481">
        <v>0.64</v>
      </c>
    </row>
    <row r="58" spans="2:3">
      <c r="B58" s="479">
        <f t="shared" si="2"/>
        <v>1</v>
      </c>
      <c r="C58" s="481">
        <v>0.65</v>
      </c>
    </row>
    <row r="59" spans="2:3">
      <c r="B59" s="479">
        <f t="shared" si="2"/>
        <v>1</v>
      </c>
      <c r="C59" s="481">
        <v>0.66</v>
      </c>
    </row>
    <row r="60" spans="2:3">
      <c r="B60" s="479">
        <f t="shared" si="2"/>
        <v>1</v>
      </c>
      <c r="C60" s="481">
        <v>0.67</v>
      </c>
    </row>
    <row r="61" spans="2:3">
      <c r="B61" s="479">
        <f t="shared" si="2"/>
        <v>1</v>
      </c>
      <c r="C61" s="481">
        <v>0.68</v>
      </c>
    </row>
    <row r="62" spans="2:3">
      <c r="B62" s="479">
        <f t="shared" si="2"/>
        <v>1</v>
      </c>
      <c r="C62" s="481">
        <v>0.69</v>
      </c>
    </row>
    <row r="63" spans="2:3">
      <c r="B63" s="479">
        <f t="shared" si="2"/>
        <v>2</v>
      </c>
      <c r="C63" s="482">
        <v>0.7</v>
      </c>
    </row>
    <row r="64" spans="2:3">
      <c r="B64" s="479">
        <f t="shared" si="2"/>
        <v>2</v>
      </c>
      <c r="C64" s="482">
        <v>0.71</v>
      </c>
    </row>
    <row r="65" spans="2:3">
      <c r="B65" s="479">
        <f t="shared" si="2"/>
        <v>2</v>
      </c>
      <c r="C65" s="482">
        <v>0.72</v>
      </c>
    </row>
    <row r="66" spans="2:3">
      <c r="B66" s="479">
        <f t="shared" si="2"/>
        <v>2</v>
      </c>
      <c r="C66" s="482">
        <v>0.73</v>
      </c>
    </row>
    <row r="67" spans="2:3">
      <c r="B67" s="479">
        <f t="shared" si="2"/>
        <v>2</v>
      </c>
      <c r="C67" s="482">
        <v>0.74</v>
      </c>
    </row>
    <row r="68" spans="2:3">
      <c r="B68" s="479">
        <f t="shared" si="2"/>
        <v>2</v>
      </c>
      <c r="C68" s="482">
        <v>0.75</v>
      </c>
    </row>
    <row r="69" spans="2:3">
      <c r="B69" s="479">
        <f t="shared" si="2"/>
        <v>2</v>
      </c>
      <c r="C69" s="482">
        <v>0.76</v>
      </c>
    </row>
    <row r="70" spans="2:3">
      <c r="B70" s="479">
        <f t="shared" si="2"/>
        <v>2</v>
      </c>
      <c r="C70" s="482">
        <v>0.77</v>
      </c>
    </row>
    <row r="71" spans="2:3">
      <c r="B71" s="479">
        <f t="shared" si="2"/>
        <v>2</v>
      </c>
      <c r="C71" s="482">
        <v>0.78</v>
      </c>
    </row>
    <row r="72" spans="2:3">
      <c r="B72" s="479">
        <f t="shared" si="2"/>
        <v>2</v>
      </c>
      <c r="C72" s="482">
        <v>0.79</v>
      </c>
    </row>
    <row r="73" spans="2:3">
      <c r="B73" s="479">
        <f t="shared" si="2"/>
        <v>3</v>
      </c>
      <c r="C73" s="482">
        <v>0.8</v>
      </c>
    </row>
    <row r="74" spans="2:3">
      <c r="B74" s="479">
        <f t="shared" si="2"/>
        <v>3</v>
      </c>
      <c r="C74" s="482">
        <v>0.81</v>
      </c>
    </row>
    <row r="75" spans="2:3">
      <c r="B75" s="479">
        <f t="shared" si="2"/>
        <v>3</v>
      </c>
      <c r="C75" s="482">
        <v>0.82</v>
      </c>
    </row>
    <row r="76" spans="2:3">
      <c r="B76" s="479">
        <f t="shared" si="2"/>
        <v>3</v>
      </c>
      <c r="C76" s="482">
        <v>0.83</v>
      </c>
    </row>
    <row r="77" spans="2:3">
      <c r="B77" s="479">
        <f t="shared" si="2"/>
        <v>3</v>
      </c>
      <c r="C77" s="482">
        <v>0.84</v>
      </c>
    </row>
    <row r="78" spans="2:3">
      <c r="B78" s="479">
        <f t="shared" si="2"/>
        <v>3</v>
      </c>
      <c r="C78" s="482">
        <v>0.85</v>
      </c>
    </row>
    <row r="79" spans="2:3">
      <c r="B79" s="479">
        <f t="shared" si="2"/>
        <v>3</v>
      </c>
      <c r="C79" s="482">
        <v>0.86</v>
      </c>
    </row>
    <row r="80" spans="2:3">
      <c r="B80" s="479">
        <f t="shared" si="2"/>
        <v>3</v>
      </c>
      <c r="C80" s="482">
        <v>0.87</v>
      </c>
    </row>
    <row r="81" spans="2:5">
      <c r="B81" s="479">
        <f t="shared" si="2"/>
        <v>3</v>
      </c>
      <c r="C81" s="482">
        <v>0.88</v>
      </c>
    </row>
    <row r="82" spans="2:5">
      <c r="B82" s="479">
        <f t="shared" si="2"/>
        <v>3</v>
      </c>
      <c r="C82" s="482">
        <v>0.89</v>
      </c>
    </row>
    <row r="83" spans="2:5">
      <c r="B83" s="479">
        <f t="shared" si="2"/>
        <v>4</v>
      </c>
      <c r="C83" s="483">
        <v>0.9</v>
      </c>
    </row>
    <row r="84" spans="2:5">
      <c r="B84" s="479">
        <f t="shared" si="2"/>
        <v>4</v>
      </c>
      <c r="C84" s="483">
        <v>0.91</v>
      </c>
    </row>
    <row r="85" spans="2:5">
      <c r="B85" s="479">
        <f t="shared" si="2"/>
        <v>4</v>
      </c>
      <c r="C85" s="483">
        <v>0.92</v>
      </c>
    </row>
    <row r="86" spans="2:5">
      <c r="B86" s="479">
        <f t="shared" si="2"/>
        <v>4</v>
      </c>
      <c r="C86" s="483">
        <v>0.93</v>
      </c>
    </row>
    <row r="87" spans="2:5">
      <c r="B87" s="479">
        <f t="shared" si="2"/>
        <v>4</v>
      </c>
      <c r="C87" s="483">
        <v>0.94</v>
      </c>
    </row>
    <row r="88" spans="2:5">
      <c r="B88" s="479">
        <f t="shared" si="2"/>
        <v>4.5</v>
      </c>
      <c r="C88" s="484">
        <v>0.95</v>
      </c>
    </row>
    <row r="89" spans="2:5">
      <c r="B89" s="479">
        <f t="shared" si="2"/>
        <v>4.5</v>
      </c>
      <c r="C89" s="484">
        <v>0.96</v>
      </c>
    </row>
    <row r="90" spans="2:5">
      <c r="B90" s="479">
        <f t="shared" si="2"/>
        <v>4.5</v>
      </c>
      <c r="C90" s="484">
        <v>0.97</v>
      </c>
    </row>
    <row r="91" spans="2:5" s="479" customFormat="1">
      <c r="B91" s="479">
        <f t="shared" si="2"/>
        <v>4.5</v>
      </c>
      <c r="C91" s="484">
        <v>0.97799999999999998</v>
      </c>
      <c r="E91" s="197"/>
    </row>
    <row r="92" spans="2:5" s="479" customFormat="1">
      <c r="B92" s="479">
        <f t="shared" si="2"/>
        <v>4.5</v>
      </c>
      <c r="C92" s="484">
        <v>0.97899999999999998</v>
      </c>
      <c r="E92" s="197"/>
    </row>
    <row r="93" spans="2:5" s="479" customFormat="1">
      <c r="B93" s="479">
        <f t="shared" si="2"/>
        <v>5</v>
      </c>
      <c r="C93" s="485">
        <v>0.98</v>
      </c>
      <c r="E93" s="197"/>
    </row>
    <row r="94" spans="2:5" s="479" customFormat="1">
      <c r="B94" s="479">
        <f t="shared" si="2"/>
        <v>5</v>
      </c>
      <c r="C94" s="485">
        <v>0.98099999999999998</v>
      </c>
      <c r="E94" s="197"/>
    </row>
    <row r="95" spans="2:5" s="479" customFormat="1">
      <c r="B95" s="479">
        <f t="shared" si="2"/>
        <v>5</v>
      </c>
      <c r="C95" s="485">
        <v>0.98199999999999998</v>
      </c>
      <c r="E95" s="197"/>
    </row>
    <row r="96" spans="2:5" s="479" customFormat="1">
      <c r="B96" s="479">
        <f t="shared" si="2"/>
        <v>5</v>
      </c>
      <c r="C96" s="485">
        <v>0.98299999999999998</v>
      </c>
      <c r="E96" s="197"/>
    </row>
    <row r="97" spans="2:5" s="479" customFormat="1">
      <c r="B97" s="479">
        <f t="shared" si="2"/>
        <v>5</v>
      </c>
      <c r="C97" s="485">
        <v>0.98399999999999999</v>
      </c>
      <c r="E97" s="197"/>
    </row>
    <row r="98" spans="2:5" s="479" customFormat="1">
      <c r="B98" s="479">
        <f t="shared" si="2"/>
        <v>5</v>
      </c>
      <c r="C98" s="485">
        <v>0.98499999999999999</v>
      </c>
      <c r="E98" s="197"/>
    </row>
    <row r="99" spans="2:5" s="479" customFormat="1">
      <c r="B99" s="479">
        <f t="shared" si="2"/>
        <v>5</v>
      </c>
      <c r="C99" s="485">
        <v>0.98599999999999999</v>
      </c>
      <c r="E99" s="197"/>
    </row>
    <row r="100" spans="2:5" s="479" customFormat="1">
      <c r="B100" s="479">
        <f t="shared" si="2"/>
        <v>5</v>
      </c>
      <c r="C100" s="485">
        <v>0.98699999999999999</v>
      </c>
      <c r="E100" s="197"/>
    </row>
    <row r="101" spans="2:5" s="479" customFormat="1">
      <c r="B101" s="479">
        <f t="shared" si="2"/>
        <v>5</v>
      </c>
      <c r="C101" s="485">
        <v>0.98799999999999999</v>
      </c>
      <c r="E101" s="197"/>
    </row>
    <row r="102" spans="2:5">
      <c r="B102" s="479">
        <f t="shared" si="2"/>
        <v>5</v>
      </c>
      <c r="C102" s="485">
        <v>0.98899999999999999</v>
      </c>
    </row>
    <row r="103" spans="2:5">
      <c r="B103" s="479">
        <f t="shared" si="2"/>
        <v>5</v>
      </c>
      <c r="C103" s="485">
        <v>0.99</v>
      </c>
    </row>
    <row r="104" spans="2:5">
      <c r="B104" s="479">
        <f t="shared" si="2"/>
        <v>5</v>
      </c>
      <c r="C104" s="485">
        <v>1</v>
      </c>
    </row>
    <row r="105" spans="2:5">
      <c r="B105" s="479">
        <f t="shared" si="2"/>
        <v>5</v>
      </c>
      <c r="C105" s="485">
        <v>1.01</v>
      </c>
    </row>
    <row r="106" spans="2:5" s="479" customFormat="1">
      <c r="B106" s="479">
        <f t="shared" si="2"/>
        <v>5</v>
      </c>
      <c r="C106" s="485">
        <v>1.0149999999999999</v>
      </c>
      <c r="E106" s="197"/>
    </row>
    <row r="107" spans="2:5" s="479" customFormat="1">
      <c r="B107" s="479">
        <f t="shared" si="2"/>
        <v>5</v>
      </c>
      <c r="C107" s="485">
        <v>1.016</v>
      </c>
      <c r="E107" s="197"/>
    </row>
    <row r="108" spans="2:5" s="479" customFormat="1">
      <c r="B108" s="479">
        <f t="shared" si="2"/>
        <v>5</v>
      </c>
      <c r="C108" s="485">
        <v>1.0169999999999999</v>
      </c>
      <c r="E108" s="197"/>
    </row>
    <row r="109" spans="2:5" s="479" customFormat="1">
      <c r="B109" s="479">
        <f t="shared" si="2"/>
        <v>5</v>
      </c>
      <c r="C109" s="485">
        <v>1.018</v>
      </c>
      <c r="E109" s="197"/>
    </row>
    <row r="110" spans="2:5" s="479" customFormat="1">
      <c r="B110" s="479">
        <f t="shared" si="2"/>
        <v>5</v>
      </c>
      <c r="C110" s="485">
        <v>1.0189999999999999</v>
      </c>
      <c r="E110" s="197"/>
    </row>
    <row r="111" spans="2:5" s="479" customFormat="1">
      <c r="B111" s="479">
        <f t="shared" si="2"/>
        <v>5</v>
      </c>
      <c r="C111" s="485">
        <v>1.02</v>
      </c>
      <c r="E111" s="197"/>
    </row>
    <row r="112" spans="2:5">
      <c r="B112" s="479">
        <f t="shared" si="2"/>
        <v>4.5</v>
      </c>
      <c r="C112" s="484">
        <v>1.0209999999999999</v>
      </c>
    </row>
    <row r="113" spans="2:3">
      <c r="B113" s="479">
        <f t="shared" si="2"/>
        <v>4.5</v>
      </c>
      <c r="C113" s="484">
        <v>1.03</v>
      </c>
    </row>
    <row r="114" spans="2:3">
      <c r="B114" s="479">
        <f t="shared" si="2"/>
        <v>4.5</v>
      </c>
      <c r="C114" s="484">
        <v>1.04</v>
      </c>
    </row>
    <row r="115" spans="2:3">
      <c r="B115" s="479">
        <f t="shared" si="2"/>
        <v>4.5</v>
      </c>
      <c r="C115" s="483">
        <v>1.05</v>
      </c>
    </row>
    <row r="116" spans="2:3">
      <c r="B116" s="479">
        <f t="shared" si="2"/>
        <v>4</v>
      </c>
      <c r="C116" s="483">
        <v>1.06</v>
      </c>
    </row>
    <row r="117" spans="2:3">
      <c r="B117" s="479">
        <f t="shared" si="2"/>
        <v>4</v>
      </c>
      <c r="C117" s="483">
        <v>1.07</v>
      </c>
    </row>
    <row r="118" spans="2:3">
      <c r="B118" s="479">
        <f t="shared" si="2"/>
        <v>4</v>
      </c>
      <c r="C118" s="483">
        <v>1.08</v>
      </c>
    </row>
    <row r="119" spans="2:3">
      <c r="B119" s="479">
        <f t="shared" si="2"/>
        <v>4</v>
      </c>
      <c r="C119" s="483">
        <v>1.0900000000000001</v>
      </c>
    </row>
    <row r="120" spans="2:3">
      <c r="B120" s="479">
        <f t="shared" si="2"/>
        <v>4</v>
      </c>
      <c r="C120" s="482">
        <v>1.1000000000000001</v>
      </c>
    </row>
    <row r="121" spans="2:3">
      <c r="B121" s="479">
        <f t="shared" si="2"/>
        <v>3</v>
      </c>
      <c r="C121" s="482">
        <v>1.1100000000000001</v>
      </c>
    </row>
    <row r="122" spans="2:3">
      <c r="B122" s="479">
        <f t="shared" si="2"/>
        <v>3</v>
      </c>
      <c r="C122" s="482">
        <v>1.1200000000000001</v>
      </c>
    </row>
    <row r="123" spans="2:3">
      <c r="B123" s="479">
        <f t="shared" si="2"/>
        <v>3</v>
      </c>
      <c r="C123" s="482">
        <v>1.1299999999999999</v>
      </c>
    </row>
    <row r="124" spans="2:3">
      <c r="B124" s="479">
        <f t="shared" si="2"/>
        <v>3</v>
      </c>
      <c r="C124" s="482">
        <v>1.1399999999999999</v>
      </c>
    </row>
    <row r="125" spans="2:3">
      <c r="B125" s="479">
        <f t="shared" si="2"/>
        <v>3</v>
      </c>
      <c r="C125" s="482">
        <v>1.1499999999999999</v>
      </c>
    </row>
    <row r="126" spans="2:3">
      <c r="B126" s="479">
        <f t="shared" si="2"/>
        <v>3</v>
      </c>
      <c r="C126" s="482">
        <v>1.1599999999999999</v>
      </c>
    </row>
    <row r="127" spans="2:3">
      <c r="B127" s="479">
        <f t="shared" si="2"/>
        <v>3</v>
      </c>
      <c r="C127" s="482">
        <v>1.17</v>
      </c>
    </row>
    <row r="128" spans="2:3">
      <c r="B128" s="479">
        <f t="shared" ref="B128:B176" si="3">LOOKUP(C128,$B$5:$B$14,$C$5:$C$14)</f>
        <v>3</v>
      </c>
      <c r="C128" s="482">
        <v>1.18</v>
      </c>
    </row>
    <row r="129" spans="2:3">
      <c r="B129" s="479">
        <f t="shared" si="3"/>
        <v>3</v>
      </c>
      <c r="C129" s="482">
        <v>1.19</v>
      </c>
    </row>
    <row r="130" spans="2:3">
      <c r="B130" s="479">
        <f t="shared" si="3"/>
        <v>3</v>
      </c>
      <c r="C130" s="482">
        <v>1.2</v>
      </c>
    </row>
    <row r="131" spans="2:3">
      <c r="B131" s="479">
        <f t="shared" si="3"/>
        <v>3</v>
      </c>
      <c r="C131" s="482">
        <v>1.21</v>
      </c>
    </row>
    <row r="132" spans="2:3">
      <c r="B132" s="479">
        <f t="shared" si="3"/>
        <v>3</v>
      </c>
      <c r="C132" s="482">
        <v>1.22</v>
      </c>
    </row>
    <row r="133" spans="2:3">
      <c r="B133" s="479">
        <f t="shared" si="3"/>
        <v>3</v>
      </c>
      <c r="C133" s="482">
        <v>1.23</v>
      </c>
    </row>
    <row r="134" spans="2:3">
      <c r="B134" s="479">
        <f t="shared" si="3"/>
        <v>3</v>
      </c>
      <c r="C134" s="482">
        <v>1.24</v>
      </c>
    </row>
    <row r="135" spans="2:3">
      <c r="B135" s="479">
        <f t="shared" si="3"/>
        <v>3</v>
      </c>
      <c r="C135" s="482">
        <v>1.25</v>
      </c>
    </row>
    <row r="136" spans="2:3">
      <c r="B136" s="479">
        <f t="shared" si="3"/>
        <v>3</v>
      </c>
      <c r="C136" s="482">
        <v>1.26</v>
      </c>
    </row>
    <row r="137" spans="2:3">
      <c r="B137" s="479">
        <f t="shared" si="3"/>
        <v>3</v>
      </c>
      <c r="C137" s="482">
        <v>1.27</v>
      </c>
    </row>
    <row r="138" spans="2:3">
      <c r="B138" s="479">
        <f t="shared" si="3"/>
        <v>3</v>
      </c>
      <c r="C138" s="482">
        <v>1.28</v>
      </c>
    </row>
    <row r="139" spans="2:3">
      <c r="B139" s="479">
        <f t="shared" si="3"/>
        <v>3</v>
      </c>
      <c r="C139" s="482">
        <v>1.29</v>
      </c>
    </row>
    <row r="140" spans="2:3">
      <c r="B140" s="479">
        <f t="shared" si="3"/>
        <v>3</v>
      </c>
      <c r="C140" s="481">
        <v>1.3</v>
      </c>
    </row>
    <row r="141" spans="2:3">
      <c r="B141" s="479">
        <f t="shared" si="3"/>
        <v>3</v>
      </c>
      <c r="C141" s="481">
        <v>1.4</v>
      </c>
    </row>
    <row r="142" spans="2:3">
      <c r="B142" s="479">
        <f t="shared" si="3"/>
        <v>3</v>
      </c>
      <c r="C142" s="481">
        <v>1.5</v>
      </c>
    </row>
    <row r="143" spans="2:3">
      <c r="B143" s="479">
        <f t="shared" si="3"/>
        <v>3</v>
      </c>
      <c r="C143" s="481">
        <v>1.6</v>
      </c>
    </row>
    <row r="144" spans="2:3">
      <c r="B144" s="479">
        <f t="shared" si="3"/>
        <v>3</v>
      </c>
      <c r="C144" s="481">
        <v>1.7</v>
      </c>
    </row>
    <row r="145" spans="2:3">
      <c r="B145" s="479">
        <f t="shared" si="3"/>
        <v>3</v>
      </c>
      <c r="C145" s="481">
        <v>1.8</v>
      </c>
    </row>
    <row r="146" spans="2:3">
      <c r="B146" s="479">
        <f t="shared" si="3"/>
        <v>3</v>
      </c>
      <c r="C146" s="481">
        <v>1.9</v>
      </c>
    </row>
    <row r="147" spans="2:3">
      <c r="B147" s="479">
        <f t="shared" si="3"/>
        <v>3</v>
      </c>
      <c r="C147" s="481">
        <v>2</v>
      </c>
    </row>
    <row r="148" spans="2:3">
      <c r="B148" s="479">
        <f t="shared" si="3"/>
        <v>3</v>
      </c>
      <c r="C148" s="481">
        <v>3</v>
      </c>
    </row>
    <row r="149" spans="2:3">
      <c r="B149" s="479">
        <f t="shared" si="3"/>
        <v>3</v>
      </c>
      <c r="C149" s="481">
        <v>4</v>
      </c>
    </row>
    <row r="150" spans="2:3">
      <c r="B150" s="479">
        <f t="shared" si="3"/>
        <v>3</v>
      </c>
      <c r="C150" s="481">
        <v>5</v>
      </c>
    </row>
    <row r="151" spans="2:3">
      <c r="B151" s="479">
        <f t="shared" si="3"/>
        <v>3</v>
      </c>
      <c r="C151" s="481">
        <v>6</v>
      </c>
    </row>
    <row r="152" spans="2:3">
      <c r="B152" s="479">
        <f t="shared" si="3"/>
        <v>3</v>
      </c>
      <c r="C152" s="481">
        <v>7</v>
      </c>
    </row>
    <row r="153" spans="2:3">
      <c r="B153" s="479">
        <f t="shared" si="3"/>
        <v>3</v>
      </c>
      <c r="C153" s="481">
        <v>8</v>
      </c>
    </row>
    <row r="154" spans="2:3">
      <c r="B154" s="479">
        <f t="shared" si="3"/>
        <v>3</v>
      </c>
      <c r="C154" s="481">
        <v>9</v>
      </c>
    </row>
    <row r="155" spans="2:3">
      <c r="B155" s="479">
        <f t="shared" si="3"/>
        <v>3</v>
      </c>
      <c r="C155" s="481">
        <v>10</v>
      </c>
    </row>
    <row r="156" spans="2:3">
      <c r="B156" s="479">
        <f t="shared" si="3"/>
        <v>3</v>
      </c>
      <c r="C156" s="481">
        <v>11</v>
      </c>
    </row>
    <row r="157" spans="2:3">
      <c r="B157" s="479">
        <f t="shared" si="3"/>
        <v>3</v>
      </c>
      <c r="C157" s="481">
        <v>12</v>
      </c>
    </row>
    <row r="158" spans="2:3">
      <c r="B158" s="479">
        <f t="shared" si="3"/>
        <v>3</v>
      </c>
      <c r="C158" s="481">
        <v>13</v>
      </c>
    </row>
    <row r="159" spans="2:3">
      <c r="B159" s="479">
        <f t="shared" si="3"/>
        <v>3</v>
      </c>
      <c r="C159" s="481">
        <v>14</v>
      </c>
    </row>
    <row r="160" spans="2:3">
      <c r="B160" s="479">
        <f t="shared" si="3"/>
        <v>3</v>
      </c>
      <c r="C160" s="481">
        <v>15</v>
      </c>
    </row>
    <row r="161" spans="2:3">
      <c r="B161" s="479">
        <f t="shared" si="3"/>
        <v>3</v>
      </c>
      <c r="C161" s="481">
        <v>16</v>
      </c>
    </row>
    <row r="162" spans="2:3">
      <c r="B162" s="479">
        <f t="shared" si="3"/>
        <v>3</v>
      </c>
      <c r="C162" s="481">
        <v>17</v>
      </c>
    </row>
    <row r="163" spans="2:3">
      <c r="B163" s="479">
        <f t="shared" si="3"/>
        <v>3</v>
      </c>
      <c r="C163" s="481">
        <v>18</v>
      </c>
    </row>
    <row r="164" spans="2:3">
      <c r="B164" s="479">
        <f t="shared" si="3"/>
        <v>3</v>
      </c>
      <c r="C164" s="481">
        <v>19</v>
      </c>
    </row>
    <row r="165" spans="2:3">
      <c r="B165" s="479">
        <f t="shared" si="3"/>
        <v>3</v>
      </c>
      <c r="C165" s="481">
        <v>20</v>
      </c>
    </row>
    <row r="166" spans="2:3">
      <c r="B166" s="479">
        <f t="shared" si="3"/>
        <v>3</v>
      </c>
      <c r="C166" s="481">
        <v>21</v>
      </c>
    </row>
    <row r="167" spans="2:3">
      <c r="B167" s="479">
        <f t="shared" si="3"/>
        <v>3</v>
      </c>
      <c r="C167" s="481">
        <v>22</v>
      </c>
    </row>
    <row r="168" spans="2:3">
      <c r="B168" s="479">
        <f t="shared" si="3"/>
        <v>3</v>
      </c>
      <c r="C168" s="481">
        <v>23</v>
      </c>
    </row>
    <row r="169" spans="2:3">
      <c r="B169" s="479">
        <f t="shared" si="3"/>
        <v>3</v>
      </c>
      <c r="C169" s="481">
        <v>24</v>
      </c>
    </row>
    <row r="170" spans="2:3">
      <c r="B170" s="479">
        <f t="shared" si="3"/>
        <v>3</v>
      </c>
      <c r="C170" s="481">
        <v>25</v>
      </c>
    </row>
    <row r="171" spans="2:3">
      <c r="B171" s="479">
        <f t="shared" si="3"/>
        <v>3</v>
      </c>
      <c r="C171" s="481">
        <v>26</v>
      </c>
    </row>
    <row r="172" spans="2:3">
      <c r="B172" s="479">
        <f t="shared" si="3"/>
        <v>3</v>
      </c>
      <c r="C172" s="481">
        <v>27</v>
      </c>
    </row>
    <row r="173" spans="2:3">
      <c r="B173" s="479">
        <f t="shared" si="3"/>
        <v>3</v>
      </c>
      <c r="C173" s="481">
        <v>28</v>
      </c>
    </row>
    <row r="174" spans="2:3">
      <c r="B174" s="479">
        <f t="shared" si="3"/>
        <v>3</v>
      </c>
      <c r="C174" s="481">
        <v>29</v>
      </c>
    </row>
    <row r="175" spans="2:3">
      <c r="B175" s="479">
        <f t="shared" si="3"/>
        <v>3</v>
      </c>
      <c r="C175" s="481">
        <v>30</v>
      </c>
    </row>
    <row r="176" spans="2:3">
      <c r="B176" s="341">
        <f t="shared" si="3"/>
        <v>3</v>
      </c>
      <c r="C176" s="481">
        <v>200</v>
      </c>
    </row>
    <row r="177" spans="3:3">
      <c r="C177" s="34"/>
    </row>
    <row r="178" spans="3:3">
      <c r="C178" s="34"/>
    </row>
    <row r="179" spans="3:3">
      <c r="C179" s="34"/>
    </row>
    <row r="180" spans="3:3">
      <c r="C180" s="34"/>
    </row>
    <row r="181" spans="3:3">
      <c r="C181" s="34"/>
    </row>
    <row r="182" spans="3:3">
      <c r="C182" s="34"/>
    </row>
    <row r="183" spans="3:3">
      <c r="C183" s="34"/>
    </row>
    <row r="184" spans="3:3">
      <c r="C184" s="34"/>
    </row>
    <row r="185" spans="3:3">
      <c r="C185" s="34"/>
    </row>
    <row r="186" spans="3:3">
      <c r="C186" s="34"/>
    </row>
    <row r="187" spans="3:3">
      <c r="C187" s="34"/>
    </row>
    <row r="188" spans="3:3">
      <c r="C188" s="34"/>
    </row>
    <row r="189" spans="3:3">
      <c r="C189" s="34"/>
    </row>
    <row r="190" spans="3:3">
      <c r="C190" s="34"/>
    </row>
    <row r="191" spans="3:3">
      <c r="C191" s="34"/>
    </row>
    <row r="192" spans="3:3">
      <c r="C192" s="34"/>
    </row>
    <row r="193" spans="3:3">
      <c r="C193" s="34"/>
    </row>
    <row r="194" spans="3:3">
      <c r="C194" s="34"/>
    </row>
    <row r="195" spans="3:3">
      <c r="C195" s="34"/>
    </row>
    <row r="196" spans="3:3">
      <c r="C196" s="34"/>
    </row>
    <row r="197" spans="3:3">
      <c r="C197" s="34"/>
    </row>
    <row r="198" spans="3:3">
      <c r="C198" s="34"/>
    </row>
    <row r="199" spans="3:3">
      <c r="C199" s="34"/>
    </row>
    <row r="200" spans="3:3">
      <c r="C200" s="34"/>
    </row>
    <row r="201" spans="3:3">
      <c r="C201" s="34"/>
    </row>
    <row r="202" spans="3:3">
      <c r="C202" s="34"/>
    </row>
    <row r="203" spans="3:3">
      <c r="C203" s="34"/>
    </row>
    <row r="204" spans="3:3">
      <c r="C204" s="34"/>
    </row>
    <row r="205" spans="3:3">
      <c r="C205" s="34"/>
    </row>
  </sheetData>
  <sortState ref="A31:I43">
    <sortCondition ref="A31"/>
  </sortState>
  <dataValidations count="2">
    <dataValidation type="list" allowBlank="1" showInputMessage="1" showErrorMessage="1" sqref="F31:F43">
      <formula1>Team_Managers</formula1>
    </dataValidation>
    <dataValidation type="list" allowBlank="1" showInputMessage="1" showErrorMessage="1" sqref="A31:A44">
      <formula1>Team_Names</formula1>
    </dataValidation>
  </dataValidations>
  <hyperlinks>
    <hyperlink ref="A1" location="'Table of Contents'!A1" display="Table of Contents"/>
    <hyperlink ref="K33" location="'eBusiness On-Time Data'!A1" display="eBusiness On-Time Data"/>
    <hyperlink ref="K38" location="'IT Sales On-Time Data'!A1" display="IT Sales On-Time Data"/>
    <hyperlink ref="K44" location="'Workflow On-Time Data'!A1" display="Workflow On-Time Data"/>
    <hyperlink ref="K35" location="'IT Finance On-Time Data'!A1" display="IT Finance On-Time Data"/>
    <hyperlink ref="K43" location="'Viewpoint On-Time Delivery'!A1" display="Viewpoint On-Time Delivery"/>
    <hyperlink ref="K41" location="'Product Admin On-Time Delivery'!A1" display="Product Admin On-Time Delivery"/>
    <hyperlink ref="K37" location="'IT Producer On-Time Delivery'!A1" display="IT Producer On-Time Delivery"/>
    <hyperlink ref="K39" location="'IT Service On-Time Delivery'!A1" display="IT Service On-Time Delivery"/>
  </hyperlinks>
  <printOptions headings="1" gridLines="1"/>
  <pageMargins left="0.25" right="0.25" top="0.75" bottom="0.75" header="0.3" footer="0.3"/>
  <pageSetup orientation="portrait" r:id="rId1"/>
  <headerFooter>
    <oddFooter>&amp;L&amp;5&amp;Z&amp;F
Created: 9/29/2006 10:44:00 PM
Last Saved: 2/5/2008 9:15:17 PM
Last Printed: 2/5/2008 6:12:16 PM&amp;R&amp;5&amp;P - &amp;N
Title :&lt;Not Set&gt;
Subject: &lt;Not Set&gt;</oddFooter>
  </headerFooter>
</worksheet>
</file>

<file path=xl/worksheets/sheet27.xml><?xml version="1.0" encoding="utf-8"?>
<worksheet xmlns="http://schemas.openxmlformats.org/spreadsheetml/2006/main" xmlns:r="http://schemas.openxmlformats.org/officeDocument/2006/relationships">
  <sheetPr codeName="Sheet23"/>
  <dimension ref="A1:O821"/>
  <sheetViews>
    <sheetView topLeftCell="A10" workbookViewId="0"/>
  </sheetViews>
  <sheetFormatPr defaultRowHeight="12.75"/>
  <cols>
    <col min="1" max="1" width="17.85546875" style="274" customWidth="1"/>
    <col min="2" max="2" width="2.85546875" style="274" customWidth="1"/>
    <col min="3" max="3" width="12" style="274" customWidth="1"/>
    <col min="4" max="4" width="2.85546875" style="288" customWidth="1"/>
    <col min="5" max="5" width="12" style="274" customWidth="1"/>
    <col min="6" max="6" width="2.85546875" style="288" customWidth="1"/>
    <col min="7" max="7" width="12" style="274" customWidth="1"/>
    <col min="8" max="8" width="2.85546875" style="288" customWidth="1"/>
    <col min="9" max="9" width="12" style="274" customWidth="1"/>
    <col min="10" max="10" width="2.85546875" style="288" customWidth="1"/>
    <col min="11" max="11" width="12" style="274" customWidth="1"/>
    <col min="12" max="12" width="2.85546875" style="288" customWidth="1"/>
    <col min="13" max="13" width="12" style="274" customWidth="1"/>
    <col min="14" max="16384" width="9.140625" style="274"/>
  </cols>
  <sheetData>
    <row r="1" spans="1:13">
      <c r="A1" s="5" t="s">
        <v>30</v>
      </c>
      <c r="C1"/>
      <c r="D1"/>
      <c r="E1"/>
      <c r="F1"/>
      <c r="G1"/>
      <c r="H1"/>
      <c r="I1"/>
      <c r="J1"/>
      <c r="K1"/>
      <c r="L1"/>
      <c r="M1"/>
    </row>
    <row r="2" spans="1:13">
      <c r="C2"/>
      <c r="D2"/>
      <c r="E2"/>
      <c r="F2"/>
      <c r="G2"/>
      <c r="H2"/>
      <c r="I2"/>
      <c r="J2"/>
      <c r="K2"/>
      <c r="L2"/>
      <c r="M2"/>
    </row>
    <row r="3" spans="1:13">
      <c r="A3" s="276" t="s">
        <v>1031</v>
      </c>
      <c r="C3" s="90"/>
      <c r="D3" s="90"/>
      <c r="F3" s="90"/>
      <c r="G3" s="90"/>
      <c r="H3" s="90"/>
      <c r="I3" s="90"/>
      <c r="J3" s="90"/>
      <c r="K3" s="90"/>
      <c r="L3" s="90"/>
      <c r="M3" s="90"/>
    </row>
    <row r="4" spans="1:13">
      <c r="C4" s="90"/>
      <c r="D4" s="90"/>
      <c r="E4" s="90"/>
      <c r="F4" s="90"/>
      <c r="G4" s="90"/>
      <c r="H4" s="90"/>
      <c r="I4" s="90"/>
      <c r="J4" s="90"/>
      <c r="K4" s="90"/>
      <c r="L4" s="90"/>
      <c r="M4" s="90"/>
    </row>
    <row r="5" spans="1:13" ht="33.75">
      <c r="A5" s="277" t="s">
        <v>1032</v>
      </c>
      <c r="B5" s="278"/>
      <c r="C5" s="279" t="s">
        <v>1033</v>
      </c>
      <c r="D5" s="280"/>
      <c r="E5" s="279" t="s">
        <v>1034</v>
      </c>
      <c r="F5" s="280"/>
      <c r="G5" s="279" t="s">
        <v>1035</v>
      </c>
      <c r="H5" s="280"/>
      <c r="I5" s="279" t="s">
        <v>1036</v>
      </c>
      <c r="J5" s="280"/>
      <c r="K5" s="279" t="s">
        <v>1037</v>
      </c>
      <c r="L5" s="280"/>
      <c r="M5" s="279" t="s">
        <v>1038</v>
      </c>
    </row>
    <row r="6" spans="1:13">
      <c r="A6" s="281" t="s">
        <v>693</v>
      </c>
      <c r="B6" s="278"/>
      <c r="C6" s="282"/>
      <c r="D6" s="283"/>
      <c r="E6" s="282"/>
      <c r="F6" s="283"/>
      <c r="G6" s="282">
        <v>0.18</v>
      </c>
      <c r="H6" s="283"/>
      <c r="I6" s="282"/>
      <c r="J6" s="283"/>
      <c r="K6" s="282">
        <v>0.97</v>
      </c>
      <c r="L6" s="283"/>
      <c r="M6" s="282"/>
    </row>
    <row r="7" spans="1:13">
      <c r="A7" s="281" t="s">
        <v>24</v>
      </c>
      <c r="B7" s="278"/>
      <c r="C7" s="282">
        <v>2.35</v>
      </c>
      <c r="D7" s="283"/>
      <c r="E7" s="282"/>
      <c r="F7" s="283"/>
      <c r="G7" s="282">
        <v>0.43</v>
      </c>
      <c r="H7" s="283"/>
      <c r="I7" s="282"/>
      <c r="J7" s="283"/>
      <c r="K7" s="282">
        <v>0.94</v>
      </c>
      <c r="L7" s="283"/>
      <c r="M7" s="282"/>
    </row>
    <row r="8" spans="1:13">
      <c r="A8" s="281" t="s">
        <v>25</v>
      </c>
      <c r="B8" s="278"/>
      <c r="C8" s="282"/>
      <c r="D8" s="283"/>
      <c r="E8" s="282">
        <v>1.42</v>
      </c>
      <c r="F8" s="283"/>
      <c r="G8" s="282">
        <v>0.56000000000000005</v>
      </c>
      <c r="H8" s="283"/>
      <c r="I8" s="282">
        <v>0.22</v>
      </c>
      <c r="J8" s="283"/>
      <c r="K8" s="282">
        <v>1</v>
      </c>
      <c r="L8" s="283"/>
      <c r="M8" s="282">
        <v>0.01</v>
      </c>
    </row>
    <row r="9" spans="1:13">
      <c r="A9" s="281" t="s">
        <v>26</v>
      </c>
      <c r="B9" s="278"/>
      <c r="C9" s="282">
        <v>0.75</v>
      </c>
      <c r="D9" s="283"/>
      <c r="E9" s="282">
        <v>1</v>
      </c>
      <c r="F9" s="283"/>
      <c r="G9" s="282">
        <v>0.39</v>
      </c>
      <c r="H9" s="283"/>
      <c r="I9" s="282">
        <v>0.7</v>
      </c>
      <c r="J9" s="283"/>
      <c r="K9" s="282">
        <v>1.03</v>
      </c>
      <c r="L9" s="283"/>
      <c r="M9" s="282"/>
    </row>
    <row r="10" spans="1:13">
      <c r="A10" s="281" t="s">
        <v>541</v>
      </c>
      <c r="B10" s="278"/>
      <c r="C10" s="282">
        <v>1.41</v>
      </c>
      <c r="D10" s="283"/>
      <c r="E10" s="282">
        <v>1.35</v>
      </c>
      <c r="F10" s="283"/>
      <c r="G10" s="282">
        <v>2.67</v>
      </c>
      <c r="H10" s="283"/>
      <c r="I10" s="282"/>
      <c r="J10" s="283"/>
      <c r="K10" s="282">
        <v>1.05</v>
      </c>
      <c r="L10" s="283"/>
      <c r="M10" s="282"/>
    </row>
    <row r="11" spans="1:13">
      <c r="A11" s="281" t="s">
        <v>10</v>
      </c>
      <c r="B11" s="278"/>
      <c r="C11" s="282">
        <v>0.84</v>
      </c>
      <c r="D11" s="283"/>
      <c r="E11" s="282"/>
      <c r="F11" s="283"/>
      <c r="G11" s="282"/>
      <c r="H11" s="283"/>
      <c r="I11" s="282"/>
      <c r="J11" s="283"/>
      <c r="K11" s="282">
        <v>0.94</v>
      </c>
      <c r="L11" s="283"/>
      <c r="M11" s="282"/>
    </row>
    <row r="12" spans="1:13">
      <c r="A12" s="281" t="s">
        <v>8</v>
      </c>
      <c r="B12" s="278"/>
      <c r="C12" s="282">
        <v>1</v>
      </c>
      <c r="D12" s="283"/>
      <c r="E12" s="282">
        <v>1</v>
      </c>
      <c r="F12" s="283"/>
      <c r="G12" s="282">
        <v>0.91</v>
      </c>
      <c r="H12" s="283"/>
      <c r="I12" s="282"/>
      <c r="J12" s="283"/>
      <c r="K12" s="282">
        <v>0.97</v>
      </c>
      <c r="L12" s="283"/>
      <c r="M12" s="282"/>
    </row>
    <row r="13" spans="1:13">
      <c r="A13" s="281" t="s">
        <v>9</v>
      </c>
      <c r="B13" s="278"/>
      <c r="C13" s="282">
        <f>(C14+C14)/2</f>
        <v>0.99</v>
      </c>
      <c r="D13" s="283"/>
      <c r="E13" s="282"/>
      <c r="F13" s="283"/>
      <c r="G13" s="282">
        <v>0.68</v>
      </c>
      <c r="H13" s="283"/>
      <c r="I13" s="282">
        <v>0.85</v>
      </c>
      <c r="J13" s="283"/>
      <c r="K13" s="282">
        <f>(K14+K16)/2</f>
        <v>1.0499999999999998</v>
      </c>
      <c r="L13" s="283"/>
      <c r="M13" s="282">
        <v>0.48</v>
      </c>
    </row>
    <row r="14" spans="1:13">
      <c r="A14" s="281" t="s">
        <v>1039</v>
      </c>
      <c r="B14" s="278"/>
      <c r="C14" s="282">
        <v>0.99</v>
      </c>
      <c r="D14" s="283"/>
      <c r="E14" s="282"/>
      <c r="F14" s="283"/>
      <c r="G14" s="282">
        <v>0.68</v>
      </c>
      <c r="H14" s="283"/>
      <c r="I14" s="282">
        <v>0.85</v>
      </c>
      <c r="J14" s="283"/>
      <c r="K14" s="282">
        <v>0.97</v>
      </c>
      <c r="L14" s="283"/>
      <c r="M14" s="282">
        <v>0.48</v>
      </c>
    </row>
    <row r="15" spans="1:13">
      <c r="A15" s="281" t="s">
        <v>1040</v>
      </c>
      <c r="B15" s="278"/>
      <c r="C15" s="282">
        <v>1</v>
      </c>
      <c r="D15" s="283"/>
      <c r="E15" s="282"/>
      <c r="F15" s="283"/>
      <c r="G15" s="282"/>
      <c r="H15" s="283"/>
      <c r="I15" s="282"/>
      <c r="J15" s="283"/>
      <c r="K15" s="282"/>
      <c r="L15" s="283"/>
      <c r="M15" s="282"/>
    </row>
    <row r="16" spans="1:13">
      <c r="A16" s="281" t="s">
        <v>1041</v>
      </c>
      <c r="B16" s="278"/>
      <c r="C16" s="282"/>
      <c r="D16" s="283"/>
      <c r="E16" s="282"/>
      <c r="F16" s="283"/>
      <c r="G16" s="282"/>
      <c r="H16" s="283"/>
      <c r="I16" s="282"/>
      <c r="J16" s="283"/>
      <c r="K16" s="282">
        <v>1.1299999999999999</v>
      </c>
      <c r="L16" s="283"/>
      <c r="M16" s="282"/>
    </row>
    <row r="17" spans="1:15">
      <c r="A17" s="281" t="s">
        <v>11</v>
      </c>
      <c r="B17" s="278"/>
      <c r="C17" s="282">
        <v>0.49</v>
      </c>
      <c r="D17" s="283"/>
      <c r="E17" s="282">
        <v>0</v>
      </c>
      <c r="F17" s="283"/>
      <c r="G17" s="282">
        <v>0.96</v>
      </c>
      <c r="H17" s="283"/>
      <c r="I17" s="282"/>
      <c r="J17" s="283"/>
      <c r="K17" s="282">
        <v>0.98</v>
      </c>
      <c r="L17" s="283"/>
      <c r="M17" s="282"/>
    </row>
    <row r="18" spans="1:15" s="286" customFormat="1">
      <c r="A18" s="284" t="s">
        <v>1042</v>
      </c>
      <c r="B18" s="284"/>
      <c r="C18" s="285">
        <v>1.04</v>
      </c>
      <c r="D18" s="285"/>
      <c r="E18" s="285">
        <v>0.66</v>
      </c>
      <c r="F18" s="285"/>
      <c r="G18" s="285">
        <v>0.79</v>
      </c>
      <c r="H18" s="285"/>
      <c r="I18" s="285">
        <v>0.8</v>
      </c>
      <c r="J18" s="285"/>
      <c r="K18" s="285">
        <v>1.02</v>
      </c>
      <c r="L18" s="285"/>
      <c r="M18" s="285">
        <v>0.81</v>
      </c>
    </row>
    <row r="19" spans="1:15">
      <c r="C19" s="90"/>
      <c r="D19" s="90"/>
      <c r="E19" s="90"/>
      <c r="F19" s="90"/>
      <c r="G19" s="90"/>
      <c r="H19" s="90"/>
      <c r="I19" s="90"/>
      <c r="J19" s="90"/>
      <c r="K19" s="90"/>
      <c r="L19" s="90"/>
      <c r="M19" s="90"/>
      <c r="N19" s="90"/>
      <c r="O19" s="90"/>
    </row>
    <row r="20" spans="1:15">
      <c r="A20" s="287" t="s">
        <v>1043</v>
      </c>
      <c r="C20" s="90"/>
      <c r="D20" s="90"/>
      <c r="E20" s="274" t="s">
        <v>1045</v>
      </c>
      <c r="F20" s="90"/>
      <c r="G20" s="90"/>
      <c r="H20" s="90"/>
      <c r="I20" s="90"/>
      <c r="J20" s="90"/>
      <c r="K20" s="90"/>
      <c r="L20" s="90"/>
      <c r="M20" s="90"/>
      <c r="N20" s="90"/>
      <c r="O20" s="90"/>
    </row>
    <row r="21" spans="1:15" ht="33.75">
      <c r="A21" s="277" t="s">
        <v>1032</v>
      </c>
      <c r="B21" s="278"/>
      <c r="C21" s="279" t="s">
        <v>1033</v>
      </c>
      <c r="D21" s="280"/>
      <c r="E21" s="279" t="s">
        <v>1034</v>
      </c>
      <c r="F21" s="280"/>
      <c r="G21" s="279" t="s">
        <v>1035</v>
      </c>
      <c r="H21" s="280"/>
      <c r="I21" s="279" t="s">
        <v>1036</v>
      </c>
      <c r="J21" s="280"/>
      <c r="K21" s="279" t="s">
        <v>1037</v>
      </c>
      <c r="L21" s="280"/>
      <c r="M21" s="279" t="s">
        <v>1038</v>
      </c>
      <c r="N21" s="90"/>
      <c r="O21" s="90"/>
    </row>
    <row r="22" spans="1:15">
      <c r="A22" s="284" t="s">
        <v>57</v>
      </c>
      <c r="B22" s="284"/>
      <c r="C22" s="285">
        <v>1.1499999999999999</v>
      </c>
      <c r="D22" s="285"/>
      <c r="E22" s="285">
        <v>1.1499999999999999</v>
      </c>
      <c r="F22" s="285"/>
      <c r="G22" s="285">
        <v>0.94</v>
      </c>
      <c r="H22" s="285"/>
      <c r="I22" s="285">
        <v>1.19</v>
      </c>
      <c r="J22" s="285"/>
      <c r="K22" s="285">
        <v>1.03</v>
      </c>
      <c r="L22" s="285"/>
      <c r="M22" s="285">
        <v>4.21</v>
      </c>
      <c r="N22" s="90"/>
      <c r="O22" s="90"/>
    </row>
    <row r="23" spans="1:15">
      <c r="A23" s="316" t="s">
        <v>693</v>
      </c>
      <c r="B23" s="278"/>
      <c r="C23" s="282"/>
      <c r="D23" s="283"/>
      <c r="E23" s="282"/>
      <c r="F23" s="283"/>
      <c r="G23" s="282">
        <v>0.28000000000000003</v>
      </c>
      <c r="H23" s="283"/>
      <c r="I23" s="282"/>
      <c r="J23" s="283"/>
      <c r="K23" s="282">
        <v>0.99</v>
      </c>
      <c r="L23" s="283"/>
      <c r="M23" s="282"/>
      <c r="N23" s="90"/>
      <c r="O23" s="90"/>
    </row>
    <row r="24" spans="1:15">
      <c r="A24" s="316" t="s">
        <v>24</v>
      </c>
      <c r="B24" s="278"/>
      <c r="C24" s="282">
        <v>3.53</v>
      </c>
      <c r="D24" s="283"/>
      <c r="E24" s="282"/>
      <c r="F24" s="283"/>
      <c r="G24" s="282">
        <v>0.35</v>
      </c>
      <c r="H24" s="283"/>
      <c r="I24" s="282">
        <v>1.1000000000000001</v>
      </c>
      <c r="J24" s="283"/>
      <c r="K24" s="282">
        <v>0.9</v>
      </c>
      <c r="L24" s="283"/>
      <c r="M24" s="282"/>
      <c r="N24" s="90"/>
      <c r="O24" s="90"/>
    </row>
    <row r="25" spans="1:15">
      <c r="A25" s="281" t="s">
        <v>25</v>
      </c>
      <c r="B25" s="278"/>
      <c r="C25" s="282"/>
      <c r="D25" s="283"/>
      <c r="E25" s="282">
        <v>0.73</v>
      </c>
      <c r="F25" s="283"/>
      <c r="G25" s="282">
        <v>1.22</v>
      </c>
      <c r="H25" s="283"/>
      <c r="I25" s="282">
        <v>0.81</v>
      </c>
      <c r="J25" s="283"/>
      <c r="K25" s="282">
        <v>1.01</v>
      </c>
      <c r="L25" s="283"/>
      <c r="M25" s="282">
        <v>0.2</v>
      </c>
      <c r="N25" s="90"/>
      <c r="O25" s="90"/>
    </row>
    <row r="26" spans="1:15">
      <c r="A26" s="281" t="s">
        <v>1044</v>
      </c>
      <c r="B26" s="278"/>
      <c r="C26" s="282"/>
      <c r="D26" s="283"/>
      <c r="E26" s="282"/>
      <c r="F26" s="283"/>
      <c r="G26" s="282"/>
      <c r="H26" s="283"/>
      <c r="I26" s="282">
        <v>16.04</v>
      </c>
      <c r="J26" s="283"/>
      <c r="K26" s="282">
        <v>0.92</v>
      </c>
      <c r="L26" s="283"/>
      <c r="M26" s="282"/>
      <c r="N26" s="90"/>
      <c r="O26" s="90"/>
    </row>
    <row r="27" spans="1:15">
      <c r="A27" s="316" t="s">
        <v>26</v>
      </c>
      <c r="B27" s="278"/>
      <c r="C27" s="282">
        <v>0.53</v>
      </c>
      <c r="D27" s="283"/>
      <c r="E27" s="282"/>
      <c r="F27" s="283"/>
      <c r="G27" s="282">
        <v>0.83</v>
      </c>
      <c r="H27" s="283"/>
      <c r="I27" s="282">
        <v>0.47</v>
      </c>
      <c r="J27" s="283"/>
      <c r="K27" s="282">
        <v>0.97</v>
      </c>
      <c r="L27" s="283"/>
      <c r="M27" s="282"/>
      <c r="N27" s="90"/>
      <c r="O27" s="90"/>
    </row>
    <row r="28" spans="1:15">
      <c r="A28" s="316" t="s">
        <v>7</v>
      </c>
      <c r="B28" s="278"/>
      <c r="C28" s="282"/>
      <c r="D28" s="283"/>
      <c r="E28" s="282"/>
      <c r="F28" s="283"/>
      <c r="G28" s="282"/>
      <c r="H28" s="283"/>
      <c r="I28" s="282"/>
      <c r="J28" s="283"/>
      <c r="K28" s="282"/>
      <c r="L28" s="283"/>
      <c r="M28" s="282"/>
      <c r="N28" s="90"/>
      <c r="O28" s="90"/>
    </row>
    <row r="29" spans="1:15">
      <c r="A29" s="281" t="s">
        <v>541</v>
      </c>
      <c r="B29" s="278"/>
      <c r="C29" s="282">
        <v>1.67</v>
      </c>
      <c r="D29" s="283"/>
      <c r="E29" s="282">
        <v>1.35</v>
      </c>
      <c r="F29" s="283"/>
      <c r="G29" s="282">
        <v>2.06</v>
      </c>
      <c r="H29" s="283"/>
      <c r="I29" s="282"/>
      <c r="J29" s="283"/>
      <c r="K29" s="282">
        <v>1.1299999999999999</v>
      </c>
      <c r="L29" s="283"/>
      <c r="M29" s="282"/>
      <c r="N29" s="90"/>
      <c r="O29" s="90"/>
    </row>
    <row r="30" spans="1:15">
      <c r="A30" s="316" t="s">
        <v>8</v>
      </c>
      <c r="B30" s="278"/>
      <c r="C30" s="282">
        <v>0.96</v>
      </c>
      <c r="D30" s="283"/>
      <c r="E30" s="282">
        <v>0.92</v>
      </c>
      <c r="F30" s="283"/>
      <c r="G30" s="282">
        <v>0.43</v>
      </c>
      <c r="H30" s="283"/>
      <c r="I30" s="282"/>
      <c r="J30" s="283"/>
      <c r="K30" s="282">
        <v>0.96</v>
      </c>
      <c r="L30" s="283"/>
      <c r="M30" s="282"/>
      <c r="N30" s="90"/>
      <c r="O30" s="90"/>
    </row>
    <row r="31" spans="1:15">
      <c r="A31" s="281" t="s">
        <v>9</v>
      </c>
      <c r="B31" s="278"/>
      <c r="C31" s="282">
        <v>0.95</v>
      </c>
      <c r="D31" s="283"/>
      <c r="E31" s="282">
        <v>0.01</v>
      </c>
      <c r="F31" s="283"/>
      <c r="G31" s="282">
        <v>0.95</v>
      </c>
      <c r="H31" s="283"/>
      <c r="I31" s="282">
        <v>0.61</v>
      </c>
      <c r="J31" s="283"/>
      <c r="K31" s="282">
        <v>1.02</v>
      </c>
      <c r="L31" s="283"/>
      <c r="M31" s="282">
        <v>0.32</v>
      </c>
      <c r="N31" s="90"/>
      <c r="O31" s="90"/>
    </row>
    <row r="32" spans="1:15">
      <c r="A32" s="281" t="s">
        <v>1039</v>
      </c>
      <c r="B32" s="278"/>
      <c r="C32" s="282">
        <v>0.95</v>
      </c>
      <c r="D32" s="283"/>
      <c r="E32" s="282">
        <v>0.01</v>
      </c>
      <c r="F32" s="283"/>
      <c r="G32" s="282">
        <v>0.95</v>
      </c>
      <c r="H32" s="283"/>
      <c r="I32" s="282">
        <v>0.61</v>
      </c>
      <c r="J32" s="283"/>
      <c r="K32" s="282">
        <v>0.94</v>
      </c>
      <c r="L32" s="283"/>
      <c r="M32" s="282">
        <v>0.32</v>
      </c>
      <c r="N32" s="90"/>
      <c r="O32" s="90"/>
    </row>
    <row r="33" spans="1:15">
      <c r="A33" s="281" t="s">
        <v>1040</v>
      </c>
      <c r="B33" s="278"/>
      <c r="C33" s="282"/>
      <c r="D33" s="283"/>
      <c r="E33" s="282"/>
      <c r="F33" s="283"/>
      <c r="G33" s="282"/>
      <c r="H33" s="283"/>
      <c r="I33" s="282"/>
      <c r="J33" s="283"/>
      <c r="K33" s="282">
        <v>0.99</v>
      </c>
      <c r="L33" s="283"/>
      <c r="M33" s="282"/>
      <c r="N33" s="90"/>
      <c r="O33" s="90"/>
    </row>
    <row r="34" spans="1:15">
      <c r="A34" s="316" t="s">
        <v>1041</v>
      </c>
      <c r="B34" s="278"/>
      <c r="C34" s="282"/>
      <c r="D34" s="283"/>
      <c r="E34" s="282"/>
      <c r="F34" s="283"/>
      <c r="G34" s="282"/>
      <c r="H34" s="283"/>
      <c r="I34" s="282"/>
      <c r="J34" s="283"/>
      <c r="K34" s="282">
        <v>1.1299999999999999</v>
      </c>
      <c r="L34" s="283"/>
      <c r="M34" s="282"/>
      <c r="N34" s="90"/>
      <c r="O34" s="90"/>
    </row>
    <row r="35" spans="1:15">
      <c r="A35" s="281" t="s">
        <v>10</v>
      </c>
      <c r="B35" s="278"/>
      <c r="C35" s="282">
        <v>0.91</v>
      </c>
      <c r="D35" s="283"/>
      <c r="E35" s="282"/>
      <c r="F35" s="283"/>
      <c r="G35" s="282"/>
      <c r="H35" s="283"/>
      <c r="I35" s="282">
        <v>0.38</v>
      </c>
      <c r="J35" s="283"/>
      <c r="K35" s="282">
        <v>0.95</v>
      </c>
      <c r="L35" s="283"/>
      <c r="M35" s="282"/>
      <c r="N35" s="90"/>
      <c r="O35" s="90"/>
    </row>
    <row r="36" spans="1:15">
      <c r="A36" s="316" t="s">
        <v>1108</v>
      </c>
      <c r="B36" s="278"/>
      <c r="C36" s="282"/>
      <c r="D36" s="283"/>
      <c r="E36" s="282"/>
      <c r="F36" s="283"/>
      <c r="G36" s="282"/>
      <c r="H36" s="283"/>
      <c r="I36" s="282"/>
      <c r="J36" s="283"/>
      <c r="K36" s="282">
        <v>0.74</v>
      </c>
      <c r="L36" s="283"/>
      <c r="M36" s="282"/>
      <c r="N36" s="90"/>
      <c r="O36" s="90"/>
    </row>
    <row r="37" spans="1:15" s="597" customFormat="1">
      <c r="A37" s="316" t="s">
        <v>1160</v>
      </c>
      <c r="B37" s="278"/>
      <c r="C37" s="282">
        <v>1.67</v>
      </c>
      <c r="D37" s="283"/>
      <c r="E37" s="282">
        <v>1.35</v>
      </c>
      <c r="F37" s="283"/>
      <c r="G37" s="282">
        <v>2.06</v>
      </c>
      <c r="H37" s="283"/>
      <c r="I37" s="282"/>
      <c r="J37" s="283"/>
      <c r="K37" s="282">
        <v>1.1299999999999999</v>
      </c>
      <c r="L37" s="283"/>
      <c r="M37" s="282"/>
      <c r="N37" s="90"/>
      <c r="O37" s="90"/>
    </row>
    <row r="38" spans="1:15">
      <c r="A38" s="281" t="s">
        <v>11</v>
      </c>
      <c r="B38" s="278"/>
      <c r="C38" s="282">
        <v>0.31</v>
      </c>
      <c r="D38" s="283"/>
      <c r="E38" s="282">
        <v>0.8</v>
      </c>
      <c r="F38" s="283"/>
      <c r="G38" s="282">
        <v>1.33</v>
      </c>
      <c r="H38" s="283"/>
      <c r="I38" s="282"/>
      <c r="J38" s="283"/>
      <c r="K38" s="282">
        <v>0.95</v>
      </c>
      <c r="L38" s="283"/>
      <c r="M38" s="282"/>
      <c r="N38" s="90"/>
      <c r="O38" s="90"/>
    </row>
    <row r="39" spans="1:15">
      <c r="C39" s="90"/>
      <c r="D39" s="90"/>
      <c r="E39" s="90"/>
      <c r="F39" s="90"/>
      <c r="G39" s="90"/>
      <c r="H39" s="90"/>
      <c r="I39" s="90"/>
      <c r="J39" s="90"/>
      <c r="K39" s="90"/>
      <c r="L39" s="90"/>
      <c r="M39" s="90"/>
      <c r="N39" s="90"/>
      <c r="O39" s="90"/>
    </row>
    <row r="40" spans="1:15">
      <c r="C40" s="90"/>
      <c r="D40" s="90"/>
      <c r="E40" s="90"/>
      <c r="F40" s="90"/>
      <c r="G40" s="90"/>
      <c r="H40" s="90"/>
      <c r="I40" s="90"/>
      <c r="J40" s="90"/>
      <c r="K40" s="90"/>
      <c r="L40" s="90"/>
      <c r="M40" s="90"/>
      <c r="N40" s="90"/>
      <c r="O40" s="90"/>
    </row>
    <row r="41" spans="1:15">
      <c r="C41" s="90"/>
      <c r="D41" s="90"/>
      <c r="E41" s="90"/>
      <c r="F41" s="90"/>
      <c r="G41" s="90"/>
      <c r="H41" s="90"/>
      <c r="I41" s="90"/>
      <c r="J41" s="90"/>
      <c r="K41" s="90"/>
      <c r="L41" s="90"/>
      <c r="M41" s="90"/>
      <c r="N41" s="90"/>
      <c r="O41" s="90"/>
    </row>
    <row r="42" spans="1:15">
      <c r="C42" s="90"/>
      <c r="D42" s="90"/>
      <c r="E42" s="90"/>
      <c r="F42" s="90"/>
      <c r="G42" s="90"/>
      <c r="H42" s="90"/>
      <c r="I42" s="90"/>
      <c r="J42" s="90"/>
      <c r="K42" s="90"/>
      <c r="L42" s="90"/>
      <c r="M42" s="90"/>
      <c r="N42" s="90"/>
      <c r="O42" s="90"/>
    </row>
    <row r="43" spans="1:15">
      <c r="C43" s="90"/>
      <c r="D43" s="90"/>
      <c r="E43" s="90"/>
      <c r="F43" s="90"/>
      <c r="G43" s="90"/>
      <c r="H43" s="90"/>
      <c r="I43" s="90"/>
      <c r="J43" s="90"/>
      <c r="K43" s="90"/>
      <c r="L43" s="90"/>
      <c r="M43" s="90"/>
      <c r="N43" s="90"/>
      <c r="O43" s="90"/>
    </row>
    <row r="44" spans="1:15">
      <c r="C44" s="90"/>
      <c r="D44" s="90"/>
      <c r="E44" s="90"/>
      <c r="F44" s="90"/>
      <c r="G44" s="90"/>
      <c r="H44" s="90"/>
      <c r="I44" s="90"/>
      <c r="J44" s="90"/>
      <c r="K44" s="90"/>
      <c r="L44" s="90"/>
      <c r="M44" s="90"/>
      <c r="N44" s="90"/>
      <c r="O44" s="90"/>
    </row>
    <row r="45" spans="1:15">
      <c r="C45" s="90"/>
      <c r="D45" s="90"/>
      <c r="E45" s="90"/>
      <c r="F45" s="90"/>
      <c r="G45" s="90"/>
      <c r="H45" s="90"/>
      <c r="I45" s="90"/>
      <c r="J45" s="90"/>
      <c r="K45" s="90"/>
      <c r="L45" s="90"/>
      <c r="M45" s="90"/>
      <c r="N45" s="90"/>
      <c r="O45" s="90"/>
    </row>
    <row r="46" spans="1:15">
      <c r="C46" s="90"/>
      <c r="D46" s="90"/>
      <c r="E46" s="90"/>
      <c r="F46" s="90"/>
      <c r="G46" s="90"/>
      <c r="H46" s="90"/>
      <c r="I46" s="90"/>
      <c r="J46" s="90"/>
      <c r="K46" s="90"/>
      <c r="L46" s="90"/>
      <c r="M46" s="90"/>
      <c r="N46" s="90"/>
      <c r="O46" s="90"/>
    </row>
    <row r="47" spans="1:15">
      <c r="C47" s="90"/>
      <c r="D47" s="90"/>
      <c r="E47" s="90"/>
      <c r="F47" s="90"/>
      <c r="G47" s="90"/>
      <c r="H47" s="90"/>
      <c r="I47" s="90"/>
      <c r="J47" s="90"/>
      <c r="K47" s="90"/>
      <c r="L47" s="90"/>
      <c r="M47" s="90"/>
      <c r="N47" s="90"/>
      <c r="O47" s="90"/>
    </row>
    <row r="48" spans="1:15">
      <c r="C48" s="90"/>
      <c r="D48" s="90"/>
      <c r="E48" s="90"/>
      <c r="F48" s="90"/>
      <c r="G48" s="90"/>
      <c r="H48" s="90"/>
      <c r="I48" s="90"/>
      <c r="J48" s="90"/>
      <c r="K48" s="90"/>
      <c r="L48" s="90"/>
      <c r="M48" s="90"/>
      <c r="N48" s="90"/>
      <c r="O48" s="90"/>
    </row>
    <row r="49" spans="3:15">
      <c r="C49" s="90"/>
      <c r="D49" s="90"/>
      <c r="E49" s="90"/>
      <c r="F49" s="90"/>
      <c r="G49" s="90"/>
      <c r="H49" s="90"/>
      <c r="I49" s="90"/>
      <c r="J49" s="90"/>
      <c r="K49" s="90"/>
      <c r="L49" s="90"/>
      <c r="M49" s="90"/>
      <c r="N49" s="90"/>
      <c r="O49" s="90"/>
    </row>
    <row r="50" spans="3:15">
      <c r="C50" s="90"/>
      <c r="D50" s="90"/>
      <c r="E50" s="90"/>
      <c r="F50" s="90"/>
      <c r="G50" s="90"/>
      <c r="H50" s="90"/>
      <c r="I50" s="90"/>
      <c r="J50" s="90"/>
      <c r="K50" s="90"/>
      <c r="L50" s="90"/>
      <c r="M50" s="90"/>
      <c r="N50" s="90"/>
      <c r="O50" s="90"/>
    </row>
    <row r="51" spans="3:15">
      <c r="C51" s="90"/>
      <c r="D51" s="90"/>
      <c r="E51" s="90"/>
      <c r="F51" s="90"/>
      <c r="G51" s="90"/>
      <c r="H51" s="90"/>
      <c r="I51" s="90"/>
      <c r="J51" s="90"/>
      <c r="K51" s="90"/>
      <c r="L51" s="90"/>
      <c r="M51" s="90"/>
      <c r="N51" s="90"/>
      <c r="O51" s="90"/>
    </row>
    <row r="52" spans="3:15">
      <c r="C52" s="90"/>
      <c r="D52" s="90"/>
      <c r="E52" s="90"/>
      <c r="F52" s="90"/>
      <c r="G52" s="90"/>
      <c r="H52" s="90"/>
      <c r="I52" s="90"/>
      <c r="J52" s="90"/>
      <c r="K52" s="90"/>
      <c r="L52" s="90"/>
      <c r="M52" s="90"/>
      <c r="N52" s="90"/>
      <c r="O52" s="90"/>
    </row>
    <row r="53" spans="3:15">
      <c r="C53" s="90"/>
      <c r="D53" s="90"/>
      <c r="E53" s="90"/>
      <c r="F53" s="90"/>
      <c r="G53" s="90"/>
      <c r="H53" s="90"/>
      <c r="I53" s="90"/>
      <c r="J53" s="90"/>
      <c r="K53" s="90"/>
      <c r="L53" s="90"/>
      <c r="M53" s="90"/>
      <c r="N53" s="90"/>
      <c r="O53" s="90"/>
    </row>
    <row r="54" spans="3:15">
      <c r="C54" s="90"/>
      <c r="D54" s="90"/>
      <c r="E54" s="90"/>
      <c r="F54" s="90"/>
      <c r="G54" s="90"/>
      <c r="H54" s="90"/>
      <c r="I54" s="90"/>
      <c r="J54" s="90"/>
      <c r="K54" s="90"/>
      <c r="L54" s="90"/>
      <c r="M54" s="90"/>
      <c r="N54" s="90"/>
      <c r="O54" s="90"/>
    </row>
    <row r="55" spans="3:15">
      <c r="C55" s="90"/>
      <c r="D55" s="90"/>
      <c r="E55" s="90"/>
      <c r="F55" s="90"/>
      <c r="G55" s="90"/>
      <c r="H55" s="90"/>
      <c r="I55" s="90"/>
      <c r="J55" s="90"/>
      <c r="K55" s="90"/>
      <c r="L55" s="90"/>
      <c r="M55" s="90"/>
      <c r="N55" s="90"/>
      <c r="O55" s="90"/>
    </row>
    <row r="56" spans="3:15">
      <c r="C56" s="90"/>
      <c r="D56" s="90"/>
      <c r="E56" s="90"/>
      <c r="F56" s="90"/>
      <c r="G56" s="90"/>
      <c r="H56" s="90"/>
      <c r="I56" s="90"/>
      <c r="J56" s="90"/>
      <c r="K56" s="90"/>
      <c r="L56" s="90"/>
      <c r="M56" s="90"/>
      <c r="N56" s="90"/>
      <c r="O56" s="90"/>
    </row>
    <row r="57" spans="3:15">
      <c r="C57" s="90"/>
      <c r="D57" s="90"/>
      <c r="E57" s="90"/>
      <c r="F57" s="90"/>
      <c r="G57" s="90"/>
      <c r="H57" s="90"/>
      <c r="I57" s="90"/>
      <c r="J57" s="90"/>
      <c r="K57" s="90"/>
      <c r="L57" s="90"/>
      <c r="M57" s="90"/>
      <c r="N57" s="90"/>
      <c r="O57" s="90"/>
    </row>
    <row r="58" spans="3:15">
      <c r="C58" s="90"/>
      <c r="D58" s="90"/>
      <c r="E58" s="90"/>
      <c r="F58" s="90"/>
      <c r="G58" s="90"/>
      <c r="H58" s="90"/>
      <c r="I58" s="90"/>
      <c r="J58" s="90"/>
      <c r="K58" s="90"/>
      <c r="L58" s="90"/>
      <c r="M58" s="90"/>
      <c r="N58" s="90"/>
      <c r="O58" s="90"/>
    </row>
    <row r="59" spans="3:15">
      <c r="C59" s="90"/>
      <c r="D59" s="90"/>
      <c r="E59" s="90"/>
      <c r="F59" s="90"/>
      <c r="G59" s="90"/>
      <c r="H59" s="90"/>
      <c r="I59" s="90"/>
      <c r="J59" s="90"/>
      <c r="K59" s="90"/>
      <c r="L59" s="90"/>
      <c r="M59" s="90"/>
      <c r="N59" s="90"/>
      <c r="O59" s="90"/>
    </row>
    <row r="60" spans="3:15">
      <c r="C60" s="90"/>
      <c r="D60" s="90"/>
      <c r="E60" s="90"/>
      <c r="F60" s="90"/>
      <c r="G60" s="90"/>
      <c r="H60" s="90"/>
      <c r="I60" s="90"/>
      <c r="J60" s="90"/>
      <c r="K60" s="90"/>
      <c r="L60" s="90"/>
      <c r="M60" s="90"/>
      <c r="N60" s="90"/>
      <c r="O60" s="90"/>
    </row>
    <row r="61" spans="3:15">
      <c r="C61" s="90"/>
      <c r="D61" s="90"/>
      <c r="E61" s="90"/>
      <c r="F61" s="90"/>
      <c r="G61" s="90"/>
      <c r="H61" s="90"/>
      <c r="I61" s="90"/>
      <c r="J61" s="90"/>
      <c r="K61" s="90"/>
      <c r="L61" s="90"/>
      <c r="M61" s="90"/>
      <c r="N61" s="90"/>
      <c r="O61" s="90"/>
    </row>
    <row r="62" spans="3:15">
      <c r="C62" s="90"/>
      <c r="D62" s="90"/>
      <c r="E62" s="90"/>
      <c r="F62" s="90"/>
      <c r="G62" s="90"/>
      <c r="H62" s="90"/>
      <c r="I62" s="90"/>
      <c r="J62" s="90"/>
      <c r="K62" s="90"/>
      <c r="L62" s="90"/>
      <c r="M62" s="90"/>
      <c r="N62" s="90"/>
      <c r="O62" s="90"/>
    </row>
    <row r="63" spans="3:15">
      <c r="C63" s="90"/>
      <c r="D63" s="90"/>
      <c r="E63" s="90"/>
      <c r="F63" s="90"/>
      <c r="G63" s="90"/>
      <c r="H63" s="90"/>
      <c r="I63" s="90"/>
      <c r="J63" s="90"/>
      <c r="K63" s="90"/>
      <c r="L63" s="90"/>
      <c r="M63" s="90"/>
      <c r="N63" s="90"/>
      <c r="O63" s="90"/>
    </row>
    <row r="64" spans="3:15">
      <c r="C64" s="90"/>
      <c r="D64" s="90"/>
      <c r="E64" s="90"/>
      <c r="F64" s="90"/>
      <c r="G64" s="90"/>
      <c r="H64" s="90"/>
      <c r="I64" s="90"/>
      <c r="J64" s="90"/>
      <c r="K64" s="90"/>
      <c r="L64" s="90"/>
      <c r="M64" s="90"/>
      <c r="N64" s="90"/>
      <c r="O64" s="90"/>
    </row>
    <row r="65" spans="3:15">
      <c r="C65" s="90"/>
      <c r="D65" s="90"/>
      <c r="E65" s="90"/>
      <c r="F65" s="90"/>
      <c r="G65" s="90"/>
      <c r="H65" s="90"/>
      <c r="I65" s="90"/>
      <c r="J65" s="90"/>
      <c r="K65" s="90"/>
      <c r="L65" s="90"/>
      <c r="M65" s="90"/>
      <c r="N65" s="90"/>
      <c r="O65" s="90"/>
    </row>
    <row r="66" spans="3:15">
      <c r="C66" s="90"/>
      <c r="D66" s="90"/>
      <c r="E66" s="90"/>
      <c r="F66" s="90"/>
      <c r="G66" s="90"/>
      <c r="H66" s="90"/>
      <c r="I66" s="90"/>
      <c r="J66" s="90"/>
      <c r="K66" s="90"/>
      <c r="L66" s="90"/>
      <c r="M66" s="90"/>
      <c r="N66" s="90"/>
      <c r="O66" s="90"/>
    </row>
    <row r="67" spans="3:15">
      <c r="C67" s="90"/>
      <c r="D67" s="90"/>
      <c r="E67" s="90"/>
      <c r="F67" s="90"/>
      <c r="G67" s="90"/>
      <c r="H67" s="90"/>
      <c r="I67" s="90"/>
      <c r="J67" s="90"/>
      <c r="K67" s="90"/>
      <c r="L67" s="90"/>
      <c r="M67" s="90"/>
      <c r="N67" s="90"/>
      <c r="O67" s="90"/>
    </row>
    <row r="68" spans="3:15">
      <c r="C68" s="90"/>
      <c r="D68" s="90"/>
      <c r="E68" s="90"/>
      <c r="F68" s="90"/>
      <c r="G68" s="90"/>
      <c r="H68" s="90"/>
      <c r="I68" s="90"/>
      <c r="J68" s="90"/>
      <c r="K68" s="90"/>
      <c r="L68" s="90"/>
      <c r="M68" s="90"/>
      <c r="N68" s="90"/>
      <c r="O68" s="90"/>
    </row>
    <row r="69" spans="3:15">
      <c r="C69" s="90"/>
      <c r="D69" s="90"/>
      <c r="E69" s="90"/>
      <c r="F69" s="90"/>
      <c r="G69" s="90"/>
      <c r="H69" s="90"/>
      <c r="I69" s="90"/>
      <c r="J69" s="90"/>
      <c r="K69" s="90"/>
      <c r="L69" s="90"/>
      <c r="M69" s="90"/>
      <c r="N69" s="90"/>
      <c r="O69" s="90"/>
    </row>
    <row r="70" spans="3:15">
      <c r="C70" s="90"/>
      <c r="D70" s="90"/>
      <c r="E70" s="90"/>
      <c r="F70" s="90"/>
      <c r="G70" s="90"/>
      <c r="H70" s="90"/>
      <c r="I70" s="90"/>
      <c r="J70" s="90"/>
      <c r="K70" s="90"/>
      <c r="L70" s="90"/>
      <c r="M70" s="90"/>
      <c r="N70" s="90"/>
      <c r="O70" s="90"/>
    </row>
    <row r="71" spans="3:15">
      <c r="C71" s="90"/>
      <c r="D71" s="90"/>
      <c r="E71" s="90"/>
      <c r="F71" s="90"/>
      <c r="G71" s="90"/>
      <c r="H71" s="90"/>
      <c r="I71" s="90"/>
      <c r="J71" s="90"/>
      <c r="K71" s="90"/>
      <c r="L71" s="90"/>
      <c r="M71" s="90"/>
      <c r="N71" s="90"/>
      <c r="O71" s="90"/>
    </row>
    <row r="72" spans="3:15">
      <c r="C72" s="90"/>
      <c r="D72" s="90"/>
      <c r="E72" s="90"/>
      <c r="F72" s="90"/>
      <c r="G72" s="90"/>
      <c r="H72" s="90"/>
      <c r="I72" s="90"/>
      <c r="J72" s="90"/>
      <c r="K72" s="90"/>
      <c r="L72" s="90"/>
      <c r="M72" s="90"/>
      <c r="N72" s="90"/>
      <c r="O72" s="90"/>
    </row>
    <row r="73" spans="3:15">
      <c r="C73" s="90"/>
      <c r="D73" s="90"/>
      <c r="E73" s="90"/>
      <c r="F73" s="90"/>
      <c r="G73" s="90"/>
      <c r="H73" s="90"/>
      <c r="I73" s="90"/>
      <c r="J73" s="90"/>
      <c r="K73" s="90"/>
      <c r="L73" s="90"/>
      <c r="M73" s="90"/>
      <c r="N73" s="90"/>
      <c r="O73" s="90"/>
    </row>
    <row r="74" spans="3:15">
      <c r="C74" s="90"/>
      <c r="D74" s="90"/>
      <c r="E74" s="90"/>
      <c r="F74" s="90"/>
      <c r="G74" s="90"/>
      <c r="H74" s="90"/>
      <c r="I74" s="90"/>
      <c r="J74" s="90"/>
      <c r="K74" s="90"/>
      <c r="L74" s="90"/>
      <c r="M74" s="90"/>
      <c r="N74" s="90"/>
      <c r="O74" s="90"/>
    </row>
    <row r="75" spans="3:15">
      <c r="C75" s="90"/>
      <c r="D75" s="90"/>
      <c r="E75" s="90"/>
      <c r="F75" s="90"/>
      <c r="G75" s="90"/>
      <c r="H75" s="90"/>
      <c r="I75" s="90"/>
      <c r="J75" s="90"/>
      <c r="K75" s="90"/>
      <c r="L75" s="90"/>
      <c r="M75" s="90"/>
      <c r="N75" s="90"/>
      <c r="O75" s="90"/>
    </row>
    <row r="76" spans="3:15">
      <c r="C76" s="90"/>
      <c r="D76" s="90"/>
      <c r="E76" s="90"/>
      <c r="F76" s="90"/>
      <c r="G76" s="90"/>
      <c r="H76" s="90"/>
      <c r="I76" s="90"/>
      <c r="J76" s="90"/>
      <c r="K76" s="90"/>
      <c r="L76" s="90"/>
      <c r="M76" s="90"/>
      <c r="N76" s="90"/>
      <c r="O76" s="90"/>
    </row>
    <row r="77" spans="3:15">
      <c r="C77" s="90"/>
      <c r="D77" s="90"/>
      <c r="E77" s="90"/>
      <c r="F77" s="90"/>
      <c r="G77" s="90"/>
      <c r="H77" s="90"/>
      <c r="I77" s="90"/>
      <c r="J77" s="90"/>
      <c r="K77" s="90"/>
      <c r="L77" s="90"/>
      <c r="M77" s="90"/>
      <c r="N77" s="90"/>
      <c r="O77" s="90"/>
    </row>
    <row r="78" spans="3:15">
      <c r="C78" s="90"/>
      <c r="D78" s="90"/>
      <c r="E78" s="90"/>
      <c r="F78" s="90"/>
      <c r="G78" s="90"/>
      <c r="H78" s="90"/>
      <c r="I78" s="90"/>
      <c r="J78" s="90"/>
      <c r="K78" s="90"/>
      <c r="L78" s="90"/>
      <c r="M78" s="90"/>
      <c r="N78" s="90"/>
      <c r="O78" s="90"/>
    </row>
    <row r="79" spans="3:15">
      <c r="C79" s="90"/>
      <c r="D79" s="90"/>
      <c r="E79" s="90"/>
      <c r="F79" s="90"/>
      <c r="G79" s="90"/>
      <c r="H79" s="90"/>
      <c r="I79" s="90"/>
      <c r="J79" s="90"/>
      <c r="K79" s="90"/>
      <c r="L79" s="90"/>
      <c r="M79" s="90"/>
      <c r="N79" s="90"/>
      <c r="O79" s="90"/>
    </row>
    <row r="80" spans="3:15">
      <c r="C80" s="90"/>
      <c r="D80" s="90"/>
      <c r="E80" s="90"/>
      <c r="F80" s="90"/>
      <c r="G80" s="90"/>
      <c r="H80" s="90"/>
      <c r="I80" s="90"/>
      <c r="J80" s="90"/>
      <c r="K80" s="90"/>
      <c r="L80" s="90"/>
      <c r="M80" s="90"/>
      <c r="N80" s="90"/>
      <c r="O80" s="90"/>
    </row>
    <row r="81" spans="3:15">
      <c r="C81" s="90"/>
      <c r="D81" s="90"/>
      <c r="E81" s="90"/>
      <c r="F81" s="90"/>
      <c r="G81" s="90"/>
      <c r="H81" s="90"/>
      <c r="I81" s="90"/>
      <c r="J81" s="90"/>
      <c r="K81" s="90"/>
      <c r="L81" s="90"/>
      <c r="M81" s="90"/>
      <c r="N81" s="90"/>
      <c r="O81" s="90"/>
    </row>
    <row r="82" spans="3:15">
      <c r="C82" s="90"/>
      <c r="D82" s="90"/>
      <c r="E82" s="90"/>
      <c r="F82" s="90"/>
      <c r="G82" s="90"/>
      <c r="H82" s="90"/>
      <c r="I82" s="90"/>
      <c r="J82" s="90"/>
      <c r="K82" s="90"/>
      <c r="L82" s="90"/>
      <c r="M82" s="90"/>
      <c r="N82" s="90"/>
      <c r="O82" s="90"/>
    </row>
    <row r="83" spans="3:15">
      <c r="C83" s="90"/>
      <c r="D83" s="90"/>
      <c r="E83" s="90"/>
      <c r="F83" s="90"/>
      <c r="G83" s="90"/>
      <c r="H83" s="90"/>
      <c r="I83" s="90"/>
      <c r="J83" s="90"/>
      <c r="K83" s="90"/>
      <c r="L83" s="90"/>
      <c r="M83" s="90"/>
      <c r="N83" s="90"/>
      <c r="O83" s="90"/>
    </row>
    <row r="84" spans="3:15">
      <c r="C84" s="90"/>
      <c r="D84" s="90"/>
      <c r="E84" s="90"/>
      <c r="F84" s="90"/>
      <c r="G84" s="90"/>
      <c r="H84" s="90"/>
      <c r="I84" s="90"/>
      <c r="J84" s="90"/>
      <c r="K84" s="90"/>
      <c r="L84" s="90"/>
      <c r="M84" s="90"/>
      <c r="N84" s="90"/>
      <c r="O84" s="90"/>
    </row>
    <row r="85" spans="3:15">
      <c r="C85" s="90"/>
      <c r="D85" s="90"/>
      <c r="E85" s="90"/>
      <c r="F85" s="90"/>
      <c r="G85" s="90"/>
      <c r="H85" s="90"/>
      <c r="I85" s="90"/>
      <c r="J85" s="90"/>
      <c r="K85" s="90"/>
      <c r="L85" s="90"/>
      <c r="M85" s="90"/>
      <c r="N85" s="90"/>
      <c r="O85" s="90"/>
    </row>
    <row r="86" spans="3:15">
      <c r="C86" s="90"/>
      <c r="D86" s="90"/>
      <c r="E86" s="90"/>
      <c r="F86" s="90"/>
      <c r="G86" s="90"/>
      <c r="H86" s="90"/>
      <c r="I86" s="90"/>
      <c r="J86" s="90"/>
      <c r="K86" s="90"/>
      <c r="L86" s="90"/>
      <c r="M86" s="90"/>
      <c r="N86" s="90"/>
      <c r="O86" s="90"/>
    </row>
    <row r="87" spans="3:15">
      <c r="C87" s="90"/>
      <c r="D87" s="90"/>
      <c r="E87" s="90"/>
      <c r="F87" s="90"/>
      <c r="G87" s="90"/>
      <c r="H87" s="90"/>
      <c r="I87" s="90"/>
      <c r="J87" s="90"/>
      <c r="K87" s="90"/>
      <c r="L87" s="90"/>
      <c r="M87" s="90"/>
      <c r="N87" s="90"/>
      <c r="O87" s="90"/>
    </row>
    <row r="88" spans="3:15">
      <c r="C88" s="90"/>
      <c r="D88" s="90"/>
      <c r="E88" s="90"/>
      <c r="F88" s="90"/>
      <c r="G88" s="90"/>
      <c r="H88" s="90"/>
      <c r="I88" s="90"/>
      <c r="J88" s="90"/>
      <c r="K88" s="90"/>
      <c r="L88" s="90"/>
      <c r="M88" s="90"/>
      <c r="N88" s="90"/>
      <c r="O88" s="90"/>
    </row>
    <row r="89" spans="3:15">
      <c r="C89" s="90"/>
      <c r="D89" s="90"/>
      <c r="E89" s="90"/>
      <c r="F89" s="90"/>
      <c r="G89" s="90"/>
      <c r="H89" s="90"/>
      <c r="I89" s="90"/>
      <c r="J89" s="90"/>
      <c r="K89" s="90"/>
      <c r="L89" s="90"/>
      <c r="M89" s="90"/>
      <c r="N89" s="90"/>
      <c r="O89" s="90"/>
    </row>
    <row r="90" spans="3:15">
      <c r="C90" s="90"/>
      <c r="D90" s="90"/>
      <c r="E90" s="90"/>
      <c r="F90" s="90"/>
      <c r="G90" s="90"/>
      <c r="H90" s="90"/>
      <c r="I90" s="90"/>
      <c r="J90" s="90"/>
      <c r="K90" s="90"/>
      <c r="L90" s="90"/>
      <c r="M90" s="90"/>
      <c r="N90" s="90"/>
      <c r="O90" s="90"/>
    </row>
    <row r="91" spans="3:15">
      <c r="C91" s="90"/>
      <c r="D91" s="90"/>
      <c r="E91" s="90"/>
      <c r="F91" s="90"/>
      <c r="G91" s="90"/>
      <c r="H91" s="90"/>
      <c r="I91" s="90"/>
      <c r="J91" s="90"/>
      <c r="K91" s="90"/>
      <c r="L91" s="90"/>
      <c r="M91" s="90"/>
      <c r="N91" s="90"/>
      <c r="O91" s="90"/>
    </row>
    <row r="92" spans="3:15">
      <c r="C92" s="90"/>
      <c r="D92" s="90"/>
      <c r="E92" s="90"/>
      <c r="F92" s="90"/>
      <c r="G92" s="90"/>
      <c r="H92" s="90"/>
      <c r="I92" s="90"/>
      <c r="J92" s="90"/>
      <c r="K92" s="90"/>
      <c r="L92" s="90"/>
      <c r="M92" s="90"/>
      <c r="N92" s="90"/>
      <c r="O92" s="90"/>
    </row>
    <row r="93" spans="3:15">
      <c r="C93" s="90"/>
      <c r="D93" s="90"/>
      <c r="E93" s="90"/>
      <c r="F93" s="90"/>
      <c r="G93" s="90"/>
      <c r="H93" s="90"/>
      <c r="I93" s="90"/>
      <c r="J93" s="90"/>
      <c r="K93" s="90"/>
      <c r="L93" s="90"/>
      <c r="M93" s="90"/>
      <c r="N93" s="90"/>
      <c r="O93" s="90"/>
    </row>
    <row r="94" spans="3:15">
      <c r="C94" s="90"/>
      <c r="D94" s="90"/>
      <c r="E94" s="90"/>
      <c r="F94" s="90"/>
      <c r="G94" s="90"/>
      <c r="H94" s="90"/>
      <c r="I94" s="90"/>
      <c r="J94" s="90"/>
      <c r="K94" s="90"/>
      <c r="L94" s="90"/>
      <c r="M94" s="90"/>
      <c r="N94" s="90"/>
      <c r="O94" s="90"/>
    </row>
    <row r="95" spans="3:15">
      <c r="C95" s="90"/>
      <c r="D95" s="90"/>
      <c r="E95" s="90"/>
      <c r="F95" s="90"/>
      <c r="G95" s="90"/>
      <c r="H95" s="90"/>
      <c r="I95" s="90"/>
      <c r="J95" s="90"/>
      <c r="K95" s="90"/>
      <c r="L95" s="90"/>
      <c r="M95" s="90"/>
      <c r="N95" s="90"/>
      <c r="O95" s="90"/>
    </row>
    <row r="96" spans="3:15">
      <c r="C96" s="90"/>
      <c r="D96" s="90"/>
      <c r="E96" s="90"/>
      <c r="F96" s="90"/>
      <c r="G96" s="90"/>
      <c r="H96" s="90"/>
      <c r="I96" s="90"/>
      <c r="J96" s="90"/>
      <c r="K96" s="90"/>
      <c r="L96" s="90"/>
      <c r="M96" s="90"/>
      <c r="N96" s="90"/>
      <c r="O96" s="90"/>
    </row>
    <row r="97" spans="3:15">
      <c r="C97" s="90"/>
      <c r="D97" s="90"/>
      <c r="E97" s="90"/>
      <c r="F97" s="90"/>
      <c r="G97" s="90"/>
      <c r="H97" s="90"/>
      <c r="I97" s="90"/>
      <c r="J97" s="90"/>
      <c r="K97" s="90"/>
      <c r="L97" s="90"/>
      <c r="M97" s="90"/>
      <c r="N97" s="90"/>
      <c r="O97" s="90"/>
    </row>
    <row r="98" spans="3:15">
      <c r="C98" s="90"/>
      <c r="D98" s="90"/>
      <c r="E98" s="90"/>
      <c r="F98" s="90"/>
      <c r="G98" s="90"/>
      <c r="H98" s="90"/>
      <c r="I98" s="90"/>
      <c r="J98" s="90"/>
      <c r="K98" s="90"/>
      <c r="L98" s="90"/>
      <c r="M98" s="90"/>
      <c r="N98" s="90"/>
      <c r="O98" s="90"/>
    </row>
    <row r="99" spans="3:15">
      <c r="C99" s="90"/>
      <c r="D99" s="90"/>
      <c r="E99" s="90"/>
      <c r="F99" s="90"/>
      <c r="G99" s="90"/>
      <c r="H99" s="90"/>
      <c r="I99" s="90"/>
      <c r="J99" s="90"/>
      <c r="K99" s="90"/>
      <c r="L99" s="90"/>
      <c r="M99" s="90"/>
      <c r="N99" s="90"/>
      <c r="O99" s="90"/>
    </row>
    <row r="100" spans="3:15">
      <c r="C100" s="90"/>
      <c r="D100" s="90"/>
      <c r="E100" s="90"/>
      <c r="F100" s="90"/>
      <c r="G100" s="90"/>
      <c r="H100" s="90"/>
      <c r="I100" s="90"/>
      <c r="J100" s="90"/>
      <c r="K100" s="90"/>
      <c r="L100" s="90"/>
      <c r="M100" s="90"/>
      <c r="N100" s="90"/>
      <c r="O100" s="90"/>
    </row>
    <row r="101" spans="3:15">
      <c r="C101" s="90"/>
      <c r="D101" s="90"/>
      <c r="E101" s="90"/>
      <c r="F101" s="90"/>
      <c r="G101" s="90"/>
      <c r="H101" s="90"/>
      <c r="I101" s="90"/>
      <c r="J101" s="90"/>
      <c r="K101" s="90"/>
      <c r="L101" s="90"/>
      <c r="M101" s="90"/>
      <c r="N101" s="90"/>
      <c r="O101" s="90"/>
    </row>
    <row r="102" spans="3:15">
      <c r="C102" s="90"/>
      <c r="D102" s="90"/>
      <c r="E102" s="90"/>
      <c r="F102" s="90"/>
      <c r="G102" s="90"/>
      <c r="H102" s="90"/>
      <c r="I102" s="90"/>
      <c r="J102" s="90"/>
      <c r="K102" s="90"/>
      <c r="L102" s="90"/>
      <c r="M102" s="90"/>
      <c r="N102" s="90"/>
      <c r="O102" s="90"/>
    </row>
    <row r="103" spans="3:15">
      <c r="C103" s="90"/>
      <c r="D103" s="90"/>
      <c r="E103" s="90"/>
      <c r="F103" s="90"/>
      <c r="G103" s="90"/>
      <c r="H103" s="90"/>
      <c r="I103" s="90"/>
      <c r="J103" s="90"/>
      <c r="K103" s="90"/>
      <c r="L103" s="90"/>
      <c r="M103" s="90"/>
      <c r="N103" s="90"/>
      <c r="O103" s="90"/>
    </row>
    <row r="104" spans="3:15">
      <c r="C104" s="90"/>
      <c r="D104" s="90"/>
      <c r="E104" s="90"/>
      <c r="F104" s="90"/>
      <c r="G104" s="90"/>
      <c r="H104" s="90"/>
      <c r="I104" s="90"/>
      <c r="J104" s="90"/>
      <c r="K104" s="90"/>
      <c r="L104" s="90"/>
      <c r="M104" s="90"/>
      <c r="N104" s="90"/>
      <c r="O104" s="90"/>
    </row>
    <row r="105" spans="3:15">
      <c r="C105" s="90"/>
      <c r="D105" s="90"/>
      <c r="E105" s="90"/>
      <c r="F105" s="90"/>
      <c r="G105" s="90"/>
      <c r="H105" s="90"/>
      <c r="I105" s="90"/>
      <c r="J105" s="90"/>
      <c r="K105" s="90"/>
      <c r="L105" s="90"/>
      <c r="M105" s="90"/>
      <c r="N105" s="90"/>
      <c r="O105" s="90"/>
    </row>
    <row r="106" spans="3:15">
      <c r="C106" s="90"/>
      <c r="D106" s="90"/>
      <c r="E106" s="90"/>
      <c r="F106" s="90"/>
      <c r="G106" s="90"/>
      <c r="H106" s="90"/>
      <c r="I106" s="90"/>
      <c r="J106" s="90"/>
      <c r="K106" s="90"/>
      <c r="L106" s="90"/>
      <c r="M106" s="90"/>
      <c r="N106" s="90"/>
      <c r="O106" s="90"/>
    </row>
    <row r="107" spans="3:15">
      <c r="C107" s="90"/>
      <c r="D107" s="90"/>
      <c r="E107" s="90"/>
      <c r="F107" s="90"/>
      <c r="G107" s="90"/>
      <c r="H107" s="90"/>
      <c r="I107" s="90"/>
      <c r="J107" s="90"/>
      <c r="K107" s="90"/>
      <c r="L107" s="90"/>
      <c r="M107" s="90"/>
      <c r="N107" s="90"/>
      <c r="O107" s="90"/>
    </row>
    <row r="108" spans="3:15">
      <c r="C108" s="90"/>
      <c r="D108" s="90"/>
      <c r="E108" s="90"/>
      <c r="F108" s="90"/>
      <c r="G108" s="90"/>
      <c r="H108" s="90"/>
      <c r="I108" s="90"/>
      <c r="J108" s="90"/>
      <c r="K108" s="90"/>
      <c r="L108" s="90"/>
      <c r="M108" s="90"/>
      <c r="N108" s="90"/>
      <c r="O108" s="90"/>
    </row>
    <row r="109" spans="3:15">
      <c r="C109" s="90"/>
      <c r="D109" s="90"/>
      <c r="E109" s="90"/>
      <c r="F109" s="90"/>
      <c r="G109" s="90"/>
      <c r="H109" s="90"/>
      <c r="I109" s="90"/>
      <c r="J109" s="90"/>
      <c r="K109" s="90"/>
      <c r="L109" s="90"/>
      <c r="M109" s="90"/>
      <c r="N109" s="90"/>
      <c r="O109" s="90"/>
    </row>
    <row r="110" spans="3:15">
      <c r="C110" s="90"/>
      <c r="D110" s="90"/>
      <c r="E110" s="90"/>
      <c r="F110" s="90"/>
      <c r="G110" s="90"/>
      <c r="H110" s="90"/>
      <c r="I110" s="90"/>
      <c r="J110" s="90"/>
      <c r="K110" s="90"/>
      <c r="L110" s="90"/>
      <c r="M110" s="90"/>
      <c r="N110" s="90"/>
      <c r="O110" s="90"/>
    </row>
    <row r="111" spans="3:15">
      <c r="C111" s="90"/>
      <c r="D111" s="90"/>
      <c r="E111" s="90"/>
      <c r="F111" s="90"/>
      <c r="G111" s="90"/>
      <c r="H111" s="90"/>
      <c r="I111" s="90"/>
      <c r="J111" s="90"/>
      <c r="K111" s="90"/>
      <c r="L111" s="90"/>
      <c r="M111" s="90"/>
      <c r="N111" s="90"/>
      <c r="O111" s="90"/>
    </row>
    <row r="112" spans="3:15">
      <c r="C112" s="90"/>
      <c r="D112" s="90"/>
      <c r="E112" s="90"/>
      <c r="F112" s="90"/>
      <c r="G112" s="90"/>
      <c r="H112" s="90"/>
      <c r="I112" s="90"/>
      <c r="J112" s="90"/>
      <c r="K112" s="90"/>
      <c r="L112" s="90"/>
      <c r="M112" s="90"/>
      <c r="N112" s="90"/>
      <c r="O112" s="90"/>
    </row>
    <row r="113" spans="3:15">
      <c r="C113" s="90"/>
      <c r="D113" s="90"/>
      <c r="E113" s="90"/>
      <c r="F113" s="90"/>
      <c r="G113" s="90"/>
      <c r="H113" s="90"/>
      <c r="I113" s="90"/>
      <c r="J113" s="90"/>
      <c r="K113" s="90"/>
      <c r="L113" s="90"/>
      <c r="M113" s="90"/>
      <c r="N113" s="90"/>
      <c r="O113" s="90"/>
    </row>
    <row r="114" spans="3:15">
      <c r="C114" s="90"/>
      <c r="D114" s="90"/>
      <c r="E114" s="90"/>
      <c r="F114" s="90"/>
      <c r="G114" s="90"/>
      <c r="H114" s="90"/>
      <c r="I114" s="90"/>
      <c r="J114" s="90"/>
      <c r="K114" s="90"/>
      <c r="L114" s="90"/>
      <c r="M114" s="90"/>
      <c r="N114" s="90"/>
      <c r="O114" s="90"/>
    </row>
    <row r="115" spans="3:15">
      <c r="C115" s="90"/>
      <c r="D115" s="90"/>
      <c r="E115" s="90"/>
      <c r="F115" s="90"/>
      <c r="G115" s="90"/>
      <c r="H115" s="90"/>
      <c r="I115" s="90"/>
      <c r="J115" s="90"/>
      <c r="K115" s="90"/>
      <c r="L115" s="90"/>
      <c r="M115" s="90"/>
      <c r="N115" s="90"/>
      <c r="O115" s="90"/>
    </row>
    <row r="116" spans="3:15">
      <c r="C116" s="90"/>
      <c r="D116" s="90"/>
      <c r="E116" s="90"/>
      <c r="F116" s="90"/>
      <c r="G116" s="90"/>
      <c r="H116" s="90"/>
      <c r="I116" s="90"/>
      <c r="J116" s="90"/>
      <c r="K116" s="90"/>
      <c r="L116" s="90"/>
      <c r="M116" s="90"/>
      <c r="N116" s="90"/>
      <c r="O116" s="90"/>
    </row>
    <row r="117" spans="3:15">
      <c r="C117" s="90"/>
      <c r="D117" s="90"/>
      <c r="E117" s="90"/>
      <c r="F117" s="90"/>
      <c r="G117" s="90"/>
      <c r="H117" s="90"/>
      <c r="I117" s="90"/>
      <c r="J117" s="90"/>
      <c r="K117" s="90"/>
      <c r="L117" s="90"/>
      <c r="M117" s="90"/>
      <c r="N117" s="90"/>
      <c r="O117" s="90"/>
    </row>
    <row r="118" spans="3:15">
      <c r="C118" s="90"/>
      <c r="D118" s="90"/>
      <c r="E118" s="90"/>
      <c r="F118" s="90"/>
      <c r="G118" s="90"/>
      <c r="H118" s="90"/>
      <c r="I118" s="90"/>
      <c r="J118" s="90"/>
      <c r="K118" s="90"/>
      <c r="L118" s="90"/>
      <c r="M118" s="90"/>
      <c r="N118" s="90"/>
      <c r="O118" s="90"/>
    </row>
    <row r="119" spans="3:15">
      <c r="C119" s="90"/>
      <c r="D119" s="90"/>
      <c r="E119" s="90"/>
      <c r="F119" s="90"/>
      <c r="G119" s="90"/>
      <c r="H119" s="90"/>
      <c r="I119" s="90"/>
      <c r="J119" s="90"/>
      <c r="K119" s="90"/>
      <c r="L119" s="90"/>
      <c r="M119" s="90"/>
      <c r="N119" s="90"/>
      <c r="O119" s="90"/>
    </row>
    <row r="120" spans="3:15">
      <c r="C120" s="90"/>
      <c r="D120" s="90"/>
      <c r="E120" s="90"/>
      <c r="F120" s="90"/>
      <c r="G120" s="90"/>
      <c r="H120" s="90"/>
      <c r="I120" s="90"/>
      <c r="J120" s="90"/>
      <c r="K120" s="90"/>
      <c r="L120" s="90"/>
      <c r="M120" s="90"/>
      <c r="N120" s="90"/>
      <c r="O120" s="90"/>
    </row>
    <row r="121" spans="3:15">
      <c r="C121" s="90"/>
      <c r="D121" s="90"/>
      <c r="E121" s="90"/>
      <c r="F121" s="90"/>
      <c r="G121" s="90"/>
      <c r="H121" s="90"/>
      <c r="I121" s="90"/>
      <c r="J121" s="90"/>
      <c r="K121" s="90"/>
      <c r="L121" s="90"/>
      <c r="M121" s="90"/>
      <c r="N121" s="90"/>
      <c r="O121" s="90"/>
    </row>
    <row r="122" spans="3:15">
      <c r="C122" s="90"/>
      <c r="D122" s="90"/>
      <c r="E122" s="90"/>
      <c r="F122" s="90"/>
      <c r="G122" s="90"/>
      <c r="H122" s="90"/>
      <c r="I122" s="90"/>
      <c r="J122" s="90"/>
      <c r="K122" s="90"/>
      <c r="L122" s="90"/>
      <c r="M122" s="90"/>
      <c r="N122" s="90"/>
      <c r="O122" s="90"/>
    </row>
    <row r="123" spans="3:15">
      <c r="C123" s="90"/>
      <c r="D123" s="90"/>
      <c r="E123" s="90"/>
      <c r="F123" s="90"/>
      <c r="G123" s="90"/>
      <c r="H123" s="90"/>
      <c r="I123" s="90"/>
      <c r="J123" s="90"/>
      <c r="K123" s="90"/>
      <c r="L123" s="90"/>
      <c r="M123" s="90"/>
      <c r="N123" s="90"/>
      <c r="O123" s="90"/>
    </row>
    <row r="124" spans="3:15">
      <c r="C124" s="90"/>
      <c r="D124" s="90"/>
      <c r="E124" s="90"/>
      <c r="F124" s="90"/>
      <c r="G124" s="90"/>
      <c r="H124" s="90"/>
      <c r="I124" s="90"/>
      <c r="J124" s="90"/>
      <c r="K124" s="90"/>
      <c r="L124" s="90"/>
      <c r="M124" s="90"/>
      <c r="N124" s="90"/>
      <c r="O124" s="90"/>
    </row>
    <row r="125" spans="3:15">
      <c r="C125" s="90"/>
      <c r="D125" s="90"/>
      <c r="E125" s="90"/>
      <c r="F125" s="90"/>
      <c r="G125" s="90"/>
      <c r="H125" s="90"/>
      <c r="I125" s="90"/>
      <c r="J125" s="90"/>
      <c r="K125" s="90"/>
      <c r="L125" s="90"/>
      <c r="M125" s="90"/>
      <c r="N125" s="90"/>
      <c r="O125" s="90"/>
    </row>
    <row r="126" spans="3:15">
      <c r="C126" s="90"/>
      <c r="D126" s="90"/>
      <c r="E126" s="90"/>
      <c r="F126" s="90"/>
      <c r="G126" s="90"/>
      <c r="H126" s="90"/>
      <c r="I126" s="90"/>
      <c r="J126" s="90"/>
      <c r="K126" s="90"/>
      <c r="L126" s="90"/>
      <c r="M126" s="90"/>
      <c r="N126" s="90"/>
      <c r="O126" s="90"/>
    </row>
    <row r="127" spans="3:15">
      <c r="C127" s="90"/>
      <c r="D127" s="90"/>
      <c r="E127" s="90"/>
      <c r="F127" s="90"/>
      <c r="G127" s="90"/>
      <c r="H127" s="90"/>
      <c r="I127" s="90"/>
      <c r="J127" s="90"/>
      <c r="K127" s="90"/>
      <c r="L127" s="90"/>
      <c r="M127" s="90"/>
      <c r="N127" s="90"/>
      <c r="O127" s="90"/>
    </row>
    <row r="128" spans="3:15">
      <c r="C128" s="90"/>
      <c r="D128" s="90"/>
      <c r="E128" s="90"/>
      <c r="F128" s="90"/>
      <c r="G128" s="90"/>
      <c r="H128" s="90"/>
      <c r="I128" s="90"/>
      <c r="J128" s="90"/>
      <c r="K128" s="90"/>
      <c r="L128" s="90"/>
      <c r="M128" s="90"/>
      <c r="N128" s="90"/>
      <c r="O128" s="90"/>
    </row>
    <row r="129" spans="3:15">
      <c r="C129" s="90"/>
      <c r="D129" s="90"/>
      <c r="E129" s="90"/>
      <c r="F129" s="90"/>
      <c r="G129" s="90"/>
      <c r="H129" s="90"/>
      <c r="I129" s="90"/>
      <c r="J129" s="90"/>
      <c r="K129" s="90"/>
      <c r="L129" s="90"/>
      <c r="M129" s="90"/>
      <c r="N129" s="90"/>
      <c r="O129" s="90"/>
    </row>
    <row r="130" spans="3:15">
      <c r="C130" s="90"/>
      <c r="D130" s="90"/>
      <c r="E130" s="90"/>
      <c r="F130" s="90"/>
      <c r="G130" s="90"/>
      <c r="H130" s="90"/>
      <c r="I130" s="90"/>
      <c r="J130" s="90"/>
      <c r="K130" s="90"/>
      <c r="L130" s="90"/>
      <c r="M130" s="90"/>
      <c r="N130" s="90"/>
      <c r="O130" s="90"/>
    </row>
    <row r="131" spans="3:15">
      <c r="C131" s="90"/>
      <c r="D131" s="90"/>
      <c r="E131" s="90"/>
      <c r="F131" s="90"/>
      <c r="G131" s="90"/>
      <c r="H131" s="90"/>
      <c r="I131" s="90"/>
      <c r="J131" s="90"/>
      <c r="K131" s="90"/>
      <c r="L131" s="90"/>
      <c r="M131" s="90"/>
      <c r="N131" s="90"/>
      <c r="O131" s="90"/>
    </row>
    <row r="132" spans="3:15">
      <c r="C132" s="90"/>
      <c r="D132" s="90"/>
      <c r="E132" s="90"/>
      <c r="F132" s="90"/>
      <c r="G132" s="90"/>
      <c r="H132" s="90"/>
      <c r="I132" s="90"/>
      <c r="J132" s="90"/>
      <c r="K132" s="90"/>
      <c r="L132" s="90"/>
      <c r="M132" s="90"/>
      <c r="N132" s="90"/>
      <c r="O132" s="90"/>
    </row>
    <row r="133" spans="3:15">
      <c r="C133" s="90"/>
      <c r="D133" s="90"/>
      <c r="E133" s="90"/>
      <c r="F133" s="90"/>
      <c r="G133" s="90"/>
      <c r="H133" s="90"/>
      <c r="I133" s="90"/>
      <c r="J133" s="90"/>
      <c r="K133" s="90"/>
      <c r="L133" s="90"/>
      <c r="M133" s="90"/>
      <c r="N133" s="90"/>
      <c r="O133" s="90"/>
    </row>
    <row r="134" spans="3:15">
      <c r="C134" s="90"/>
      <c r="D134" s="90"/>
      <c r="E134" s="90"/>
      <c r="F134" s="90"/>
      <c r="G134" s="90"/>
      <c r="H134" s="90"/>
      <c r="I134" s="90"/>
      <c r="J134" s="90"/>
      <c r="K134" s="90"/>
      <c r="L134" s="90"/>
      <c r="M134" s="90"/>
      <c r="N134" s="90"/>
      <c r="O134" s="90"/>
    </row>
    <row r="135" spans="3:15">
      <c r="C135" s="90"/>
      <c r="D135" s="90"/>
      <c r="E135" s="90"/>
      <c r="F135" s="90"/>
      <c r="G135" s="90"/>
      <c r="H135" s="90"/>
      <c r="I135" s="90"/>
      <c r="J135" s="90"/>
      <c r="K135" s="90"/>
      <c r="L135" s="90"/>
      <c r="M135" s="90"/>
      <c r="N135" s="90"/>
      <c r="O135" s="90"/>
    </row>
    <row r="136" spans="3:15">
      <c r="C136" s="90"/>
      <c r="D136" s="90"/>
      <c r="E136" s="90"/>
      <c r="F136" s="90"/>
      <c r="G136" s="90"/>
      <c r="H136" s="90"/>
      <c r="I136" s="90"/>
      <c r="J136" s="90"/>
      <c r="K136" s="90"/>
      <c r="L136" s="90"/>
      <c r="M136" s="90"/>
      <c r="N136" s="90"/>
      <c r="O136" s="90"/>
    </row>
    <row r="137" spans="3:15">
      <c r="C137" s="90"/>
      <c r="D137" s="90"/>
      <c r="E137" s="90"/>
      <c r="F137" s="90"/>
      <c r="G137" s="90"/>
      <c r="H137" s="90"/>
      <c r="I137" s="90"/>
      <c r="J137" s="90"/>
      <c r="K137" s="90"/>
      <c r="L137" s="90"/>
      <c r="M137" s="90"/>
      <c r="N137" s="90"/>
      <c r="O137" s="90"/>
    </row>
    <row r="138" spans="3:15">
      <c r="C138" s="90"/>
      <c r="D138" s="90"/>
      <c r="E138" s="90"/>
      <c r="F138" s="90"/>
      <c r="G138" s="90"/>
      <c r="H138" s="90"/>
      <c r="I138" s="90"/>
      <c r="J138" s="90"/>
      <c r="K138" s="90"/>
      <c r="L138" s="90"/>
      <c r="M138" s="90"/>
      <c r="N138" s="90"/>
      <c r="O138" s="90"/>
    </row>
    <row r="139" spans="3:15">
      <c r="C139" s="90"/>
      <c r="D139" s="90"/>
      <c r="E139" s="90"/>
      <c r="F139" s="90"/>
      <c r="G139" s="90"/>
      <c r="H139" s="90"/>
      <c r="I139" s="90"/>
      <c r="J139" s="90"/>
      <c r="K139" s="90"/>
      <c r="L139" s="90"/>
      <c r="M139" s="90"/>
      <c r="N139" s="90"/>
      <c r="O139" s="90"/>
    </row>
    <row r="140" spans="3:15">
      <c r="C140" s="90"/>
      <c r="D140" s="90"/>
      <c r="E140" s="90"/>
      <c r="F140" s="90"/>
      <c r="G140" s="90"/>
      <c r="H140" s="90"/>
      <c r="I140" s="90"/>
      <c r="J140" s="90"/>
      <c r="K140" s="90"/>
      <c r="L140" s="90"/>
      <c r="M140" s="90"/>
      <c r="N140" s="90"/>
      <c r="O140" s="90"/>
    </row>
    <row r="141" spans="3:15">
      <c r="C141" s="90"/>
      <c r="D141" s="90"/>
      <c r="E141" s="90"/>
      <c r="F141" s="90"/>
      <c r="G141" s="90"/>
      <c r="H141" s="90"/>
      <c r="I141" s="90"/>
      <c r="J141" s="90"/>
      <c r="K141" s="90"/>
      <c r="L141" s="90"/>
      <c r="M141" s="90"/>
      <c r="N141" s="90"/>
      <c r="O141" s="90"/>
    </row>
    <row r="142" spans="3:15">
      <c r="C142" s="90"/>
      <c r="D142" s="90"/>
      <c r="E142" s="90"/>
      <c r="F142" s="90"/>
      <c r="G142" s="90"/>
      <c r="H142" s="90"/>
      <c r="I142" s="90"/>
      <c r="J142" s="90"/>
      <c r="K142" s="90"/>
      <c r="L142" s="90"/>
      <c r="M142" s="90"/>
      <c r="N142" s="90"/>
      <c r="O142" s="90"/>
    </row>
    <row r="143" spans="3:15">
      <c r="C143" s="90"/>
      <c r="D143" s="90"/>
      <c r="E143" s="90"/>
      <c r="F143" s="90"/>
      <c r="G143" s="90"/>
      <c r="H143" s="90"/>
      <c r="I143" s="90"/>
      <c r="J143" s="90"/>
      <c r="K143" s="90"/>
      <c r="L143" s="90"/>
      <c r="M143" s="90"/>
      <c r="N143" s="90"/>
      <c r="O143" s="90"/>
    </row>
    <row r="144" spans="3:15">
      <c r="C144" s="90"/>
      <c r="D144" s="90"/>
      <c r="E144" s="90"/>
      <c r="F144" s="90"/>
      <c r="G144" s="90"/>
      <c r="H144" s="90"/>
      <c r="I144" s="90"/>
      <c r="J144" s="90"/>
      <c r="K144" s="90"/>
      <c r="L144" s="90"/>
      <c r="M144" s="90"/>
      <c r="N144" s="90"/>
      <c r="O144" s="90"/>
    </row>
    <row r="145" spans="3:15">
      <c r="C145" s="90"/>
      <c r="D145" s="90"/>
      <c r="E145" s="90"/>
      <c r="F145" s="90"/>
      <c r="G145" s="90"/>
      <c r="H145" s="90"/>
      <c r="I145" s="90"/>
      <c r="J145" s="90"/>
      <c r="K145" s="90"/>
      <c r="L145" s="90"/>
      <c r="M145" s="90"/>
      <c r="N145" s="90"/>
      <c r="O145" s="90"/>
    </row>
    <row r="146" spans="3:15">
      <c r="C146" s="90"/>
      <c r="D146" s="90"/>
      <c r="E146" s="90"/>
      <c r="F146" s="90"/>
      <c r="G146" s="90"/>
      <c r="H146" s="90"/>
      <c r="I146" s="90"/>
      <c r="J146" s="90"/>
      <c r="K146" s="90"/>
      <c r="L146" s="90"/>
      <c r="M146" s="90"/>
      <c r="N146" s="90"/>
      <c r="O146" s="90"/>
    </row>
    <row r="147" spans="3:15">
      <c r="C147" s="90"/>
      <c r="D147" s="90"/>
      <c r="E147" s="90"/>
      <c r="F147" s="90"/>
      <c r="G147" s="90"/>
      <c r="H147" s="90"/>
      <c r="I147" s="90"/>
      <c r="J147" s="90"/>
      <c r="K147" s="90"/>
      <c r="L147" s="90"/>
      <c r="M147" s="90"/>
      <c r="N147" s="90"/>
      <c r="O147" s="90"/>
    </row>
    <row r="148" spans="3:15">
      <c r="C148" s="90"/>
      <c r="D148" s="90"/>
      <c r="E148" s="90"/>
      <c r="F148" s="90"/>
      <c r="G148" s="90"/>
      <c r="H148" s="90"/>
      <c r="I148" s="90"/>
      <c r="J148" s="90"/>
      <c r="K148" s="90"/>
      <c r="L148" s="90"/>
      <c r="M148" s="90"/>
      <c r="N148" s="90"/>
      <c r="O148" s="90"/>
    </row>
    <row r="149" spans="3:15">
      <c r="C149" s="90"/>
      <c r="D149" s="90"/>
      <c r="E149" s="90"/>
      <c r="F149" s="90"/>
      <c r="G149" s="90"/>
      <c r="H149" s="90"/>
      <c r="I149" s="90"/>
      <c r="J149" s="90"/>
      <c r="K149" s="90"/>
      <c r="L149" s="90"/>
      <c r="M149" s="90"/>
      <c r="N149" s="90"/>
      <c r="O149" s="90"/>
    </row>
    <row r="150" spans="3:15">
      <c r="C150" s="90"/>
      <c r="D150" s="90"/>
      <c r="E150" s="90"/>
      <c r="F150" s="90"/>
      <c r="G150" s="90"/>
      <c r="H150" s="90"/>
      <c r="I150" s="90"/>
      <c r="J150" s="90"/>
      <c r="K150" s="90"/>
      <c r="L150" s="90"/>
      <c r="M150" s="90"/>
      <c r="N150" s="90"/>
      <c r="O150" s="90"/>
    </row>
    <row r="151" spans="3:15">
      <c r="C151" s="90"/>
      <c r="D151" s="90"/>
      <c r="E151" s="90"/>
      <c r="F151" s="90"/>
      <c r="G151" s="90"/>
      <c r="H151" s="90"/>
      <c r="I151" s="90"/>
      <c r="J151" s="90"/>
      <c r="K151" s="90"/>
      <c r="L151" s="90"/>
      <c r="M151" s="90"/>
      <c r="N151" s="90"/>
      <c r="O151" s="90"/>
    </row>
    <row r="152" spans="3:15">
      <c r="C152" s="90"/>
      <c r="D152" s="90"/>
      <c r="E152" s="90"/>
      <c r="F152" s="90"/>
      <c r="G152" s="90"/>
      <c r="H152" s="90"/>
      <c r="I152" s="90"/>
      <c r="J152" s="90"/>
      <c r="K152" s="90"/>
      <c r="L152" s="90"/>
      <c r="M152" s="90"/>
      <c r="N152" s="90"/>
      <c r="O152" s="90"/>
    </row>
    <row r="153" spans="3:15">
      <c r="C153" s="90"/>
      <c r="D153" s="90"/>
      <c r="E153" s="90"/>
      <c r="F153" s="90"/>
      <c r="G153" s="90"/>
      <c r="H153" s="90"/>
      <c r="I153" s="90"/>
      <c r="J153" s="90"/>
      <c r="K153" s="90"/>
      <c r="L153" s="90"/>
      <c r="M153" s="90"/>
      <c r="N153" s="90"/>
      <c r="O153" s="90"/>
    </row>
    <row r="154" spans="3:15">
      <c r="C154" s="90"/>
      <c r="D154" s="90"/>
      <c r="E154" s="90"/>
      <c r="F154" s="90"/>
      <c r="G154" s="90"/>
      <c r="H154" s="90"/>
      <c r="I154" s="90"/>
      <c r="J154" s="90"/>
      <c r="K154" s="90"/>
      <c r="L154" s="90"/>
      <c r="M154" s="90"/>
      <c r="N154" s="90"/>
      <c r="O154" s="90"/>
    </row>
    <row r="155" spans="3:15">
      <c r="C155" s="90"/>
      <c r="D155" s="90"/>
      <c r="E155" s="90"/>
      <c r="F155" s="90"/>
      <c r="G155" s="90"/>
      <c r="H155" s="90"/>
      <c r="I155" s="90"/>
      <c r="J155" s="90"/>
      <c r="K155" s="90"/>
      <c r="L155" s="90"/>
      <c r="M155" s="90"/>
      <c r="N155" s="90"/>
      <c r="O155" s="90"/>
    </row>
    <row r="156" spans="3:15">
      <c r="C156" s="90"/>
      <c r="D156" s="90"/>
      <c r="E156" s="90"/>
      <c r="F156" s="90"/>
      <c r="G156" s="90"/>
      <c r="H156" s="90"/>
      <c r="I156" s="90"/>
      <c r="J156" s="90"/>
      <c r="K156" s="90"/>
      <c r="L156" s="90"/>
      <c r="M156" s="90"/>
      <c r="N156" s="90"/>
      <c r="O156" s="90"/>
    </row>
    <row r="157" spans="3:15">
      <c r="C157" s="90"/>
      <c r="D157" s="90"/>
      <c r="E157" s="90"/>
      <c r="F157" s="90"/>
      <c r="G157" s="90"/>
      <c r="H157" s="90"/>
      <c r="I157" s="90"/>
      <c r="J157" s="90"/>
      <c r="K157" s="90"/>
      <c r="L157" s="90"/>
      <c r="M157" s="90"/>
      <c r="N157" s="90"/>
      <c r="O157" s="90"/>
    </row>
    <row r="158" spans="3:15">
      <c r="C158" s="90"/>
      <c r="D158" s="90"/>
      <c r="E158" s="90"/>
      <c r="F158" s="90"/>
      <c r="G158" s="90"/>
      <c r="H158" s="90"/>
      <c r="I158" s="90"/>
      <c r="J158" s="90"/>
      <c r="K158" s="90"/>
      <c r="L158" s="90"/>
      <c r="M158" s="90"/>
      <c r="N158" s="90"/>
      <c r="O158" s="90"/>
    </row>
    <row r="159" spans="3:15">
      <c r="C159" s="90"/>
      <c r="D159" s="90"/>
      <c r="E159" s="90"/>
      <c r="F159" s="90"/>
      <c r="G159" s="90"/>
      <c r="H159" s="90"/>
      <c r="I159" s="90"/>
      <c r="J159" s="90"/>
      <c r="K159" s="90"/>
      <c r="L159" s="90"/>
      <c r="M159" s="90"/>
      <c r="N159" s="90"/>
      <c r="O159" s="90"/>
    </row>
    <row r="160" spans="3:15">
      <c r="C160" s="90"/>
      <c r="D160" s="90"/>
      <c r="E160" s="90"/>
      <c r="F160" s="90"/>
      <c r="G160" s="90"/>
      <c r="H160" s="90"/>
      <c r="I160" s="90"/>
      <c r="J160" s="90"/>
      <c r="K160" s="90"/>
      <c r="L160" s="90"/>
      <c r="M160" s="90"/>
      <c r="N160" s="90"/>
      <c r="O160" s="90"/>
    </row>
    <row r="161" spans="3:15">
      <c r="C161" s="90"/>
      <c r="D161" s="90"/>
      <c r="E161" s="90"/>
      <c r="F161" s="90"/>
      <c r="G161" s="90"/>
      <c r="H161" s="90"/>
      <c r="I161" s="90"/>
      <c r="J161" s="90"/>
      <c r="K161" s="90"/>
      <c r="L161" s="90"/>
      <c r="M161" s="90"/>
      <c r="N161" s="90"/>
      <c r="O161" s="90"/>
    </row>
    <row r="162" spans="3:15">
      <c r="C162" s="90"/>
      <c r="D162" s="90"/>
      <c r="E162" s="90"/>
      <c r="F162" s="90"/>
      <c r="G162" s="90"/>
      <c r="H162" s="90"/>
      <c r="I162" s="90"/>
      <c r="J162" s="90"/>
      <c r="K162" s="90"/>
      <c r="L162" s="90"/>
      <c r="M162" s="90"/>
      <c r="N162" s="90"/>
      <c r="O162" s="90"/>
    </row>
    <row r="163" spans="3:15">
      <c r="C163" s="90"/>
      <c r="D163" s="90"/>
      <c r="E163" s="90"/>
      <c r="F163" s="90"/>
      <c r="G163" s="90"/>
      <c r="H163" s="90"/>
      <c r="I163" s="90"/>
      <c r="J163" s="90"/>
      <c r="K163" s="90"/>
      <c r="L163" s="90"/>
      <c r="M163" s="90"/>
      <c r="N163" s="90"/>
      <c r="O163" s="90"/>
    </row>
    <row r="164" spans="3:15">
      <c r="C164" s="90"/>
      <c r="D164" s="90"/>
      <c r="E164" s="90"/>
      <c r="F164" s="90"/>
      <c r="G164" s="90"/>
      <c r="H164" s="90"/>
      <c r="I164" s="90"/>
      <c r="J164" s="90"/>
      <c r="K164" s="90"/>
      <c r="L164" s="90"/>
      <c r="M164" s="90"/>
      <c r="N164" s="90"/>
      <c r="O164" s="90"/>
    </row>
    <row r="165" spans="3:15">
      <c r="C165" s="90"/>
      <c r="D165" s="90"/>
      <c r="E165" s="90"/>
      <c r="F165" s="90"/>
      <c r="G165" s="90"/>
      <c r="H165" s="90"/>
      <c r="I165" s="90"/>
      <c r="J165" s="90"/>
      <c r="K165" s="90"/>
      <c r="L165" s="90"/>
      <c r="M165" s="90"/>
      <c r="N165" s="90"/>
      <c r="O165" s="90"/>
    </row>
    <row r="166" spans="3:15">
      <c r="C166" s="90"/>
      <c r="D166" s="90"/>
      <c r="E166" s="90"/>
      <c r="F166" s="90"/>
      <c r="G166" s="90"/>
      <c r="H166" s="90"/>
      <c r="I166" s="90"/>
      <c r="J166" s="90"/>
      <c r="K166" s="90"/>
      <c r="L166" s="90"/>
      <c r="M166" s="90"/>
      <c r="N166" s="90"/>
      <c r="O166" s="90"/>
    </row>
    <row r="167" spans="3:15">
      <c r="C167" s="90"/>
      <c r="D167" s="90"/>
      <c r="E167" s="90"/>
      <c r="F167" s="90"/>
      <c r="G167" s="90"/>
      <c r="H167" s="90"/>
      <c r="I167" s="90"/>
      <c r="J167" s="90"/>
      <c r="K167" s="90"/>
      <c r="L167" s="90"/>
      <c r="M167" s="90"/>
      <c r="N167" s="90"/>
      <c r="O167" s="90"/>
    </row>
    <row r="168" spans="3:15">
      <c r="C168" s="90"/>
      <c r="D168" s="90"/>
      <c r="E168" s="90"/>
      <c r="F168" s="90"/>
      <c r="G168" s="90"/>
      <c r="H168" s="90"/>
      <c r="I168" s="90"/>
      <c r="J168" s="90"/>
      <c r="K168" s="90"/>
      <c r="L168" s="90"/>
      <c r="M168" s="90"/>
      <c r="N168" s="90"/>
      <c r="O168" s="90"/>
    </row>
    <row r="169" spans="3:15">
      <c r="C169" s="90"/>
      <c r="D169" s="90"/>
      <c r="E169" s="90"/>
      <c r="F169" s="90"/>
      <c r="G169" s="90"/>
      <c r="H169" s="90"/>
      <c r="I169" s="90"/>
      <c r="J169" s="90"/>
      <c r="K169" s="90"/>
      <c r="L169" s="90"/>
      <c r="M169" s="90"/>
      <c r="N169" s="90"/>
      <c r="O169" s="90"/>
    </row>
    <row r="170" spans="3:15">
      <c r="C170" s="90"/>
      <c r="D170" s="90"/>
      <c r="E170" s="90"/>
      <c r="F170" s="90"/>
      <c r="G170" s="90"/>
      <c r="H170" s="90"/>
      <c r="I170" s="90"/>
      <c r="J170" s="90"/>
      <c r="K170" s="90"/>
      <c r="L170" s="90"/>
      <c r="M170" s="90"/>
      <c r="N170" s="90"/>
      <c r="O170" s="90"/>
    </row>
    <row r="171" spans="3:15">
      <c r="C171" s="90"/>
      <c r="D171" s="90"/>
      <c r="E171" s="90"/>
      <c r="F171" s="90"/>
      <c r="G171" s="90"/>
      <c r="H171" s="90"/>
      <c r="I171" s="90"/>
      <c r="J171" s="90"/>
      <c r="K171" s="90"/>
      <c r="L171" s="90"/>
      <c r="M171" s="90"/>
      <c r="N171" s="90"/>
      <c r="O171" s="90"/>
    </row>
    <row r="172" spans="3:15">
      <c r="C172" s="90"/>
      <c r="D172" s="90"/>
      <c r="E172" s="90"/>
      <c r="F172" s="90"/>
      <c r="G172" s="90"/>
      <c r="H172" s="90"/>
      <c r="I172" s="90"/>
      <c r="J172" s="90"/>
      <c r="K172" s="90"/>
      <c r="L172" s="90"/>
      <c r="M172" s="90"/>
      <c r="N172" s="90"/>
      <c r="O172" s="90"/>
    </row>
    <row r="173" spans="3:15">
      <c r="C173" s="90"/>
      <c r="D173" s="90"/>
      <c r="E173" s="90"/>
      <c r="F173" s="90"/>
      <c r="G173" s="90"/>
      <c r="H173" s="90"/>
      <c r="I173" s="90"/>
      <c r="J173" s="90"/>
      <c r="K173" s="90"/>
      <c r="L173" s="90"/>
      <c r="M173" s="90"/>
      <c r="N173" s="90"/>
      <c r="O173" s="90"/>
    </row>
    <row r="174" spans="3:15">
      <c r="C174" s="90"/>
      <c r="D174" s="90"/>
      <c r="E174" s="90"/>
      <c r="F174" s="90"/>
      <c r="G174" s="90"/>
      <c r="H174" s="90"/>
      <c r="I174" s="90"/>
      <c r="J174" s="90"/>
      <c r="K174" s="90"/>
      <c r="L174" s="90"/>
      <c r="M174" s="90"/>
      <c r="N174" s="90"/>
      <c r="O174" s="90"/>
    </row>
    <row r="175" spans="3:15">
      <c r="C175" s="90"/>
      <c r="D175" s="90"/>
      <c r="E175" s="90"/>
      <c r="F175" s="90"/>
      <c r="G175" s="90"/>
      <c r="H175" s="90"/>
      <c r="I175" s="90"/>
      <c r="J175" s="90"/>
      <c r="K175" s="90"/>
      <c r="L175" s="90"/>
      <c r="M175" s="90"/>
      <c r="N175" s="90"/>
      <c r="O175" s="90"/>
    </row>
    <row r="176" spans="3:15">
      <c r="C176" s="90"/>
      <c r="D176" s="90"/>
      <c r="E176" s="90"/>
      <c r="F176" s="90"/>
      <c r="G176" s="90"/>
      <c r="H176" s="90"/>
      <c r="I176" s="90"/>
      <c r="J176" s="90"/>
      <c r="K176" s="90"/>
      <c r="L176" s="90"/>
      <c r="M176" s="90"/>
      <c r="N176" s="90"/>
      <c r="O176" s="90"/>
    </row>
    <row r="177" spans="3:15">
      <c r="C177" s="90"/>
      <c r="D177" s="90"/>
      <c r="E177" s="90"/>
      <c r="F177" s="90"/>
      <c r="G177" s="90"/>
      <c r="H177" s="90"/>
      <c r="I177" s="90"/>
      <c r="J177" s="90"/>
      <c r="K177" s="90"/>
      <c r="L177" s="90"/>
      <c r="M177" s="90"/>
      <c r="N177" s="90"/>
      <c r="O177" s="90"/>
    </row>
    <row r="178" spans="3:15">
      <c r="C178" s="90"/>
      <c r="D178" s="90"/>
      <c r="E178" s="90"/>
      <c r="F178" s="90"/>
      <c r="G178" s="90"/>
      <c r="H178" s="90"/>
      <c r="I178" s="90"/>
      <c r="J178" s="90"/>
      <c r="K178" s="90"/>
      <c r="L178" s="90"/>
      <c r="M178" s="90"/>
      <c r="N178" s="90"/>
      <c r="O178" s="90"/>
    </row>
    <row r="179" spans="3:15">
      <c r="C179" s="90"/>
      <c r="D179" s="90"/>
      <c r="E179" s="90"/>
      <c r="F179" s="90"/>
      <c r="G179" s="90"/>
      <c r="H179" s="90"/>
      <c r="I179" s="90"/>
      <c r="J179" s="90"/>
      <c r="K179" s="90"/>
      <c r="L179" s="90"/>
      <c r="M179" s="90"/>
      <c r="N179" s="90"/>
      <c r="O179" s="90"/>
    </row>
    <row r="180" spans="3:15">
      <c r="C180" s="90"/>
      <c r="D180" s="90"/>
      <c r="E180" s="90"/>
      <c r="F180" s="90"/>
      <c r="G180" s="90"/>
      <c r="H180" s="90"/>
      <c r="I180" s="90"/>
      <c r="J180" s="90"/>
      <c r="K180" s="90"/>
      <c r="L180" s="90"/>
      <c r="M180" s="90"/>
      <c r="N180" s="90"/>
      <c r="O180" s="90"/>
    </row>
    <row r="181" spans="3:15">
      <c r="C181" s="90"/>
      <c r="D181" s="90"/>
      <c r="E181" s="90"/>
      <c r="F181" s="90"/>
      <c r="G181" s="90"/>
      <c r="H181" s="90"/>
      <c r="I181" s="90"/>
      <c r="J181" s="90"/>
      <c r="K181" s="90"/>
      <c r="L181" s="90"/>
      <c r="M181" s="90"/>
      <c r="N181" s="90"/>
      <c r="O181" s="90"/>
    </row>
    <row r="182" spans="3:15">
      <c r="C182" s="90"/>
      <c r="D182" s="90"/>
      <c r="E182" s="90"/>
      <c r="F182" s="90"/>
      <c r="G182" s="90"/>
      <c r="H182" s="90"/>
      <c r="I182" s="90"/>
      <c r="J182" s="90"/>
      <c r="K182" s="90"/>
      <c r="L182" s="90"/>
      <c r="M182" s="90"/>
      <c r="N182" s="90"/>
      <c r="O182" s="90"/>
    </row>
    <row r="183" spans="3:15">
      <c r="C183" s="90"/>
      <c r="D183" s="90"/>
      <c r="E183" s="90"/>
      <c r="F183" s="90"/>
      <c r="G183" s="90"/>
      <c r="H183" s="90"/>
      <c r="I183" s="90"/>
      <c r="J183" s="90"/>
      <c r="K183" s="90"/>
      <c r="L183" s="90"/>
      <c r="M183" s="90"/>
      <c r="N183" s="90"/>
      <c r="O183" s="90"/>
    </row>
    <row r="184" spans="3:15">
      <c r="C184" s="90"/>
      <c r="D184" s="90"/>
      <c r="E184" s="90"/>
      <c r="F184" s="90"/>
      <c r="G184" s="90"/>
      <c r="H184" s="90"/>
      <c r="I184" s="90"/>
      <c r="J184" s="90"/>
      <c r="K184" s="90"/>
      <c r="L184" s="90"/>
      <c r="M184" s="90"/>
      <c r="N184" s="90"/>
      <c r="O184" s="90"/>
    </row>
    <row r="185" spans="3:15">
      <c r="C185" s="90"/>
      <c r="D185" s="90"/>
      <c r="E185" s="90"/>
      <c r="F185" s="90"/>
      <c r="G185" s="90"/>
      <c r="H185" s="90"/>
      <c r="I185" s="90"/>
      <c r="J185" s="90"/>
      <c r="K185" s="90"/>
      <c r="L185" s="90"/>
      <c r="M185" s="90"/>
      <c r="N185" s="90"/>
      <c r="O185" s="90"/>
    </row>
    <row r="186" spans="3:15">
      <c r="C186" s="90"/>
      <c r="D186" s="90"/>
      <c r="E186" s="90"/>
      <c r="F186" s="90"/>
      <c r="G186" s="90"/>
      <c r="H186" s="90"/>
      <c r="I186" s="90"/>
      <c r="J186" s="90"/>
      <c r="K186" s="90"/>
      <c r="L186" s="90"/>
      <c r="M186" s="90"/>
      <c r="N186" s="90"/>
      <c r="O186" s="90"/>
    </row>
    <row r="187" spans="3:15">
      <c r="C187" s="90"/>
      <c r="D187" s="90"/>
      <c r="E187" s="90"/>
      <c r="F187" s="90"/>
      <c r="G187" s="90"/>
      <c r="H187" s="90"/>
      <c r="I187" s="90"/>
      <c r="J187" s="90"/>
      <c r="K187" s="90"/>
      <c r="L187" s="90"/>
      <c r="M187" s="90"/>
      <c r="N187" s="90"/>
      <c r="O187" s="90"/>
    </row>
    <row r="188" spans="3:15">
      <c r="C188" s="90"/>
      <c r="D188" s="90"/>
      <c r="E188" s="90"/>
      <c r="F188" s="90"/>
      <c r="G188" s="90"/>
      <c r="H188" s="90"/>
      <c r="I188" s="90"/>
      <c r="J188" s="90"/>
      <c r="K188" s="90"/>
      <c r="L188" s="90"/>
      <c r="M188" s="90"/>
      <c r="N188" s="90"/>
      <c r="O188" s="90"/>
    </row>
    <row r="189" spans="3:15">
      <c r="C189" s="90"/>
      <c r="D189" s="90"/>
      <c r="E189" s="90"/>
      <c r="F189" s="90"/>
      <c r="G189" s="90"/>
      <c r="H189" s="90"/>
      <c r="I189" s="90"/>
      <c r="J189" s="90"/>
      <c r="K189" s="90"/>
      <c r="L189" s="90"/>
      <c r="M189" s="90"/>
      <c r="N189" s="90"/>
      <c r="O189" s="90"/>
    </row>
    <row r="190" spans="3:15">
      <c r="C190" s="90"/>
      <c r="D190" s="90"/>
      <c r="E190" s="90"/>
      <c r="F190" s="90"/>
      <c r="G190" s="90"/>
      <c r="H190" s="90"/>
      <c r="I190" s="90"/>
      <c r="J190" s="90"/>
      <c r="K190" s="90"/>
      <c r="L190" s="90"/>
      <c r="M190" s="90"/>
      <c r="N190" s="90"/>
      <c r="O190" s="90"/>
    </row>
    <row r="191" spans="3:15">
      <c r="C191" s="90"/>
      <c r="D191" s="90"/>
      <c r="E191" s="90"/>
      <c r="F191" s="90"/>
      <c r="G191" s="90"/>
      <c r="H191" s="90"/>
      <c r="I191" s="90"/>
      <c r="J191" s="90"/>
      <c r="K191" s="90"/>
      <c r="L191" s="90"/>
      <c r="M191" s="90"/>
      <c r="N191" s="90"/>
      <c r="O191" s="90"/>
    </row>
    <row r="192" spans="3:15">
      <c r="C192" s="90"/>
      <c r="D192" s="90"/>
      <c r="E192" s="90"/>
      <c r="F192" s="90"/>
      <c r="G192" s="90"/>
      <c r="H192" s="90"/>
      <c r="I192" s="90"/>
      <c r="J192" s="90"/>
      <c r="K192" s="90"/>
      <c r="L192" s="90"/>
      <c r="M192" s="90"/>
      <c r="N192" s="90"/>
      <c r="O192" s="90"/>
    </row>
    <row r="193" spans="3:15">
      <c r="C193" s="90"/>
      <c r="D193" s="90"/>
      <c r="E193" s="90"/>
      <c r="F193" s="90"/>
      <c r="G193" s="90"/>
      <c r="H193" s="90"/>
      <c r="I193" s="90"/>
      <c r="J193" s="90"/>
      <c r="K193" s="90"/>
      <c r="L193" s="90"/>
      <c r="M193" s="90"/>
      <c r="N193" s="90"/>
      <c r="O193" s="90"/>
    </row>
    <row r="194" spans="3:15">
      <c r="C194" s="90"/>
      <c r="D194" s="90"/>
      <c r="E194" s="90"/>
      <c r="F194" s="90"/>
      <c r="G194" s="90"/>
      <c r="H194" s="90"/>
      <c r="I194" s="90"/>
      <c r="J194" s="90"/>
      <c r="K194" s="90"/>
      <c r="L194" s="90"/>
      <c r="M194" s="90"/>
      <c r="N194" s="90"/>
      <c r="O194" s="90"/>
    </row>
    <row r="195" spans="3:15">
      <c r="C195" s="90"/>
      <c r="D195" s="90"/>
      <c r="E195" s="90"/>
      <c r="F195" s="90"/>
      <c r="G195" s="90"/>
      <c r="H195" s="90"/>
      <c r="I195" s="90"/>
      <c r="J195" s="90"/>
      <c r="K195" s="90"/>
      <c r="L195" s="90"/>
      <c r="M195" s="90"/>
      <c r="N195" s="90"/>
      <c r="O195" s="90"/>
    </row>
    <row r="196" spans="3:15">
      <c r="C196" s="90"/>
      <c r="D196" s="90"/>
      <c r="E196" s="90"/>
      <c r="F196" s="90"/>
      <c r="G196" s="90"/>
      <c r="H196" s="90"/>
      <c r="I196" s="90"/>
      <c r="J196" s="90"/>
      <c r="K196" s="90"/>
      <c r="L196" s="90"/>
      <c r="M196" s="90"/>
      <c r="N196" s="90"/>
      <c r="O196" s="90"/>
    </row>
    <row r="197" spans="3:15">
      <c r="C197" s="90"/>
      <c r="D197" s="90"/>
      <c r="E197" s="90"/>
      <c r="F197" s="90"/>
      <c r="G197" s="90"/>
      <c r="H197" s="90"/>
      <c r="I197" s="90"/>
      <c r="J197" s="90"/>
      <c r="K197" s="90"/>
      <c r="L197" s="90"/>
      <c r="M197" s="90"/>
      <c r="N197" s="90"/>
      <c r="O197" s="90"/>
    </row>
    <row r="198" spans="3:15">
      <c r="C198" s="90"/>
      <c r="D198" s="90"/>
      <c r="E198" s="90"/>
      <c r="F198" s="90"/>
      <c r="G198" s="90"/>
      <c r="H198" s="90"/>
      <c r="I198" s="90"/>
      <c r="J198" s="90"/>
      <c r="K198" s="90"/>
      <c r="L198" s="90"/>
      <c r="M198" s="90"/>
      <c r="N198" s="90"/>
      <c r="O198" s="90"/>
    </row>
    <row r="199" spans="3:15">
      <c r="C199" s="90"/>
      <c r="D199" s="90"/>
      <c r="E199" s="90"/>
      <c r="F199" s="90"/>
      <c r="G199" s="90"/>
      <c r="H199" s="90"/>
      <c r="I199" s="90"/>
      <c r="J199" s="90"/>
      <c r="K199" s="90"/>
      <c r="L199" s="90"/>
      <c r="M199" s="90"/>
      <c r="N199" s="90"/>
      <c r="O199" s="90"/>
    </row>
    <row r="200" spans="3:15">
      <c r="C200" s="90"/>
      <c r="D200" s="90"/>
      <c r="E200" s="90"/>
      <c r="F200" s="90"/>
      <c r="G200" s="90"/>
      <c r="H200" s="90"/>
      <c r="I200" s="90"/>
      <c r="J200" s="90"/>
      <c r="K200" s="90"/>
      <c r="L200" s="90"/>
      <c r="M200" s="90"/>
      <c r="N200" s="90"/>
      <c r="O200" s="90"/>
    </row>
    <row r="201" spans="3:15">
      <c r="C201" s="90"/>
      <c r="D201" s="90"/>
      <c r="E201" s="90"/>
      <c r="F201" s="90"/>
      <c r="G201" s="90"/>
      <c r="H201" s="90"/>
      <c r="I201" s="90"/>
      <c r="J201" s="90"/>
      <c r="K201" s="90"/>
      <c r="L201" s="90"/>
      <c r="M201" s="90"/>
      <c r="N201" s="90"/>
      <c r="O201" s="90"/>
    </row>
    <row r="202" spans="3:15">
      <c r="C202" s="90"/>
      <c r="D202" s="90"/>
      <c r="E202" s="90"/>
      <c r="F202" s="90"/>
      <c r="G202" s="90"/>
      <c r="H202" s="90"/>
      <c r="I202" s="90"/>
      <c r="J202" s="90"/>
      <c r="K202" s="90"/>
      <c r="L202" s="90"/>
      <c r="M202" s="90"/>
      <c r="N202" s="90"/>
      <c r="O202" s="90"/>
    </row>
    <row r="203" spans="3:15">
      <c r="C203" s="90"/>
      <c r="D203" s="90"/>
      <c r="E203" s="90"/>
      <c r="F203" s="90"/>
      <c r="G203" s="90"/>
      <c r="H203" s="90"/>
      <c r="I203" s="90"/>
      <c r="J203" s="90"/>
      <c r="K203" s="90"/>
      <c r="L203" s="90"/>
      <c r="M203" s="90"/>
      <c r="N203" s="90"/>
      <c r="O203" s="90"/>
    </row>
    <row r="204" spans="3:15">
      <c r="C204" s="90"/>
      <c r="D204" s="90"/>
      <c r="E204" s="90"/>
      <c r="F204" s="90"/>
      <c r="G204" s="90"/>
      <c r="H204" s="90"/>
      <c r="I204" s="90"/>
      <c r="J204" s="90"/>
      <c r="K204" s="90"/>
      <c r="L204" s="90"/>
      <c r="M204" s="90"/>
      <c r="N204" s="90"/>
      <c r="O204" s="90"/>
    </row>
    <row r="205" spans="3:15">
      <c r="C205" s="90"/>
      <c r="D205" s="90"/>
      <c r="E205" s="90"/>
      <c r="F205" s="90"/>
      <c r="G205" s="90"/>
      <c r="H205" s="90"/>
      <c r="I205" s="90"/>
      <c r="J205" s="90"/>
      <c r="K205" s="90"/>
      <c r="L205" s="90"/>
      <c r="M205" s="90"/>
      <c r="N205" s="90"/>
      <c r="O205" s="90"/>
    </row>
    <row r="206" spans="3:15">
      <c r="C206" s="90"/>
      <c r="D206" s="90"/>
      <c r="E206" s="90"/>
      <c r="F206" s="90"/>
      <c r="G206" s="90"/>
      <c r="H206" s="90"/>
      <c r="I206" s="90"/>
      <c r="J206" s="90"/>
      <c r="K206" s="90"/>
      <c r="L206" s="90"/>
      <c r="M206" s="90"/>
      <c r="N206" s="90"/>
      <c r="O206" s="90"/>
    </row>
    <row r="207" spans="3:15">
      <c r="C207" s="90"/>
      <c r="D207" s="90"/>
      <c r="E207" s="90"/>
      <c r="F207" s="90"/>
      <c r="G207" s="90"/>
      <c r="H207" s="90"/>
      <c r="I207" s="90"/>
      <c r="J207" s="90"/>
      <c r="K207" s="90"/>
      <c r="L207" s="90"/>
      <c r="M207" s="90"/>
      <c r="N207" s="90"/>
      <c r="O207" s="90"/>
    </row>
    <row r="208" spans="3:15">
      <c r="C208" s="90"/>
      <c r="D208" s="90"/>
      <c r="E208" s="90"/>
      <c r="F208" s="90"/>
      <c r="G208" s="90"/>
      <c r="H208" s="90"/>
      <c r="I208" s="90"/>
      <c r="J208" s="90"/>
      <c r="K208" s="90"/>
      <c r="L208" s="90"/>
      <c r="M208" s="90"/>
      <c r="N208" s="90"/>
      <c r="O208" s="90"/>
    </row>
    <row r="209" spans="3:15">
      <c r="C209" s="90"/>
      <c r="D209" s="90"/>
      <c r="E209" s="90"/>
      <c r="F209" s="90"/>
      <c r="G209" s="90"/>
      <c r="H209" s="90"/>
      <c r="I209" s="90"/>
      <c r="J209" s="90"/>
      <c r="K209" s="90"/>
      <c r="L209" s="90"/>
      <c r="M209" s="90"/>
      <c r="N209" s="90"/>
      <c r="O209" s="90"/>
    </row>
    <row r="210" spans="3:15">
      <c r="C210" s="90"/>
      <c r="D210" s="90"/>
      <c r="E210" s="90"/>
      <c r="F210" s="90"/>
      <c r="G210" s="90"/>
      <c r="H210" s="90"/>
      <c r="I210" s="90"/>
      <c r="J210" s="90"/>
      <c r="K210" s="90"/>
      <c r="L210" s="90"/>
      <c r="M210" s="90"/>
      <c r="N210" s="90"/>
      <c r="O210" s="90"/>
    </row>
    <row r="211" spans="3:15">
      <c r="C211" s="90"/>
      <c r="D211" s="90"/>
      <c r="E211" s="90"/>
      <c r="F211" s="90"/>
      <c r="G211" s="90"/>
      <c r="H211" s="90"/>
      <c r="I211" s="90"/>
      <c r="J211" s="90"/>
      <c r="K211" s="90"/>
      <c r="L211" s="90"/>
      <c r="M211" s="90"/>
      <c r="N211" s="90"/>
      <c r="O211" s="90"/>
    </row>
    <row r="212" spans="3:15">
      <c r="C212" s="90"/>
      <c r="D212" s="90"/>
      <c r="E212" s="90"/>
      <c r="F212" s="90"/>
      <c r="G212" s="90"/>
      <c r="H212" s="90"/>
      <c r="I212" s="90"/>
      <c r="J212" s="90"/>
      <c r="K212" s="90"/>
      <c r="L212" s="90"/>
      <c r="M212" s="90"/>
      <c r="N212" s="90"/>
      <c r="O212" s="90"/>
    </row>
    <row r="213" spans="3:15">
      <c r="C213" s="90"/>
      <c r="D213" s="90"/>
      <c r="E213" s="90"/>
      <c r="F213" s="90"/>
      <c r="G213" s="90"/>
      <c r="H213" s="90"/>
      <c r="I213" s="90"/>
      <c r="J213" s="90"/>
      <c r="K213" s="90"/>
      <c r="L213" s="90"/>
      <c r="M213" s="90"/>
      <c r="N213" s="90"/>
      <c r="O213" s="90"/>
    </row>
    <row r="214" spans="3:15">
      <c r="C214" s="90"/>
      <c r="D214" s="90"/>
      <c r="E214" s="90"/>
      <c r="F214" s="90"/>
      <c r="G214" s="90"/>
      <c r="H214" s="90"/>
      <c r="I214" s="90"/>
      <c r="J214" s="90"/>
      <c r="K214" s="90"/>
      <c r="L214" s="90"/>
      <c r="M214" s="90"/>
      <c r="N214" s="90"/>
      <c r="O214" s="90"/>
    </row>
    <row r="215" spans="3:15">
      <c r="C215" s="90"/>
      <c r="D215" s="90"/>
      <c r="E215" s="90"/>
      <c r="F215" s="90"/>
      <c r="G215" s="90"/>
      <c r="H215" s="90"/>
      <c r="I215" s="90"/>
      <c r="J215" s="90"/>
      <c r="K215" s="90"/>
      <c r="L215" s="90"/>
      <c r="M215" s="90"/>
      <c r="N215" s="90"/>
      <c r="O215" s="90"/>
    </row>
    <row r="216" spans="3:15">
      <c r="C216" s="90"/>
      <c r="D216" s="90"/>
      <c r="E216" s="90"/>
      <c r="F216" s="90"/>
      <c r="G216" s="90"/>
      <c r="H216" s="90"/>
      <c r="I216" s="90"/>
      <c r="J216" s="90"/>
      <c r="K216" s="90"/>
      <c r="L216" s="90"/>
      <c r="M216" s="90"/>
      <c r="N216" s="90"/>
      <c r="O216" s="90"/>
    </row>
    <row r="217" spans="3:15">
      <c r="C217" s="90"/>
      <c r="D217" s="90"/>
      <c r="E217" s="90"/>
      <c r="F217" s="90"/>
      <c r="G217" s="90"/>
      <c r="H217" s="90"/>
      <c r="I217" s="90"/>
      <c r="J217" s="90"/>
      <c r="K217" s="90"/>
      <c r="L217" s="90"/>
      <c r="M217" s="90"/>
      <c r="N217" s="90"/>
      <c r="O217" s="90"/>
    </row>
    <row r="218" spans="3:15">
      <c r="C218" s="90"/>
      <c r="D218" s="90"/>
      <c r="E218" s="90"/>
      <c r="F218" s="90"/>
      <c r="G218" s="90"/>
      <c r="H218" s="90"/>
      <c r="I218" s="90"/>
      <c r="J218" s="90"/>
      <c r="K218" s="90"/>
      <c r="L218" s="90"/>
      <c r="M218" s="90"/>
      <c r="N218" s="90"/>
      <c r="O218" s="90"/>
    </row>
    <row r="219" spans="3:15">
      <c r="C219" s="90"/>
      <c r="D219" s="90"/>
      <c r="E219" s="90"/>
      <c r="F219" s="90"/>
      <c r="G219" s="90"/>
      <c r="H219" s="90"/>
      <c r="I219" s="90"/>
      <c r="J219" s="90"/>
      <c r="K219" s="90"/>
      <c r="L219" s="90"/>
      <c r="M219" s="90"/>
      <c r="N219" s="90"/>
      <c r="O219" s="90"/>
    </row>
    <row r="220" spans="3:15">
      <c r="C220" s="90"/>
      <c r="D220" s="90"/>
      <c r="E220" s="90"/>
      <c r="F220" s="90"/>
      <c r="G220" s="90"/>
      <c r="H220" s="90"/>
      <c r="I220" s="90"/>
      <c r="J220" s="90"/>
      <c r="K220" s="90"/>
      <c r="L220" s="90"/>
      <c r="M220" s="90"/>
      <c r="N220" s="90"/>
      <c r="O220" s="90"/>
    </row>
    <row r="221" spans="3:15">
      <c r="C221" s="90"/>
      <c r="D221" s="90"/>
      <c r="E221" s="90"/>
      <c r="F221" s="90"/>
      <c r="G221" s="90"/>
      <c r="H221" s="90"/>
      <c r="I221" s="90"/>
      <c r="J221" s="90"/>
      <c r="K221" s="90"/>
      <c r="L221" s="90"/>
      <c r="M221" s="90"/>
      <c r="N221" s="90"/>
      <c r="O221" s="90"/>
    </row>
    <row r="222" spans="3:15">
      <c r="C222" s="90"/>
      <c r="D222" s="90"/>
      <c r="E222" s="90"/>
      <c r="F222" s="90"/>
      <c r="G222" s="90"/>
      <c r="H222" s="90"/>
      <c r="I222" s="90"/>
      <c r="J222" s="90"/>
      <c r="K222" s="90"/>
      <c r="L222" s="90"/>
      <c r="M222" s="90"/>
      <c r="N222" s="90"/>
      <c r="O222" s="90"/>
    </row>
    <row r="223" spans="3:15">
      <c r="C223" s="90"/>
      <c r="D223" s="90"/>
      <c r="E223" s="90"/>
      <c r="F223" s="90"/>
      <c r="G223" s="90"/>
      <c r="H223" s="90"/>
      <c r="I223" s="90"/>
      <c r="J223" s="90"/>
      <c r="K223" s="90"/>
      <c r="L223" s="90"/>
      <c r="M223" s="90"/>
      <c r="N223" s="90"/>
      <c r="O223" s="90"/>
    </row>
    <row r="224" spans="3:15">
      <c r="C224" s="90"/>
      <c r="D224" s="90"/>
      <c r="E224" s="90"/>
      <c r="F224" s="90"/>
      <c r="G224" s="90"/>
      <c r="H224" s="90"/>
      <c r="I224" s="90"/>
      <c r="J224" s="90"/>
      <c r="K224" s="90"/>
      <c r="L224" s="90"/>
      <c r="M224" s="90"/>
      <c r="N224" s="90"/>
      <c r="O224" s="90"/>
    </row>
    <row r="225" spans="3:15">
      <c r="C225" s="90"/>
      <c r="D225" s="90"/>
      <c r="E225" s="90"/>
      <c r="F225" s="90"/>
      <c r="G225" s="90"/>
      <c r="H225" s="90"/>
      <c r="I225" s="90"/>
      <c r="J225" s="90"/>
      <c r="K225" s="90"/>
      <c r="L225" s="90"/>
      <c r="M225" s="90"/>
      <c r="N225" s="90"/>
      <c r="O225" s="90"/>
    </row>
    <row r="226" spans="3:15">
      <c r="C226" s="90"/>
      <c r="D226" s="90"/>
      <c r="E226" s="90"/>
      <c r="F226" s="90"/>
      <c r="G226" s="90"/>
      <c r="H226" s="90"/>
      <c r="I226" s="90"/>
      <c r="J226" s="90"/>
      <c r="K226" s="90"/>
      <c r="L226" s="90"/>
      <c r="M226" s="90"/>
      <c r="N226" s="90"/>
      <c r="O226" s="90"/>
    </row>
    <row r="227" spans="3:15">
      <c r="C227" s="90"/>
      <c r="D227" s="90"/>
      <c r="E227" s="90"/>
      <c r="F227" s="90"/>
      <c r="G227" s="90"/>
      <c r="H227" s="90"/>
      <c r="I227" s="90"/>
      <c r="J227" s="90"/>
      <c r="K227" s="90"/>
      <c r="L227" s="90"/>
      <c r="M227" s="90"/>
      <c r="N227" s="90"/>
      <c r="O227" s="90"/>
    </row>
    <row r="228" spans="3:15">
      <c r="C228" s="90"/>
      <c r="D228" s="90"/>
      <c r="E228" s="90"/>
      <c r="F228" s="90"/>
      <c r="G228" s="90"/>
      <c r="H228" s="90"/>
      <c r="I228" s="90"/>
      <c r="J228" s="90"/>
      <c r="K228" s="90"/>
      <c r="L228" s="90"/>
      <c r="M228" s="90"/>
      <c r="N228" s="90"/>
      <c r="O228" s="90"/>
    </row>
    <row r="229" spans="3:15">
      <c r="C229" s="90"/>
      <c r="D229" s="90"/>
      <c r="E229" s="90"/>
      <c r="F229" s="90"/>
      <c r="G229" s="90"/>
      <c r="H229" s="90"/>
      <c r="I229" s="90"/>
      <c r="J229" s="90"/>
      <c r="K229" s="90"/>
      <c r="L229" s="90"/>
      <c r="M229" s="90"/>
      <c r="N229" s="90"/>
      <c r="O229" s="90"/>
    </row>
    <row r="230" spans="3:15">
      <c r="C230" s="90"/>
      <c r="D230" s="90"/>
      <c r="E230" s="90"/>
      <c r="F230" s="90"/>
      <c r="G230" s="90"/>
      <c r="H230" s="90"/>
      <c r="I230" s="90"/>
      <c r="J230" s="90"/>
      <c r="K230" s="90"/>
      <c r="L230" s="90"/>
      <c r="M230" s="90"/>
      <c r="N230" s="90"/>
      <c r="O230" s="90"/>
    </row>
    <row r="231" spans="3:15">
      <c r="C231" s="90"/>
      <c r="D231" s="90"/>
      <c r="E231" s="90"/>
      <c r="F231" s="90"/>
      <c r="G231" s="90"/>
      <c r="H231" s="90"/>
      <c r="I231" s="90"/>
      <c r="J231" s="90"/>
      <c r="K231" s="90"/>
      <c r="L231" s="90"/>
      <c r="M231" s="90"/>
      <c r="N231" s="90"/>
      <c r="O231" s="90"/>
    </row>
    <row r="232" spans="3:15">
      <c r="C232" s="90"/>
      <c r="D232" s="90"/>
      <c r="E232" s="90"/>
      <c r="F232" s="90"/>
      <c r="G232" s="90"/>
      <c r="H232" s="90"/>
      <c r="I232" s="90"/>
      <c r="J232" s="90"/>
      <c r="K232" s="90"/>
      <c r="L232" s="90"/>
      <c r="M232" s="90"/>
      <c r="N232" s="90"/>
      <c r="O232" s="90"/>
    </row>
    <row r="233" spans="3:15">
      <c r="C233" s="90"/>
      <c r="D233" s="90"/>
      <c r="E233" s="90"/>
      <c r="F233" s="90"/>
      <c r="G233" s="90"/>
      <c r="H233" s="90"/>
      <c r="I233" s="90"/>
      <c r="J233" s="90"/>
      <c r="K233" s="90"/>
      <c r="L233" s="90"/>
      <c r="M233" s="90"/>
      <c r="N233" s="90"/>
      <c r="O233" s="90"/>
    </row>
    <row r="234" spans="3:15">
      <c r="C234" s="90"/>
      <c r="D234" s="90"/>
      <c r="E234" s="90"/>
      <c r="F234" s="90"/>
      <c r="G234" s="90"/>
      <c r="H234" s="90"/>
      <c r="I234" s="90"/>
      <c r="J234" s="90"/>
      <c r="K234" s="90"/>
      <c r="L234" s="90"/>
      <c r="M234" s="90"/>
      <c r="N234" s="90"/>
      <c r="O234" s="90"/>
    </row>
    <row r="235" spans="3:15">
      <c r="C235" s="90"/>
      <c r="D235" s="90"/>
      <c r="E235" s="90"/>
      <c r="F235" s="90"/>
      <c r="G235" s="90"/>
      <c r="H235" s="90"/>
      <c r="I235" s="90"/>
      <c r="J235" s="90"/>
      <c r="K235" s="90"/>
      <c r="L235" s="90"/>
      <c r="M235" s="90"/>
      <c r="N235" s="90"/>
      <c r="O235" s="90"/>
    </row>
    <row r="236" spans="3:15">
      <c r="C236" s="90"/>
      <c r="D236" s="90"/>
      <c r="E236" s="90"/>
      <c r="F236" s="90"/>
      <c r="G236" s="90"/>
      <c r="H236" s="90"/>
      <c r="I236" s="90"/>
      <c r="J236" s="90"/>
      <c r="K236" s="90"/>
      <c r="L236" s="90"/>
      <c r="M236" s="90"/>
      <c r="N236" s="90"/>
      <c r="O236" s="90"/>
    </row>
    <row r="237" spans="3:15">
      <c r="C237" s="90"/>
      <c r="D237" s="90"/>
      <c r="E237" s="90"/>
      <c r="F237" s="90"/>
      <c r="G237" s="90"/>
      <c r="H237" s="90"/>
      <c r="I237" s="90"/>
      <c r="J237" s="90"/>
      <c r="K237" s="90"/>
      <c r="L237" s="90"/>
      <c r="M237" s="90"/>
      <c r="N237" s="90"/>
      <c r="O237" s="90"/>
    </row>
    <row r="238" spans="3:15">
      <c r="C238" s="90"/>
      <c r="D238" s="90"/>
      <c r="E238" s="90"/>
      <c r="F238" s="90"/>
      <c r="G238" s="90"/>
      <c r="H238" s="90"/>
      <c r="I238" s="90"/>
      <c r="J238" s="90"/>
      <c r="K238" s="90"/>
      <c r="L238" s="90"/>
      <c r="M238" s="90"/>
      <c r="N238" s="90"/>
      <c r="O238" s="90"/>
    </row>
    <row r="239" spans="3:15">
      <c r="C239" s="90"/>
      <c r="D239" s="90"/>
      <c r="E239" s="90"/>
      <c r="F239" s="90"/>
      <c r="G239" s="90"/>
      <c r="H239" s="90"/>
      <c r="I239" s="90"/>
      <c r="J239" s="90"/>
      <c r="K239" s="90"/>
      <c r="L239" s="90"/>
      <c r="M239" s="90"/>
      <c r="N239" s="90"/>
      <c r="O239" s="90"/>
    </row>
    <row r="240" spans="3:15">
      <c r="C240" s="90"/>
      <c r="D240" s="90"/>
      <c r="E240" s="90"/>
      <c r="F240" s="90"/>
      <c r="G240" s="90"/>
      <c r="H240" s="90"/>
      <c r="I240" s="90"/>
      <c r="J240" s="90"/>
      <c r="K240" s="90"/>
      <c r="L240" s="90"/>
      <c r="M240" s="90"/>
      <c r="N240" s="90"/>
      <c r="O240" s="90"/>
    </row>
    <row r="241" spans="3:15">
      <c r="C241" s="90"/>
      <c r="D241" s="90"/>
      <c r="E241" s="90"/>
      <c r="F241" s="90"/>
      <c r="G241" s="90"/>
      <c r="H241" s="90"/>
      <c r="I241" s="90"/>
      <c r="J241" s="90"/>
      <c r="K241" s="90"/>
      <c r="L241" s="90"/>
      <c r="M241" s="90"/>
      <c r="N241" s="90"/>
      <c r="O241" s="90"/>
    </row>
    <row r="242" spans="3:15">
      <c r="C242" s="90"/>
      <c r="D242" s="90"/>
      <c r="E242" s="90"/>
      <c r="F242" s="90"/>
      <c r="G242" s="90"/>
      <c r="H242" s="90"/>
      <c r="I242" s="90"/>
      <c r="J242" s="90"/>
      <c r="K242" s="90"/>
      <c r="L242" s="90"/>
      <c r="M242" s="90"/>
      <c r="N242" s="90"/>
      <c r="O242" s="90"/>
    </row>
    <row r="243" spans="3:15">
      <c r="C243" s="90"/>
      <c r="D243" s="90"/>
      <c r="E243" s="90"/>
      <c r="F243" s="90"/>
      <c r="G243" s="90"/>
      <c r="H243" s="90"/>
      <c r="I243" s="90"/>
      <c r="J243" s="90"/>
      <c r="K243" s="90"/>
      <c r="L243" s="90"/>
      <c r="M243" s="90"/>
      <c r="N243" s="90"/>
      <c r="O243" s="90"/>
    </row>
    <row r="244" spans="3:15">
      <c r="C244" s="90"/>
      <c r="D244" s="90"/>
      <c r="E244" s="90"/>
      <c r="F244" s="90"/>
      <c r="G244" s="90"/>
      <c r="H244" s="90"/>
      <c r="I244" s="90"/>
      <c r="J244" s="90"/>
      <c r="K244" s="90"/>
      <c r="L244" s="90"/>
      <c r="M244" s="90"/>
      <c r="N244" s="90"/>
      <c r="O244" s="90"/>
    </row>
    <row r="245" spans="3:15">
      <c r="C245" s="90"/>
      <c r="D245" s="90"/>
      <c r="E245" s="90"/>
      <c r="F245" s="90"/>
      <c r="G245" s="90"/>
      <c r="H245" s="90"/>
      <c r="I245" s="90"/>
      <c r="J245" s="90"/>
      <c r="K245" s="90"/>
      <c r="L245" s="90"/>
      <c r="M245" s="90"/>
      <c r="N245" s="90"/>
      <c r="O245" s="90"/>
    </row>
    <row r="246" spans="3:15">
      <c r="C246" s="90"/>
      <c r="D246" s="90"/>
      <c r="E246" s="90"/>
      <c r="F246" s="90"/>
      <c r="G246" s="90"/>
      <c r="H246" s="90"/>
      <c r="I246" s="90"/>
      <c r="J246" s="90"/>
      <c r="K246" s="90"/>
      <c r="L246" s="90"/>
      <c r="M246" s="90"/>
      <c r="N246" s="90"/>
      <c r="O246" s="90"/>
    </row>
    <row r="247" spans="3:15">
      <c r="C247" s="90"/>
      <c r="D247" s="90"/>
      <c r="E247" s="90"/>
      <c r="F247" s="90"/>
      <c r="G247" s="90"/>
      <c r="H247" s="90"/>
      <c r="I247" s="90"/>
      <c r="J247" s="90"/>
      <c r="K247" s="90"/>
      <c r="L247" s="90"/>
      <c r="M247" s="90"/>
      <c r="N247" s="90"/>
      <c r="O247" s="90"/>
    </row>
    <row r="248" spans="3:15">
      <c r="C248" s="90"/>
      <c r="D248" s="90"/>
      <c r="E248" s="90"/>
      <c r="F248" s="90"/>
      <c r="G248" s="90"/>
      <c r="H248" s="90"/>
      <c r="I248" s="90"/>
      <c r="J248" s="90"/>
      <c r="K248" s="90"/>
      <c r="L248" s="90"/>
      <c r="M248" s="90"/>
      <c r="N248" s="90"/>
      <c r="O248" s="90"/>
    </row>
    <row r="249" spans="3:15">
      <c r="C249" s="90"/>
      <c r="D249" s="90"/>
      <c r="E249" s="90"/>
      <c r="F249" s="90"/>
      <c r="G249" s="90"/>
      <c r="H249" s="90"/>
      <c r="I249" s="90"/>
      <c r="J249" s="90"/>
      <c r="K249" s="90"/>
      <c r="L249" s="90"/>
      <c r="M249" s="90"/>
      <c r="N249" s="90"/>
      <c r="O249" s="90"/>
    </row>
    <row r="250" spans="3:15">
      <c r="C250" s="90"/>
      <c r="D250" s="90"/>
      <c r="E250" s="90"/>
      <c r="F250" s="90"/>
      <c r="G250" s="90"/>
      <c r="H250" s="90"/>
      <c r="I250" s="90"/>
      <c r="J250" s="90"/>
      <c r="K250" s="90"/>
      <c r="L250" s="90"/>
      <c r="M250" s="90"/>
      <c r="N250" s="90"/>
      <c r="O250" s="90"/>
    </row>
    <row r="251" spans="3:15">
      <c r="C251" s="90"/>
      <c r="D251" s="90"/>
      <c r="E251" s="90"/>
      <c r="F251" s="90"/>
      <c r="G251" s="90"/>
      <c r="H251" s="90"/>
      <c r="I251" s="90"/>
      <c r="J251" s="90"/>
      <c r="K251" s="90"/>
      <c r="L251" s="90"/>
      <c r="M251" s="90"/>
      <c r="N251" s="90"/>
      <c r="O251" s="90"/>
    </row>
    <row r="252" spans="3:15">
      <c r="C252" s="90"/>
      <c r="D252" s="90"/>
      <c r="E252" s="90"/>
      <c r="F252" s="90"/>
      <c r="G252" s="90"/>
      <c r="H252" s="90"/>
      <c r="I252" s="90"/>
      <c r="J252" s="90"/>
      <c r="K252" s="90"/>
      <c r="L252" s="90"/>
      <c r="M252" s="90"/>
      <c r="N252" s="90"/>
      <c r="O252" s="90"/>
    </row>
    <row r="253" spans="3:15">
      <c r="C253" s="90"/>
      <c r="D253" s="90"/>
      <c r="E253" s="90"/>
      <c r="F253" s="90"/>
      <c r="G253" s="90"/>
      <c r="H253" s="90"/>
      <c r="I253" s="90"/>
      <c r="J253" s="90"/>
      <c r="K253" s="90"/>
      <c r="L253" s="90"/>
      <c r="M253" s="90"/>
      <c r="N253" s="90"/>
      <c r="O253" s="90"/>
    </row>
    <row r="254" spans="3:15">
      <c r="C254" s="90"/>
      <c r="D254" s="90"/>
      <c r="E254" s="90"/>
      <c r="F254" s="90"/>
      <c r="G254" s="90"/>
      <c r="H254" s="90"/>
      <c r="I254" s="90"/>
      <c r="J254" s="90"/>
      <c r="K254" s="90"/>
      <c r="L254" s="90"/>
      <c r="M254" s="90"/>
      <c r="N254" s="90"/>
      <c r="O254" s="90"/>
    </row>
    <row r="255" spans="3:15">
      <c r="C255" s="90"/>
      <c r="D255" s="90"/>
      <c r="E255" s="90"/>
      <c r="F255" s="90"/>
      <c r="G255" s="90"/>
      <c r="H255" s="90"/>
      <c r="I255" s="90"/>
      <c r="J255" s="90"/>
      <c r="K255" s="90"/>
      <c r="L255" s="90"/>
      <c r="M255" s="90"/>
      <c r="N255" s="90"/>
      <c r="O255" s="90"/>
    </row>
    <row r="256" spans="3:15">
      <c r="C256" s="90"/>
      <c r="D256" s="90"/>
      <c r="E256" s="90"/>
      <c r="F256" s="90"/>
      <c r="G256" s="90"/>
      <c r="H256" s="90"/>
      <c r="I256" s="90"/>
      <c r="J256" s="90"/>
      <c r="K256" s="90"/>
      <c r="L256" s="90"/>
      <c r="M256" s="90"/>
      <c r="N256" s="90"/>
      <c r="O256" s="90"/>
    </row>
    <row r="257" spans="3:15">
      <c r="C257" s="90"/>
      <c r="D257" s="90"/>
      <c r="E257" s="90"/>
      <c r="F257" s="90"/>
      <c r="G257" s="90"/>
      <c r="H257" s="90"/>
      <c r="I257" s="90"/>
      <c r="J257" s="90"/>
      <c r="K257" s="90"/>
      <c r="L257" s="90"/>
      <c r="M257" s="90"/>
      <c r="N257" s="90"/>
      <c r="O257" s="90"/>
    </row>
    <row r="258" spans="3:15">
      <c r="C258" s="90"/>
      <c r="D258" s="90"/>
      <c r="E258" s="90"/>
      <c r="F258" s="90"/>
      <c r="G258" s="90"/>
      <c r="H258" s="90"/>
      <c r="I258" s="90"/>
      <c r="J258" s="90"/>
      <c r="K258" s="90"/>
      <c r="L258" s="90"/>
      <c r="M258" s="90"/>
      <c r="N258" s="90"/>
      <c r="O258" s="90"/>
    </row>
    <row r="259" spans="3:15">
      <c r="C259" s="90"/>
      <c r="D259" s="90"/>
      <c r="E259" s="90"/>
      <c r="F259" s="90"/>
      <c r="G259" s="90"/>
      <c r="H259" s="90"/>
      <c r="I259" s="90"/>
      <c r="J259" s="90"/>
      <c r="K259" s="90"/>
      <c r="L259" s="90"/>
      <c r="M259" s="90"/>
      <c r="N259" s="90"/>
      <c r="O259" s="90"/>
    </row>
    <row r="260" spans="3:15">
      <c r="C260" s="90"/>
      <c r="D260" s="90"/>
      <c r="E260" s="90"/>
      <c r="F260" s="90"/>
      <c r="G260" s="90"/>
      <c r="H260" s="90"/>
      <c r="I260" s="90"/>
      <c r="J260" s="90"/>
      <c r="K260" s="90"/>
      <c r="L260" s="90"/>
      <c r="M260" s="90"/>
      <c r="N260" s="90"/>
      <c r="O260" s="90"/>
    </row>
    <row r="261" spans="3:15">
      <c r="C261" s="90"/>
      <c r="D261" s="90"/>
      <c r="E261" s="90"/>
      <c r="F261" s="90"/>
      <c r="G261" s="90"/>
      <c r="H261" s="90"/>
      <c r="I261" s="90"/>
      <c r="J261" s="90"/>
      <c r="K261" s="90"/>
      <c r="L261" s="90"/>
      <c r="M261" s="90"/>
      <c r="N261" s="90"/>
      <c r="O261" s="90"/>
    </row>
    <row r="262" spans="3:15">
      <c r="C262" s="90"/>
      <c r="D262" s="90"/>
      <c r="E262" s="90"/>
      <c r="F262" s="90"/>
      <c r="G262" s="90"/>
      <c r="H262" s="90"/>
      <c r="I262" s="90"/>
      <c r="J262" s="90"/>
      <c r="K262" s="90"/>
      <c r="L262" s="90"/>
      <c r="M262" s="90"/>
      <c r="N262" s="90"/>
      <c r="O262" s="90"/>
    </row>
    <row r="263" spans="3:15">
      <c r="C263" s="90"/>
      <c r="D263" s="90"/>
      <c r="E263" s="90"/>
      <c r="F263" s="90"/>
      <c r="G263" s="90"/>
      <c r="H263" s="90"/>
      <c r="I263" s="90"/>
      <c r="J263" s="90"/>
      <c r="K263" s="90"/>
      <c r="L263" s="90"/>
      <c r="M263" s="90"/>
      <c r="N263" s="90"/>
      <c r="O263" s="90"/>
    </row>
    <row r="264" spans="3:15">
      <c r="C264" s="90"/>
      <c r="D264" s="90"/>
      <c r="E264" s="90"/>
      <c r="F264" s="90"/>
      <c r="G264" s="90"/>
      <c r="H264" s="90"/>
      <c r="I264" s="90"/>
      <c r="J264" s="90"/>
      <c r="K264" s="90"/>
      <c r="L264" s="90"/>
      <c r="M264" s="90"/>
      <c r="N264" s="90"/>
      <c r="O264" s="90"/>
    </row>
    <row r="265" spans="3:15">
      <c r="C265" s="90"/>
      <c r="D265" s="90"/>
      <c r="E265" s="90"/>
      <c r="F265" s="90"/>
      <c r="G265" s="90"/>
      <c r="H265" s="90"/>
      <c r="I265" s="90"/>
      <c r="J265" s="90"/>
      <c r="K265" s="90"/>
      <c r="L265" s="90"/>
      <c r="M265" s="90"/>
      <c r="N265" s="90"/>
      <c r="O265" s="90"/>
    </row>
    <row r="266" spans="3:15">
      <c r="C266" s="90"/>
      <c r="D266" s="90"/>
      <c r="E266" s="90"/>
      <c r="F266" s="90"/>
      <c r="G266" s="90"/>
      <c r="H266" s="90"/>
      <c r="I266" s="90"/>
      <c r="J266" s="90"/>
      <c r="K266" s="90"/>
      <c r="L266" s="90"/>
      <c r="M266" s="90"/>
      <c r="N266" s="90"/>
      <c r="O266" s="90"/>
    </row>
    <row r="267" spans="3:15">
      <c r="C267" s="90"/>
      <c r="D267" s="90"/>
      <c r="E267" s="90"/>
      <c r="F267" s="90"/>
      <c r="G267" s="90"/>
      <c r="H267" s="90"/>
      <c r="I267" s="90"/>
      <c r="J267" s="90"/>
      <c r="K267" s="90"/>
      <c r="L267" s="90"/>
      <c r="M267" s="90"/>
      <c r="N267" s="90"/>
      <c r="O267" s="90"/>
    </row>
    <row r="268" spans="3:15">
      <c r="C268" s="90"/>
      <c r="D268" s="90"/>
      <c r="E268" s="90"/>
      <c r="F268" s="90"/>
      <c r="G268" s="90"/>
      <c r="H268" s="90"/>
      <c r="I268" s="90"/>
      <c r="J268" s="90"/>
      <c r="K268" s="90"/>
      <c r="L268" s="90"/>
      <c r="M268" s="90"/>
      <c r="N268" s="90"/>
      <c r="O268" s="90"/>
    </row>
    <row r="269" spans="3:15">
      <c r="C269" s="90"/>
      <c r="D269" s="90"/>
      <c r="E269" s="90"/>
      <c r="F269" s="90"/>
      <c r="G269" s="90"/>
      <c r="H269" s="90"/>
      <c r="I269" s="90"/>
      <c r="J269" s="90"/>
      <c r="K269" s="90"/>
      <c r="L269" s="90"/>
      <c r="M269" s="90"/>
      <c r="N269" s="90"/>
      <c r="O269" s="90"/>
    </row>
    <row r="270" spans="3:15">
      <c r="C270" s="90"/>
      <c r="D270" s="90"/>
      <c r="E270" s="90"/>
      <c r="F270" s="90"/>
      <c r="G270" s="90"/>
      <c r="H270" s="90"/>
      <c r="I270" s="90"/>
      <c r="J270" s="90"/>
      <c r="K270" s="90"/>
      <c r="L270" s="90"/>
      <c r="M270" s="90"/>
      <c r="N270" s="90"/>
      <c r="O270" s="90"/>
    </row>
    <row r="271" spans="3:15">
      <c r="C271" s="90"/>
      <c r="D271" s="90"/>
      <c r="E271" s="90"/>
      <c r="F271" s="90"/>
      <c r="G271" s="90"/>
      <c r="H271" s="90"/>
      <c r="I271" s="90"/>
      <c r="J271" s="90"/>
      <c r="K271" s="90"/>
      <c r="L271" s="90"/>
      <c r="M271" s="90"/>
      <c r="N271" s="90"/>
      <c r="O271" s="90"/>
    </row>
    <row r="272" spans="3:15">
      <c r="C272" s="90"/>
      <c r="D272" s="90"/>
      <c r="E272" s="90"/>
      <c r="F272" s="90"/>
      <c r="G272" s="90"/>
      <c r="H272" s="90"/>
      <c r="I272" s="90"/>
      <c r="J272" s="90"/>
      <c r="K272" s="90"/>
      <c r="L272" s="90"/>
      <c r="M272" s="90"/>
      <c r="N272" s="90"/>
      <c r="O272" s="90"/>
    </row>
    <row r="273" spans="3:15">
      <c r="C273" s="90"/>
      <c r="D273" s="90"/>
      <c r="E273" s="90"/>
      <c r="F273" s="90"/>
      <c r="G273" s="90"/>
      <c r="H273" s="90"/>
      <c r="I273" s="90"/>
      <c r="J273" s="90"/>
      <c r="K273" s="90"/>
      <c r="L273" s="90"/>
      <c r="M273" s="90"/>
      <c r="N273" s="90"/>
      <c r="O273" s="90"/>
    </row>
    <row r="274" spans="3:15">
      <c r="C274" s="90"/>
      <c r="D274" s="90"/>
      <c r="E274" s="90"/>
      <c r="F274" s="90"/>
      <c r="G274" s="90"/>
      <c r="H274" s="90"/>
      <c r="I274" s="90"/>
      <c r="J274" s="90"/>
      <c r="K274" s="90"/>
      <c r="L274" s="90"/>
      <c r="M274" s="90"/>
      <c r="N274" s="90"/>
      <c r="O274" s="90"/>
    </row>
    <row r="275" spans="3:15">
      <c r="C275" s="90"/>
      <c r="D275" s="90"/>
      <c r="E275" s="90"/>
      <c r="F275" s="90"/>
      <c r="G275" s="90"/>
      <c r="H275" s="90"/>
      <c r="I275" s="90"/>
      <c r="J275" s="90"/>
      <c r="K275" s="90"/>
      <c r="L275" s="90"/>
      <c r="M275" s="90"/>
      <c r="N275" s="90"/>
      <c r="O275" s="90"/>
    </row>
    <row r="276" spans="3:15">
      <c r="C276" s="90"/>
      <c r="D276" s="90"/>
      <c r="E276" s="90"/>
      <c r="F276" s="90"/>
      <c r="G276" s="90"/>
      <c r="H276" s="90"/>
      <c r="I276" s="90"/>
      <c r="J276" s="90"/>
      <c r="K276" s="90"/>
      <c r="L276" s="90"/>
      <c r="M276" s="90"/>
      <c r="N276" s="90"/>
      <c r="O276" s="90"/>
    </row>
    <row r="277" spans="3:15">
      <c r="C277" s="90"/>
      <c r="D277" s="90"/>
      <c r="E277" s="90"/>
      <c r="F277" s="90"/>
      <c r="G277" s="90"/>
      <c r="H277" s="90"/>
      <c r="I277" s="90"/>
      <c r="J277" s="90"/>
      <c r="K277" s="90"/>
      <c r="L277" s="90"/>
      <c r="M277" s="90"/>
      <c r="N277" s="90"/>
      <c r="O277" s="90"/>
    </row>
    <row r="278" spans="3:15">
      <c r="C278" s="90"/>
      <c r="D278" s="90"/>
      <c r="E278" s="90"/>
      <c r="F278" s="90"/>
      <c r="G278" s="90"/>
      <c r="H278" s="90"/>
      <c r="I278" s="90"/>
      <c r="J278" s="90"/>
      <c r="K278" s="90"/>
      <c r="L278" s="90"/>
      <c r="M278" s="90"/>
      <c r="N278" s="90"/>
      <c r="O278" s="90"/>
    </row>
    <row r="279" spans="3:15">
      <c r="C279" s="90"/>
      <c r="D279" s="90"/>
      <c r="E279" s="90"/>
      <c r="F279" s="90"/>
      <c r="G279" s="90"/>
      <c r="H279" s="90"/>
      <c r="I279" s="90"/>
      <c r="J279" s="90"/>
      <c r="K279" s="90"/>
      <c r="L279" s="90"/>
      <c r="M279" s="90"/>
      <c r="N279" s="90"/>
      <c r="O279" s="90"/>
    </row>
    <row r="280" spans="3:15">
      <c r="C280" s="90"/>
      <c r="D280" s="90"/>
      <c r="E280" s="90"/>
      <c r="F280" s="90"/>
      <c r="G280" s="90"/>
      <c r="H280" s="90"/>
      <c r="I280" s="90"/>
      <c r="J280" s="90"/>
      <c r="K280" s="90"/>
      <c r="L280" s="90"/>
      <c r="M280" s="90"/>
      <c r="N280" s="90"/>
      <c r="O280" s="90"/>
    </row>
    <row r="281" spans="3:15">
      <c r="C281" s="90"/>
      <c r="D281" s="90"/>
      <c r="E281" s="90"/>
      <c r="F281" s="90"/>
      <c r="G281" s="90"/>
      <c r="H281" s="90"/>
      <c r="I281" s="90"/>
      <c r="J281" s="90"/>
      <c r="K281" s="90"/>
      <c r="L281" s="90"/>
      <c r="M281" s="90"/>
      <c r="N281" s="90"/>
      <c r="O281" s="90"/>
    </row>
    <row r="282" spans="3:15">
      <c r="C282" s="90"/>
      <c r="D282" s="90"/>
      <c r="E282" s="90"/>
      <c r="F282" s="90"/>
      <c r="G282" s="90"/>
      <c r="H282" s="90"/>
      <c r="I282" s="90"/>
      <c r="J282" s="90"/>
      <c r="K282" s="90"/>
      <c r="L282" s="90"/>
      <c r="M282" s="90"/>
      <c r="N282" s="90"/>
      <c r="O282" s="90"/>
    </row>
    <row r="283" spans="3:15">
      <c r="C283" s="90"/>
      <c r="D283" s="90"/>
      <c r="E283" s="90"/>
      <c r="F283" s="90"/>
      <c r="G283" s="90"/>
      <c r="H283" s="90"/>
      <c r="I283" s="90"/>
      <c r="J283" s="90"/>
      <c r="K283" s="90"/>
      <c r="L283" s="90"/>
      <c r="M283" s="90"/>
      <c r="N283" s="90"/>
      <c r="O283" s="90"/>
    </row>
    <row r="284" spans="3:15">
      <c r="C284" s="90"/>
      <c r="D284" s="90"/>
      <c r="E284" s="90"/>
      <c r="F284" s="90"/>
      <c r="G284" s="90"/>
      <c r="H284" s="90"/>
      <c r="I284" s="90"/>
      <c r="J284" s="90"/>
      <c r="K284" s="90"/>
      <c r="L284" s="90"/>
      <c r="M284" s="90"/>
      <c r="N284" s="90"/>
      <c r="O284" s="90"/>
    </row>
    <row r="285" spans="3:15">
      <c r="C285" s="90"/>
      <c r="D285" s="90"/>
      <c r="E285" s="90"/>
      <c r="F285" s="90"/>
      <c r="G285" s="90"/>
      <c r="H285" s="90"/>
      <c r="I285" s="90"/>
      <c r="J285" s="90"/>
      <c r="K285" s="90"/>
      <c r="L285" s="90"/>
      <c r="M285" s="90"/>
      <c r="N285" s="90"/>
      <c r="O285" s="90"/>
    </row>
    <row r="286" spans="3:15">
      <c r="C286" s="90"/>
      <c r="D286" s="90"/>
      <c r="E286" s="90"/>
      <c r="F286" s="90"/>
      <c r="G286" s="90"/>
      <c r="H286" s="90"/>
      <c r="I286" s="90"/>
      <c r="J286" s="90"/>
      <c r="K286" s="90"/>
      <c r="L286" s="90"/>
      <c r="M286" s="90"/>
      <c r="N286" s="90"/>
      <c r="O286" s="90"/>
    </row>
    <row r="287" spans="3:15">
      <c r="C287" s="90"/>
      <c r="D287" s="90"/>
      <c r="E287" s="90"/>
      <c r="F287" s="90"/>
      <c r="G287" s="90"/>
      <c r="H287" s="90"/>
      <c r="I287" s="90"/>
      <c r="J287" s="90"/>
      <c r="K287" s="90"/>
      <c r="L287" s="90"/>
      <c r="M287" s="90"/>
      <c r="N287" s="90"/>
      <c r="O287" s="90"/>
    </row>
    <row r="288" spans="3:15">
      <c r="C288" s="90"/>
      <c r="D288" s="90"/>
      <c r="E288" s="90"/>
      <c r="F288" s="90"/>
      <c r="G288" s="90"/>
      <c r="H288" s="90"/>
      <c r="I288" s="90"/>
      <c r="J288" s="90"/>
      <c r="K288" s="90"/>
      <c r="L288" s="90"/>
      <c r="M288" s="90"/>
      <c r="N288" s="90"/>
      <c r="O288" s="90"/>
    </row>
    <row r="289" spans="3:15">
      <c r="C289" s="90"/>
      <c r="D289" s="90"/>
      <c r="E289" s="90"/>
      <c r="F289" s="90"/>
      <c r="G289" s="90"/>
      <c r="H289" s="90"/>
      <c r="I289" s="90"/>
      <c r="J289" s="90"/>
      <c r="K289" s="90"/>
      <c r="L289" s="90"/>
      <c r="M289" s="90"/>
      <c r="N289" s="90"/>
      <c r="O289" s="90"/>
    </row>
    <row r="290" spans="3:15">
      <c r="C290" s="90"/>
      <c r="D290" s="90"/>
      <c r="E290" s="90"/>
      <c r="F290" s="90"/>
      <c r="G290" s="90"/>
      <c r="H290" s="90"/>
      <c r="I290" s="90"/>
      <c r="J290" s="90"/>
      <c r="K290" s="90"/>
      <c r="L290" s="90"/>
      <c r="M290" s="90"/>
      <c r="N290" s="90"/>
      <c r="O290" s="90"/>
    </row>
    <row r="291" spans="3:15">
      <c r="C291" s="90"/>
      <c r="D291" s="90"/>
      <c r="E291" s="90"/>
      <c r="F291" s="90"/>
      <c r="G291" s="90"/>
      <c r="H291" s="90"/>
      <c r="I291" s="90"/>
      <c r="J291" s="90"/>
      <c r="K291" s="90"/>
      <c r="L291" s="90"/>
      <c r="M291" s="90"/>
      <c r="N291" s="90"/>
      <c r="O291" s="90"/>
    </row>
    <row r="292" spans="3:15">
      <c r="C292" s="90"/>
      <c r="D292" s="90"/>
      <c r="E292" s="90"/>
      <c r="F292" s="90"/>
      <c r="G292" s="90"/>
      <c r="H292" s="90"/>
      <c r="I292" s="90"/>
      <c r="J292" s="90"/>
      <c r="K292" s="90"/>
      <c r="L292" s="90"/>
      <c r="M292" s="90"/>
      <c r="N292" s="90"/>
      <c r="O292" s="90"/>
    </row>
    <row r="293" spans="3:15">
      <c r="C293" s="90"/>
      <c r="D293" s="90"/>
      <c r="E293" s="90"/>
      <c r="F293" s="90"/>
      <c r="G293" s="90"/>
      <c r="H293" s="90"/>
      <c r="I293" s="90"/>
      <c r="J293" s="90"/>
      <c r="K293" s="90"/>
      <c r="L293" s="90"/>
      <c r="M293" s="90"/>
      <c r="N293" s="90"/>
      <c r="O293" s="90"/>
    </row>
    <row r="294" spans="3:15">
      <c r="C294" s="90"/>
      <c r="D294" s="90"/>
      <c r="E294" s="90"/>
      <c r="F294" s="90"/>
      <c r="G294" s="90"/>
      <c r="H294" s="90"/>
      <c r="I294" s="90"/>
      <c r="J294" s="90"/>
      <c r="K294" s="90"/>
      <c r="L294" s="90"/>
      <c r="M294" s="90"/>
      <c r="N294" s="90"/>
      <c r="O294" s="90"/>
    </row>
    <row r="295" spans="3:15">
      <c r="C295" s="90"/>
      <c r="D295" s="90"/>
      <c r="E295" s="90"/>
      <c r="F295" s="90"/>
      <c r="G295" s="90"/>
      <c r="H295" s="90"/>
      <c r="I295" s="90"/>
      <c r="J295" s="90"/>
      <c r="K295" s="90"/>
      <c r="L295" s="90"/>
      <c r="M295" s="90"/>
      <c r="N295" s="90"/>
      <c r="O295" s="90"/>
    </row>
    <row r="296" spans="3:15">
      <c r="C296" s="90"/>
      <c r="D296" s="90"/>
      <c r="E296" s="90"/>
      <c r="F296" s="90"/>
      <c r="G296" s="90"/>
      <c r="H296" s="90"/>
      <c r="I296" s="90"/>
      <c r="J296" s="90"/>
      <c r="K296" s="90"/>
      <c r="L296" s="90"/>
      <c r="M296" s="90"/>
      <c r="N296" s="90"/>
      <c r="O296" s="90"/>
    </row>
    <row r="297" spans="3:15">
      <c r="C297" s="90"/>
      <c r="D297" s="90"/>
      <c r="E297" s="90"/>
      <c r="F297" s="90"/>
      <c r="G297" s="90"/>
      <c r="H297" s="90"/>
      <c r="I297" s="90"/>
      <c r="J297" s="90"/>
      <c r="K297" s="90"/>
      <c r="L297" s="90"/>
      <c r="M297" s="90"/>
      <c r="N297" s="90"/>
      <c r="O297" s="90"/>
    </row>
    <row r="298" spans="3:15">
      <c r="C298" s="90"/>
      <c r="D298" s="90"/>
      <c r="E298" s="90"/>
      <c r="F298" s="90"/>
      <c r="G298" s="90"/>
      <c r="H298" s="90"/>
      <c r="I298" s="90"/>
      <c r="J298" s="90"/>
      <c r="K298" s="90"/>
      <c r="L298" s="90"/>
      <c r="M298" s="90"/>
      <c r="N298" s="90"/>
      <c r="O298" s="90"/>
    </row>
    <row r="299" spans="3:15">
      <c r="C299" s="90"/>
      <c r="D299" s="90"/>
      <c r="E299" s="90"/>
      <c r="F299" s="90"/>
      <c r="G299" s="90"/>
      <c r="H299" s="90"/>
      <c r="I299" s="90"/>
      <c r="J299" s="90"/>
      <c r="K299" s="90"/>
      <c r="L299" s="90"/>
      <c r="M299" s="90"/>
      <c r="N299" s="90"/>
      <c r="O299" s="90"/>
    </row>
    <row r="300" spans="3:15">
      <c r="C300" s="90"/>
      <c r="D300" s="90"/>
      <c r="E300" s="90"/>
      <c r="F300" s="90"/>
      <c r="G300" s="90"/>
      <c r="H300" s="90"/>
      <c r="I300" s="90"/>
      <c r="J300" s="90"/>
      <c r="K300" s="90"/>
      <c r="L300" s="90"/>
      <c r="M300" s="90"/>
      <c r="N300" s="90"/>
      <c r="O300" s="90"/>
    </row>
    <row r="301" spans="3:15">
      <c r="C301" s="90"/>
      <c r="D301" s="90"/>
      <c r="E301" s="90"/>
      <c r="F301" s="90"/>
      <c r="G301" s="90"/>
      <c r="H301" s="90"/>
      <c r="I301" s="90"/>
      <c r="J301" s="90"/>
      <c r="K301" s="90"/>
      <c r="L301" s="90"/>
      <c r="M301" s="90"/>
      <c r="N301" s="90"/>
      <c r="O301" s="90"/>
    </row>
    <row r="302" spans="3:15">
      <c r="C302" s="90"/>
      <c r="D302" s="90"/>
      <c r="E302" s="90"/>
      <c r="F302" s="90"/>
      <c r="G302" s="90"/>
      <c r="H302" s="90"/>
      <c r="I302" s="90"/>
      <c r="J302" s="90"/>
      <c r="K302" s="90"/>
      <c r="L302" s="90"/>
      <c r="M302" s="90"/>
      <c r="N302" s="90"/>
      <c r="O302" s="90"/>
    </row>
    <row r="303" spans="3:15">
      <c r="C303" s="90"/>
      <c r="D303" s="90"/>
      <c r="E303" s="90"/>
      <c r="F303" s="90"/>
      <c r="G303" s="90"/>
      <c r="H303" s="90"/>
      <c r="I303" s="90"/>
      <c r="J303" s="90"/>
      <c r="K303" s="90"/>
      <c r="L303" s="90"/>
      <c r="M303" s="90"/>
      <c r="N303" s="90"/>
      <c r="O303" s="90"/>
    </row>
    <row r="304" spans="3:15">
      <c r="C304" s="90"/>
      <c r="D304" s="90"/>
      <c r="E304" s="90"/>
      <c r="F304" s="90"/>
      <c r="G304" s="90"/>
      <c r="H304" s="90"/>
      <c r="I304" s="90"/>
      <c r="J304" s="90"/>
      <c r="K304" s="90"/>
      <c r="L304" s="90"/>
      <c r="M304" s="90"/>
      <c r="N304" s="90"/>
      <c r="O304" s="90"/>
    </row>
    <row r="305" spans="3:15">
      <c r="C305" s="90"/>
      <c r="D305" s="90"/>
      <c r="E305" s="90"/>
      <c r="F305" s="90"/>
      <c r="G305" s="90"/>
      <c r="H305" s="90"/>
      <c r="I305" s="90"/>
      <c r="J305" s="90"/>
      <c r="K305" s="90"/>
      <c r="L305" s="90"/>
      <c r="M305" s="90"/>
      <c r="N305" s="90"/>
      <c r="O305" s="90"/>
    </row>
    <row r="306" spans="3:15">
      <c r="C306" s="90"/>
      <c r="D306" s="90"/>
      <c r="E306" s="90"/>
      <c r="F306" s="90"/>
      <c r="G306" s="90"/>
      <c r="H306" s="90"/>
      <c r="I306" s="90"/>
      <c r="J306" s="90"/>
      <c r="K306" s="90"/>
      <c r="L306" s="90"/>
      <c r="M306" s="90"/>
      <c r="N306" s="90"/>
      <c r="O306" s="90"/>
    </row>
    <row r="307" spans="3:15">
      <c r="C307" s="90"/>
      <c r="D307" s="90"/>
      <c r="E307" s="90"/>
      <c r="F307" s="90"/>
      <c r="G307" s="90"/>
      <c r="H307" s="90"/>
      <c r="I307" s="90"/>
      <c r="J307" s="90"/>
      <c r="K307" s="90"/>
      <c r="L307" s="90"/>
      <c r="M307" s="90"/>
      <c r="N307" s="90"/>
      <c r="O307" s="90"/>
    </row>
    <row r="308" spans="3:15">
      <c r="C308" s="90"/>
      <c r="D308" s="90"/>
      <c r="E308" s="90"/>
      <c r="F308" s="90"/>
      <c r="G308" s="90"/>
      <c r="H308" s="90"/>
      <c r="I308" s="90"/>
      <c r="J308" s="90"/>
      <c r="K308" s="90"/>
      <c r="L308" s="90"/>
      <c r="M308" s="90"/>
      <c r="N308" s="90"/>
      <c r="O308" s="90"/>
    </row>
    <row r="309" spans="3:15">
      <c r="C309" s="90"/>
      <c r="D309" s="90"/>
      <c r="E309" s="90"/>
      <c r="F309" s="90"/>
      <c r="G309" s="90"/>
      <c r="H309" s="90"/>
      <c r="I309" s="90"/>
      <c r="J309" s="90"/>
      <c r="K309" s="90"/>
      <c r="L309" s="90"/>
      <c r="M309" s="90"/>
      <c r="N309" s="90"/>
      <c r="O309" s="90"/>
    </row>
    <row r="310" spans="3:15">
      <c r="C310" s="90"/>
      <c r="D310" s="90"/>
      <c r="E310" s="90"/>
      <c r="F310" s="90"/>
      <c r="G310" s="90"/>
      <c r="H310" s="90"/>
      <c r="I310" s="90"/>
      <c r="J310" s="90"/>
      <c r="K310" s="90"/>
      <c r="L310" s="90"/>
      <c r="M310" s="90"/>
      <c r="N310" s="90"/>
      <c r="O310" s="90"/>
    </row>
    <row r="311" spans="3:15">
      <c r="C311" s="90"/>
      <c r="D311" s="90"/>
      <c r="E311" s="90"/>
      <c r="F311" s="90"/>
      <c r="G311" s="90"/>
      <c r="H311" s="90"/>
      <c r="I311" s="90"/>
      <c r="J311" s="90"/>
      <c r="K311" s="90"/>
      <c r="L311" s="90"/>
      <c r="M311" s="90"/>
      <c r="N311" s="90"/>
      <c r="O311" s="90"/>
    </row>
    <row r="312" spans="3:15">
      <c r="C312" s="90"/>
      <c r="D312" s="90"/>
      <c r="E312" s="90"/>
      <c r="F312" s="90"/>
      <c r="G312" s="90"/>
      <c r="H312" s="90"/>
      <c r="I312" s="90"/>
      <c r="J312" s="90"/>
      <c r="K312" s="90"/>
      <c r="L312" s="90"/>
      <c r="M312" s="90"/>
      <c r="N312" s="90"/>
      <c r="O312" s="90"/>
    </row>
    <row r="313" spans="3:15">
      <c r="C313" s="90"/>
      <c r="D313" s="90"/>
      <c r="E313" s="90"/>
      <c r="F313" s="90"/>
      <c r="G313" s="90"/>
      <c r="H313" s="90"/>
      <c r="I313" s="90"/>
      <c r="J313" s="90"/>
      <c r="K313" s="90"/>
      <c r="L313" s="90"/>
      <c r="M313" s="90"/>
      <c r="N313" s="90"/>
      <c r="O313" s="90"/>
    </row>
    <row r="314" spans="3:15">
      <c r="C314" s="90"/>
      <c r="D314" s="90"/>
      <c r="E314" s="90"/>
      <c r="F314" s="90"/>
      <c r="G314" s="90"/>
      <c r="H314" s="90"/>
      <c r="I314" s="90"/>
      <c r="J314" s="90"/>
      <c r="K314" s="90"/>
      <c r="L314" s="90"/>
      <c r="M314" s="90"/>
      <c r="N314" s="90"/>
      <c r="O314" s="90"/>
    </row>
    <row r="315" spans="3:15">
      <c r="C315" s="90"/>
      <c r="D315" s="90"/>
      <c r="E315" s="90"/>
      <c r="F315" s="90"/>
      <c r="G315" s="90"/>
      <c r="H315" s="90"/>
      <c r="I315" s="90"/>
      <c r="J315" s="90"/>
      <c r="K315" s="90"/>
      <c r="L315" s="90"/>
      <c r="M315" s="90"/>
      <c r="N315" s="90"/>
      <c r="O315" s="90"/>
    </row>
    <row r="316" spans="3:15">
      <c r="C316" s="90"/>
      <c r="D316" s="90"/>
      <c r="E316" s="90"/>
      <c r="F316" s="90"/>
      <c r="G316" s="90"/>
      <c r="H316" s="90"/>
      <c r="I316" s="90"/>
      <c r="J316" s="90"/>
      <c r="K316" s="90"/>
      <c r="L316" s="90"/>
      <c r="M316" s="90"/>
      <c r="N316" s="90"/>
      <c r="O316" s="90"/>
    </row>
    <row r="317" spans="3:15">
      <c r="C317" s="90"/>
      <c r="D317" s="90"/>
      <c r="E317" s="90"/>
      <c r="F317" s="90"/>
      <c r="G317" s="90"/>
      <c r="H317" s="90"/>
      <c r="I317" s="90"/>
      <c r="J317" s="90"/>
      <c r="K317" s="90"/>
      <c r="L317" s="90"/>
      <c r="M317" s="90"/>
      <c r="N317" s="90"/>
      <c r="O317" s="90"/>
    </row>
    <row r="318" spans="3:15">
      <c r="C318" s="90"/>
      <c r="D318" s="90"/>
      <c r="E318" s="90"/>
      <c r="F318" s="90"/>
      <c r="G318" s="90"/>
      <c r="H318" s="90"/>
      <c r="I318" s="90"/>
      <c r="J318" s="90"/>
      <c r="K318" s="90"/>
      <c r="L318" s="90"/>
      <c r="M318" s="90"/>
      <c r="N318" s="90"/>
      <c r="O318" s="90"/>
    </row>
    <row r="319" spans="3:15">
      <c r="C319" s="90"/>
      <c r="D319" s="90"/>
      <c r="E319" s="90"/>
      <c r="F319" s="90"/>
      <c r="G319" s="90"/>
      <c r="H319" s="90"/>
      <c r="I319" s="90"/>
      <c r="J319" s="90"/>
      <c r="K319" s="90"/>
      <c r="L319" s="90"/>
      <c r="M319" s="90"/>
      <c r="N319" s="90"/>
      <c r="O319" s="90"/>
    </row>
    <row r="320" spans="3:15">
      <c r="C320" s="90"/>
      <c r="D320" s="90"/>
      <c r="E320" s="90"/>
      <c r="F320" s="90"/>
      <c r="G320" s="90"/>
      <c r="H320" s="90"/>
      <c r="I320" s="90"/>
      <c r="J320" s="90"/>
      <c r="K320" s="90"/>
      <c r="L320" s="90"/>
      <c r="M320" s="90"/>
      <c r="N320" s="90"/>
      <c r="O320" s="90"/>
    </row>
    <row r="321" spans="3:15">
      <c r="C321" s="90"/>
      <c r="D321" s="90"/>
      <c r="E321" s="90"/>
      <c r="F321" s="90"/>
      <c r="G321" s="90"/>
      <c r="H321" s="90"/>
      <c r="I321" s="90"/>
      <c r="J321" s="90"/>
      <c r="K321" s="90"/>
      <c r="L321" s="90"/>
      <c r="M321" s="90"/>
      <c r="N321" s="90"/>
      <c r="O321" s="90"/>
    </row>
    <row r="322" spans="3:15">
      <c r="C322" s="90"/>
      <c r="D322" s="90"/>
      <c r="E322" s="90"/>
      <c r="F322" s="90"/>
      <c r="G322" s="90"/>
      <c r="H322" s="90"/>
      <c r="I322" s="90"/>
      <c r="J322" s="90"/>
      <c r="K322" s="90"/>
      <c r="L322" s="90"/>
      <c r="M322" s="90"/>
      <c r="N322" s="90"/>
      <c r="O322" s="90"/>
    </row>
    <row r="323" spans="3:15">
      <c r="C323" s="90"/>
      <c r="D323" s="90"/>
      <c r="E323" s="90"/>
      <c r="F323" s="90"/>
      <c r="G323" s="90"/>
      <c r="H323" s="90"/>
      <c r="I323" s="90"/>
      <c r="J323" s="90"/>
      <c r="K323" s="90"/>
      <c r="L323" s="90"/>
      <c r="M323" s="90"/>
      <c r="N323" s="90"/>
      <c r="O323" s="90"/>
    </row>
    <row r="324" spans="3:15">
      <c r="C324" s="90"/>
      <c r="D324" s="90"/>
      <c r="E324" s="90"/>
      <c r="F324" s="90"/>
      <c r="G324" s="90"/>
      <c r="H324" s="90"/>
      <c r="I324" s="90"/>
      <c r="J324" s="90"/>
      <c r="K324" s="90"/>
      <c r="L324" s="90"/>
      <c r="M324" s="90"/>
      <c r="N324" s="90"/>
      <c r="O324" s="90"/>
    </row>
    <row r="325" spans="3:15">
      <c r="C325" s="90"/>
      <c r="D325" s="90"/>
      <c r="E325" s="90"/>
      <c r="F325" s="90"/>
      <c r="G325" s="90"/>
      <c r="H325" s="90"/>
      <c r="I325" s="90"/>
      <c r="J325" s="90"/>
      <c r="K325" s="90"/>
      <c r="L325" s="90"/>
      <c r="M325" s="90"/>
      <c r="N325" s="90"/>
      <c r="O325" s="90"/>
    </row>
    <row r="326" spans="3:15">
      <c r="C326" s="90"/>
      <c r="D326" s="90"/>
      <c r="E326" s="90"/>
      <c r="F326" s="90"/>
      <c r="G326" s="90"/>
      <c r="H326" s="90"/>
      <c r="I326" s="90"/>
      <c r="J326" s="90"/>
      <c r="K326" s="90"/>
      <c r="L326" s="90"/>
      <c r="M326" s="90"/>
      <c r="N326" s="90"/>
      <c r="O326" s="90"/>
    </row>
    <row r="327" spans="3:15">
      <c r="C327" s="90"/>
      <c r="D327" s="90"/>
      <c r="E327" s="90"/>
      <c r="F327" s="90"/>
      <c r="G327" s="90"/>
      <c r="H327" s="90"/>
      <c r="I327" s="90"/>
      <c r="J327" s="90"/>
      <c r="K327" s="90"/>
      <c r="L327" s="90"/>
      <c r="M327" s="90"/>
      <c r="N327" s="90"/>
      <c r="O327" s="90"/>
    </row>
    <row r="328" spans="3:15">
      <c r="C328" s="90"/>
      <c r="D328" s="90"/>
      <c r="E328" s="90"/>
      <c r="F328" s="90"/>
      <c r="G328" s="90"/>
      <c r="H328" s="90"/>
      <c r="I328" s="90"/>
      <c r="J328" s="90"/>
      <c r="K328" s="90"/>
      <c r="L328" s="90"/>
      <c r="M328" s="90"/>
      <c r="N328" s="90"/>
      <c r="O328" s="90"/>
    </row>
    <row r="329" spans="3:15">
      <c r="C329" s="90"/>
      <c r="D329" s="90"/>
      <c r="E329" s="90"/>
      <c r="F329" s="90"/>
      <c r="G329" s="90"/>
      <c r="H329" s="90"/>
      <c r="I329" s="90"/>
      <c r="J329" s="90"/>
      <c r="K329" s="90"/>
      <c r="L329" s="90"/>
      <c r="M329" s="90"/>
      <c r="N329" s="90"/>
      <c r="O329" s="90"/>
    </row>
    <row r="330" spans="3:15">
      <c r="C330" s="90"/>
      <c r="D330" s="90"/>
      <c r="E330" s="90"/>
      <c r="F330" s="90"/>
      <c r="G330" s="90"/>
      <c r="H330" s="90"/>
      <c r="I330" s="90"/>
      <c r="J330" s="90"/>
      <c r="K330" s="90"/>
      <c r="L330" s="90"/>
      <c r="M330" s="90"/>
      <c r="N330" s="90"/>
      <c r="O330" s="90"/>
    </row>
    <row r="331" spans="3:15">
      <c r="C331" s="90"/>
      <c r="D331" s="90"/>
      <c r="E331" s="90"/>
      <c r="F331" s="90"/>
      <c r="G331" s="90"/>
      <c r="H331" s="90"/>
      <c r="I331" s="90"/>
      <c r="J331" s="90"/>
      <c r="K331" s="90"/>
      <c r="L331" s="90"/>
      <c r="M331" s="90"/>
      <c r="N331" s="90"/>
      <c r="O331" s="90"/>
    </row>
    <row r="332" spans="3:15">
      <c r="C332" s="90"/>
      <c r="D332" s="90"/>
      <c r="E332" s="90"/>
      <c r="F332" s="90"/>
      <c r="G332" s="90"/>
      <c r="H332" s="90"/>
      <c r="I332" s="90"/>
      <c r="J332" s="90"/>
      <c r="K332" s="90"/>
      <c r="L332" s="90"/>
      <c r="M332" s="90"/>
      <c r="N332" s="90"/>
      <c r="O332" s="90"/>
    </row>
    <row r="333" spans="3:15">
      <c r="C333" s="90"/>
      <c r="D333" s="90"/>
      <c r="E333" s="90"/>
      <c r="F333" s="90"/>
      <c r="G333" s="90"/>
      <c r="H333" s="90"/>
      <c r="I333" s="90"/>
      <c r="J333" s="90"/>
      <c r="K333" s="90"/>
      <c r="L333" s="90"/>
      <c r="M333" s="90"/>
      <c r="N333" s="90"/>
      <c r="O333" s="90"/>
    </row>
    <row r="334" spans="3:15">
      <c r="C334" s="90"/>
      <c r="D334" s="90"/>
      <c r="E334" s="90"/>
      <c r="F334" s="90"/>
      <c r="G334" s="90"/>
      <c r="H334" s="90"/>
      <c r="I334" s="90"/>
      <c r="J334" s="90"/>
      <c r="K334" s="90"/>
      <c r="L334" s="90"/>
      <c r="M334" s="90"/>
      <c r="N334" s="90"/>
      <c r="O334" s="90"/>
    </row>
    <row r="335" spans="3:15">
      <c r="C335" s="90"/>
      <c r="D335" s="90"/>
      <c r="E335" s="90"/>
      <c r="F335" s="90"/>
      <c r="G335" s="90"/>
      <c r="H335" s="90"/>
      <c r="I335" s="90"/>
      <c r="J335" s="90"/>
      <c r="K335" s="90"/>
      <c r="L335" s="90"/>
      <c r="M335" s="90"/>
      <c r="N335" s="90"/>
      <c r="O335" s="90"/>
    </row>
    <row r="336" spans="3:15">
      <c r="C336" s="90"/>
      <c r="D336" s="90"/>
      <c r="E336" s="90"/>
      <c r="F336" s="90"/>
      <c r="G336" s="90"/>
      <c r="H336" s="90"/>
      <c r="I336" s="90"/>
      <c r="J336" s="90"/>
      <c r="K336" s="90"/>
      <c r="L336" s="90"/>
      <c r="M336" s="90"/>
      <c r="N336" s="90"/>
      <c r="O336" s="90"/>
    </row>
    <row r="337" spans="3:15">
      <c r="C337" s="90"/>
      <c r="D337" s="90"/>
      <c r="E337" s="90"/>
      <c r="F337" s="90"/>
      <c r="G337" s="90"/>
      <c r="H337" s="90"/>
      <c r="I337" s="90"/>
      <c r="J337" s="90"/>
      <c r="K337" s="90"/>
      <c r="L337" s="90"/>
      <c r="M337" s="90"/>
      <c r="N337" s="90"/>
      <c r="O337" s="90"/>
    </row>
    <row r="338" spans="3:15">
      <c r="C338" s="90"/>
      <c r="D338" s="90"/>
      <c r="E338" s="90"/>
      <c r="F338" s="90"/>
      <c r="G338" s="90"/>
      <c r="H338" s="90"/>
      <c r="I338" s="90"/>
      <c r="J338" s="90"/>
      <c r="K338" s="90"/>
      <c r="L338" s="90"/>
      <c r="M338" s="90"/>
      <c r="N338" s="90"/>
      <c r="O338" s="90"/>
    </row>
    <row r="339" spans="3:15">
      <c r="C339" s="90"/>
      <c r="D339" s="90"/>
      <c r="E339" s="90"/>
      <c r="F339" s="90"/>
      <c r="G339" s="90"/>
      <c r="H339" s="90"/>
      <c r="I339" s="90"/>
      <c r="J339" s="90"/>
      <c r="K339" s="90"/>
      <c r="L339" s="90"/>
      <c r="M339" s="90"/>
      <c r="N339" s="90"/>
      <c r="O339" s="90"/>
    </row>
    <row r="340" spans="3:15">
      <c r="C340" s="90"/>
      <c r="D340" s="90"/>
      <c r="E340" s="90"/>
      <c r="F340" s="90"/>
      <c r="G340" s="90"/>
      <c r="H340" s="90"/>
      <c r="I340" s="90"/>
      <c r="J340" s="90"/>
      <c r="K340" s="90"/>
      <c r="L340" s="90"/>
      <c r="M340" s="90"/>
      <c r="N340" s="90"/>
      <c r="O340" s="90"/>
    </row>
    <row r="341" spans="3:15">
      <c r="C341" s="90"/>
      <c r="D341" s="90"/>
      <c r="E341" s="90"/>
      <c r="F341" s="90"/>
      <c r="G341" s="90"/>
      <c r="H341" s="90"/>
      <c r="I341" s="90"/>
      <c r="J341" s="90"/>
      <c r="K341" s="90"/>
      <c r="L341" s="90"/>
      <c r="M341" s="90"/>
      <c r="N341" s="90"/>
      <c r="O341" s="90"/>
    </row>
    <row r="342" spans="3:15">
      <c r="C342" s="90"/>
      <c r="D342" s="90"/>
      <c r="E342" s="90"/>
      <c r="F342" s="90"/>
      <c r="G342" s="90"/>
      <c r="H342" s="90"/>
      <c r="I342" s="90"/>
      <c r="J342" s="90"/>
      <c r="K342" s="90"/>
      <c r="L342" s="90"/>
      <c r="M342" s="90"/>
      <c r="N342" s="90"/>
      <c r="O342" s="90"/>
    </row>
    <row r="343" spans="3:15">
      <c r="C343" s="90"/>
      <c r="D343" s="90"/>
      <c r="E343" s="90"/>
      <c r="F343" s="90"/>
      <c r="G343" s="90"/>
      <c r="H343" s="90"/>
      <c r="I343" s="90"/>
      <c r="J343" s="90"/>
      <c r="K343" s="90"/>
      <c r="L343" s="90"/>
      <c r="M343" s="90"/>
      <c r="N343" s="90"/>
      <c r="O343" s="90"/>
    </row>
    <row r="344" spans="3:15">
      <c r="C344" s="90"/>
      <c r="D344" s="90"/>
      <c r="E344" s="90"/>
      <c r="F344" s="90"/>
      <c r="G344" s="90"/>
      <c r="H344" s="90"/>
      <c r="I344" s="90"/>
      <c r="J344" s="90"/>
      <c r="K344" s="90"/>
      <c r="L344" s="90"/>
      <c r="M344" s="90"/>
      <c r="N344" s="90"/>
      <c r="O344" s="90"/>
    </row>
    <row r="345" spans="3:15">
      <c r="C345" s="90"/>
      <c r="D345" s="90"/>
      <c r="E345" s="90"/>
      <c r="F345" s="90"/>
      <c r="G345" s="90"/>
      <c r="H345" s="90"/>
      <c r="I345" s="90"/>
      <c r="J345" s="90"/>
      <c r="K345" s="90"/>
      <c r="L345" s="90"/>
      <c r="M345" s="90"/>
      <c r="N345" s="90"/>
      <c r="O345" s="90"/>
    </row>
    <row r="346" spans="3:15">
      <c r="C346" s="90"/>
      <c r="D346" s="90"/>
      <c r="E346" s="90"/>
      <c r="F346" s="90"/>
      <c r="G346" s="90"/>
      <c r="H346" s="90"/>
      <c r="I346" s="90"/>
      <c r="J346" s="90"/>
      <c r="K346" s="90"/>
      <c r="L346" s="90"/>
      <c r="M346" s="90"/>
      <c r="N346" s="90"/>
      <c r="O346" s="90"/>
    </row>
    <row r="347" spans="3:15">
      <c r="C347" s="90"/>
      <c r="D347" s="90"/>
      <c r="E347" s="90"/>
      <c r="F347" s="90"/>
      <c r="G347" s="90"/>
      <c r="H347" s="90"/>
      <c r="I347" s="90"/>
      <c r="J347" s="90"/>
      <c r="K347" s="90"/>
      <c r="L347" s="90"/>
      <c r="M347" s="90"/>
      <c r="N347" s="90"/>
      <c r="O347" s="90"/>
    </row>
    <row r="348" spans="3:15">
      <c r="C348" s="90"/>
      <c r="D348" s="90"/>
      <c r="E348" s="90"/>
      <c r="F348" s="90"/>
      <c r="G348" s="90"/>
      <c r="H348" s="90"/>
      <c r="I348" s="90"/>
      <c r="J348" s="90"/>
      <c r="K348" s="90"/>
      <c r="L348" s="90"/>
      <c r="M348" s="90"/>
      <c r="N348" s="90"/>
      <c r="O348" s="90"/>
    </row>
    <row r="349" spans="3:15">
      <c r="C349" s="90"/>
      <c r="D349" s="90"/>
      <c r="E349" s="90"/>
      <c r="F349" s="90"/>
      <c r="G349" s="90"/>
      <c r="H349" s="90"/>
      <c r="I349" s="90"/>
      <c r="J349" s="90"/>
      <c r="K349" s="90"/>
      <c r="L349" s="90"/>
      <c r="M349" s="90"/>
      <c r="N349" s="90"/>
      <c r="O349" s="90"/>
    </row>
    <row r="350" spans="3:15">
      <c r="C350" s="90"/>
      <c r="D350" s="90"/>
      <c r="E350" s="90"/>
      <c r="F350" s="90"/>
      <c r="G350" s="90"/>
      <c r="H350" s="90"/>
      <c r="I350" s="90"/>
      <c r="J350" s="90"/>
      <c r="K350" s="90"/>
      <c r="L350" s="90"/>
      <c r="M350" s="90"/>
      <c r="N350" s="90"/>
      <c r="O350" s="90"/>
    </row>
    <row r="351" spans="3:15">
      <c r="C351" s="90"/>
      <c r="D351" s="90"/>
      <c r="E351" s="90"/>
      <c r="F351" s="90"/>
      <c r="G351" s="90"/>
      <c r="H351" s="90"/>
      <c r="I351" s="90"/>
      <c r="J351" s="90"/>
      <c r="K351" s="90"/>
      <c r="L351" s="90"/>
      <c r="M351" s="90"/>
      <c r="N351" s="90"/>
      <c r="O351" s="90"/>
    </row>
    <row r="352" spans="3:15">
      <c r="C352" s="90"/>
      <c r="D352" s="90"/>
      <c r="E352" s="90"/>
      <c r="F352" s="90"/>
      <c r="G352" s="90"/>
      <c r="H352" s="90"/>
      <c r="I352" s="90"/>
      <c r="J352" s="90"/>
      <c r="K352" s="90"/>
      <c r="L352" s="90"/>
      <c r="M352" s="90"/>
      <c r="N352" s="90"/>
      <c r="O352" s="90"/>
    </row>
    <row r="353" spans="3:15">
      <c r="C353" s="90"/>
      <c r="D353" s="90"/>
      <c r="E353" s="90"/>
      <c r="F353" s="90"/>
      <c r="G353" s="90"/>
      <c r="H353" s="90"/>
      <c r="I353" s="90"/>
      <c r="J353" s="90"/>
      <c r="K353" s="90"/>
      <c r="L353" s="90"/>
      <c r="M353" s="90"/>
      <c r="N353" s="90"/>
      <c r="O353" s="90"/>
    </row>
    <row r="354" spans="3:15">
      <c r="C354" s="90"/>
      <c r="D354" s="90"/>
      <c r="E354" s="90"/>
      <c r="F354" s="90"/>
      <c r="G354" s="90"/>
      <c r="H354" s="90"/>
      <c r="I354" s="90"/>
      <c r="J354" s="90"/>
      <c r="K354" s="90"/>
      <c r="L354" s="90"/>
      <c r="M354" s="90"/>
      <c r="N354" s="90"/>
      <c r="O354" s="90"/>
    </row>
    <row r="355" spans="3:15">
      <c r="C355" s="90"/>
      <c r="D355" s="90"/>
      <c r="E355" s="90"/>
      <c r="F355" s="90"/>
      <c r="G355" s="90"/>
      <c r="H355" s="90"/>
      <c r="I355" s="90"/>
      <c r="J355" s="90"/>
      <c r="K355" s="90"/>
      <c r="L355" s="90"/>
      <c r="M355" s="90"/>
      <c r="N355" s="90"/>
      <c r="O355" s="90"/>
    </row>
    <row r="356" spans="3:15">
      <c r="C356" s="90"/>
      <c r="D356" s="90"/>
      <c r="E356" s="90"/>
      <c r="F356" s="90"/>
      <c r="G356" s="90"/>
      <c r="H356" s="90"/>
      <c r="I356" s="90"/>
      <c r="J356" s="90"/>
      <c r="K356" s="90"/>
      <c r="L356" s="90"/>
      <c r="M356" s="90"/>
      <c r="N356" s="90"/>
      <c r="O356" s="90"/>
    </row>
    <row r="357" spans="3:15">
      <c r="C357" s="90"/>
      <c r="D357" s="90"/>
      <c r="E357" s="90"/>
      <c r="F357" s="90"/>
      <c r="G357" s="90"/>
      <c r="H357" s="90"/>
      <c r="I357" s="90"/>
      <c r="J357" s="90"/>
      <c r="K357" s="90"/>
      <c r="L357" s="90"/>
      <c r="M357" s="90"/>
      <c r="N357" s="90"/>
      <c r="O357" s="90"/>
    </row>
    <row r="358" spans="3:15">
      <c r="C358" s="90"/>
      <c r="D358" s="90"/>
      <c r="E358" s="90"/>
      <c r="F358" s="90"/>
      <c r="G358" s="90"/>
      <c r="H358" s="90"/>
      <c r="I358" s="90"/>
      <c r="J358" s="90"/>
      <c r="K358" s="90"/>
      <c r="L358" s="90"/>
      <c r="M358" s="90"/>
      <c r="N358" s="90"/>
      <c r="O358" s="90"/>
    </row>
    <row r="359" spans="3:15">
      <c r="C359" s="90"/>
      <c r="D359" s="90"/>
      <c r="E359" s="90"/>
      <c r="F359" s="90"/>
      <c r="G359" s="90"/>
      <c r="H359" s="90"/>
      <c r="I359" s="90"/>
      <c r="J359" s="90"/>
      <c r="K359" s="90"/>
      <c r="L359" s="90"/>
      <c r="M359" s="90"/>
      <c r="N359" s="90"/>
      <c r="O359" s="90"/>
    </row>
    <row r="360" spans="3:15">
      <c r="C360" s="90"/>
      <c r="D360" s="90"/>
      <c r="E360" s="90"/>
      <c r="F360" s="90"/>
      <c r="G360" s="90"/>
      <c r="H360" s="90"/>
      <c r="I360" s="90"/>
      <c r="J360" s="90"/>
      <c r="K360" s="90"/>
      <c r="L360" s="90"/>
      <c r="M360" s="90"/>
      <c r="N360" s="90"/>
      <c r="O360" s="90"/>
    </row>
    <row r="361" spans="3:15">
      <c r="C361" s="90"/>
      <c r="D361" s="90"/>
      <c r="E361" s="90"/>
      <c r="F361" s="90"/>
      <c r="G361" s="90"/>
      <c r="H361" s="90"/>
      <c r="I361" s="90"/>
      <c r="J361" s="90"/>
      <c r="K361" s="90"/>
      <c r="L361" s="90"/>
      <c r="M361" s="90"/>
      <c r="N361" s="90"/>
      <c r="O361" s="90"/>
    </row>
    <row r="362" spans="3:15">
      <c r="C362" s="90"/>
      <c r="D362" s="90"/>
      <c r="E362" s="90"/>
      <c r="F362" s="90"/>
      <c r="G362" s="90"/>
      <c r="H362" s="90"/>
      <c r="I362" s="90"/>
      <c r="J362" s="90"/>
      <c r="K362" s="90"/>
      <c r="L362" s="90"/>
      <c r="M362" s="90"/>
      <c r="N362" s="90"/>
      <c r="O362" s="90"/>
    </row>
    <row r="363" spans="3:15">
      <c r="C363" s="90"/>
      <c r="D363" s="90"/>
      <c r="E363" s="90"/>
      <c r="F363" s="90"/>
      <c r="G363" s="90"/>
      <c r="H363" s="90"/>
      <c r="I363" s="90"/>
      <c r="J363" s="90"/>
      <c r="K363" s="90"/>
      <c r="L363" s="90"/>
      <c r="M363" s="90"/>
      <c r="N363" s="90"/>
      <c r="O363" s="90"/>
    </row>
    <row r="364" spans="3:15">
      <c r="C364" s="90"/>
      <c r="D364" s="90"/>
      <c r="E364" s="90"/>
      <c r="F364" s="90"/>
      <c r="G364" s="90"/>
      <c r="H364" s="90"/>
      <c r="I364" s="90"/>
      <c r="J364" s="90"/>
      <c r="K364" s="90"/>
      <c r="L364" s="90"/>
      <c r="M364" s="90"/>
      <c r="N364" s="90"/>
      <c r="O364" s="90"/>
    </row>
    <row r="365" spans="3:15">
      <c r="C365" s="90"/>
      <c r="D365" s="90"/>
      <c r="E365" s="90"/>
      <c r="F365" s="90"/>
      <c r="G365" s="90"/>
      <c r="H365" s="90"/>
      <c r="I365" s="90"/>
      <c r="J365" s="90"/>
      <c r="K365" s="90"/>
      <c r="L365" s="90"/>
      <c r="M365" s="90"/>
      <c r="N365" s="90"/>
      <c r="O365" s="90"/>
    </row>
    <row r="366" spans="3:15">
      <c r="C366" s="90"/>
      <c r="D366" s="90"/>
      <c r="E366" s="90"/>
      <c r="F366" s="90"/>
      <c r="G366" s="90"/>
      <c r="H366" s="90"/>
      <c r="I366" s="90"/>
      <c r="J366" s="90"/>
      <c r="K366" s="90"/>
      <c r="L366" s="90"/>
      <c r="M366" s="90"/>
      <c r="N366" s="90"/>
      <c r="O366" s="90"/>
    </row>
    <row r="367" spans="3:15">
      <c r="C367" s="90"/>
      <c r="D367" s="90"/>
      <c r="E367" s="90"/>
      <c r="F367" s="90"/>
      <c r="G367" s="90"/>
      <c r="H367" s="90"/>
      <c r="I367" s="90"/>
      <c r="J367" s="90"/>
      <c r="K367" s="90"/>
      <c r="L367" s="90"/>
      <c r="M367" s="90"/>
      <c r="N367" s="90"/>
      <c r="O367" s="90"/>
    </row>
    <row r="368" spans="3:15">
      <c r="C368" s="90"/>
      <c r="D368" s="90"/>
      <c r="E368" s="90"/>
      <c r="F368" s="90"/>
      <c r="G368" s="90"/>
      <c r="H368" s="90"/>
      <c r="I368" s="90"/>
      <c r="J368" s="90"/>
      <c r="K368" s="90"/>
      <c r="L368" s="90"/>
      <c r="M368" s="90"/>
      <c r="N368" s="90"/>
      <c r="O368" s="90"/>
    </row>
    <row r="369" spans="3:15">
      <c r="C369" s="90"/>
      <c r="D369" s="90"/>
      <c r="E369" s="90"/>
      <c r="F369" s="90"/>
      <c r="G369" s="90"/>
      <c r="H369" s="90"/>
      <c r="I369" s="90"/>
      <c r="J369" s="90"/>
      <c r="K369" s="90"/>
      <c r="L369" s="90"/>
      <c r="M369" s="90"/>
      <c r="N369" s="90"/>
      <c r="O369" s="90"/>
    </row>
    <row r="370" spans="3:15">
      <c r="C370" s="90"/>
      <c r="D370" s="90"/>
      <c r="E370" s="90"/>
      <c r="F370" s="90"/>
      <c r="G370" s="90"/>
      <c r="H370" s="90"/>
      <c r="I370" s="90"/>
      <c r="J370" s="90"/>
      <c r="K370" s="90"/>
      <c r="L370" s="90"/>
      <c r="M370" s="90"/>
      <c r="N370" s="90"/>
      <c r="O370" s="90"/>
    </row>
    <row r="371" spans="3:15">
      <c r="C371" s="90"/>
      <c r="D371" s="90"/>
      <c r="E371" s="90"/>
      <c r="F371" s="90"/>
      <c r="G371" s="90"/>
      <c r="H371" s="90"/>
      <c r="I371" s="90"/>
      <c r="J371" s="90"/>
      <c r="K371" s="90"/>
      <c r="L371" s="90"/>
      <c r="M371" s="90"/>
      <c r="N371" s="90"/>
      <c r="O371" s="90"/>
    </row>
    <row r="372" spans="3:15">
      <c r="C372" s="90"/>
      <c r="D372" s="90"/>
      <c r="E372" s="90"/>
      <c r="F372" s="90"/>
      <c r="G372" s="90"/>
      <c r="H372" s="90"/>
      <c r="I372" s="90"/>
      <c r="J372" s="90"/>
      <c r="K372" s="90"/>
      <c r="L372" s="90"/>
      <c r="M372" s="90"/>
      <c r="N372" s="90"/>
      <c r="O372" s="90"/>
    </row>
    <row r="373" spans="3:15">
      <c r="C373" s="90"/>
      <c r="D373" s="90"/>
      <c r="E373" s="90"/>
      <c r="F373" s="90"/>
      <c r="G373" s="90"/>
      <c r="H373" s="90"/>
      <c r="I373" s="90"/>
      <c r="J373" s="90"/>
      <c r="K373" s="90"/>
      <c r="L373" s="90"/>
      <c r="M373" s="90"/>
      <c r="N373" s="90"/>
      <c r="O373" s="90"/>
    </row>
    <row r="374" spans="3:15">
      <c r="C374" s="90"/>
      <c r="D374" s="90"/>
      <c r="E374" s="90"/>
      <c r="F374" s="90"/>
      <c r="G374" s="90"/>
      <c r="H374" s="90"/>
      <c r="I374" s="90"/>
      <c r="J374" s="90"/>
      <c r="K374" s="90"/>
      <c r="L374" s="90"/>
      <c r="M374" s="90"/>
      <c r="N374" s="90"/>
      <c r="O374" s="90"/>
    </row>
    <row r="375" spans="3:15">
      <c r="C375" s="90"/>
      <c r="D375" s="90"/>
      <c r="E375" s="90"/>
      <c r="F375" s="90"/>
      <c r="G375" s="90"/>
      <c r="H375" s="90"/>
      <c r="I375" s="90"/>
      <c r="J375" s="90"/>
      <c r="K375" s="90"/>
      <c r="L375" s="90"/>
      <c r="M375" s="90"/>
      <c r="N375" s="90"/>
      <c r="O375" s="90"/>
    </row>
    <row r="376" spans="3:15">
      <c r="C376" s="90"/>
      <c r="D376" s="90"/>
      <c r="E376" s="90"/>
      <c r="F376" s="90"/>
      <c r="G376" s="90"/>
      <c r="H376" s="90"/>
      <c r="I376" s="90"/>
      <c r="J376" s="90"/>
      <c r="K376" s="90"/>
      <c r="L376" s="90"/>
      <c r="M376" s="90"/>
      <c r="N376" s="90"/>
      <c r="O376" s="90"/>
    </row>
    <row r="377" spans="3:15">
      <c r="C377" s="90"/>
      <c r="D377" s="90"/>
      <c r="E377" s="90"/>
      <c r="F377" s="90"/>
      <c r="G377" s="90"/>
      <c r="H377" s="90"/>
      <c r="I377" s="90"/>
      <c r="J377" s="90"/>
      <c r="K377" s="90"/>
      <c r="L377" s="90"/>
      <c r="M377" s="90"/>
      <c r="N377" s="90"/>
      <c r="O377" s="90"/>
    </row>
    <row r="378" spans="3:15">
      <c r="C378" s="90"/>
      <c r="D378" s="90"/>
      <c r="E378" s="90"/>
      <c r="F378" s="90"/>
      <c r="G378" s="90"/>
      <c r="H378" s="90"/>
      <c r="I378" s="90"/>
      <c r="J378" s="90"/>
      <c r="K378" s="90"/>
      <c r="L378" s="90"/>
      <c r="M378" s="90"/>
      <c r="N378" s="90"/>
      <c r="O378" s="90"/>
    </row>
    <row r="379" spans="3:15">
      <c r="C379" s="90"/>
      <c r="D379" s="90"/>
      <c r="E379" s="90"/>
      <c r="F379" s="90"/>
      <c r="G379" s="90"/>
      <c r="H379" s="90"/>
      <c r="I379" s="90"/>
      <c r="J379" s="90"/>
      <c r="K379" s="90"/>
      <c r="L379" s="90"/>
      <c r="M379" s="90"/>
      <c r="N379" s="90"/>
      <c r="O379" s="90"/>
    </row>
    <row r="380" spans="3:15">
      <c r="C380" s="90"/>
      <c r="D380" s="90"/>
      <c r="E380" s="90"/>
      <c r="F380" s="90"/>
      <c r="G380" s="90"/>
      <c r="H380" s="90"/>
      <c r="I380" s="90"/>
      <c r="J380" s="90"/>
      <c r="K380" s="90"/>
      <c r="L380" s="90"/>
      <c r="M380" s="90"/>
      <c r="N380" s="90"/>
      <c r="O380" s="90"/>
    </row>
    <row r="381" spans="3:15">
      <c r="C381" s="90"/>
      <c r="D381" s="90"/>
      <c r="E381" s="90"/>
      <c r="F381" s="90"/>
      <c r="G381" s="90"/>
      <c r="H381" s="90"/>
      <c r="I381" s="90"/>
      <c r="J381" s="90"/>
      <c r="K381" s="90"/>
      <c r="L381" s="90"/>
      <c r="M381" s="90"/>
      <c r="N381" s="90"/>
      <c r="O381" s="90"/>
    </row>
    <row r="382" spans="3:15">
      <c r="C382" s="90"/>
      <c r="D382" s="90"/>
      <c r="E382" s="90"/>
      <c r="F382" s="90"/>
      <c r="G382" s="90"/>
      <c r="H382" s="90"/>
      <c r="I382" s="90"/>
      <c r="J382" s="90"/>
      <c r="K382" s="90"/>
      <c r="L382" s="90"/>
      <c r="M382" s="90"/>
      <c r="N382" s="90"/>
      <c r="O382" s="90"/>
    </row>
    <row r="383" spans="3:15">
      <c r="C383" s="90"/>
      <c r="D383" s="90"/>
      <c r="E383" s="90"/>
      <c r="F383" s="90"/>
      <c r="G383" s="90"/>
      <c r="H383" s="90"/>
      <c r="I383" s="90"/>
      <c r="J383" s="90"/>
      <c r="K383" s="90"/>
      <c r="L383" s="90"/>
      <c r="M383" s="90"/>
      <c r="N383" s="90"/>
      <c r="O383" s="90"/>
    </row>
    <row r="384" spans="3:15">
      <c r="C384" s="90"/>
      <c r="D384" s="90"/>
      <c r="E384" s="90"/>
      <c r="F384" s="90"/>
      <c r="G384" s="90"/>
      <c r="H384" s="90"/>
      <c r="I384" s="90"/>
      <c r="J384" s="90"/>
      <c r="K384" s="90"/>
      <c r="L384" s="90"/>
      <c r="M384" s="90"/>
      <c r="N384" s="90"/>
      <c r="O384" s="90"/>
    </row>
    <row r="385" spans="3:15">
      <c r="C385" s="90"/>
      <c r="D385" s="90"/>
      <c r="E385" s="90"/>
      <c r="F385" s="90"/>
      <c r="G385" s="90"/>
      <c r="H385" s="90"/>
      <c r="I385" s="90"/>
      <c r="J385" s="90"/>
      <c r="K385" s="90"/>
      <c r="L385" s="90"/>
      <c r="M385" s="90"/>
      <c r="N385" s="90"/>
      <c r="O385" s="90"/>
    </row>
    <row r="386" spans="3:15">
      <c r="C386" s="90"/>
      <c r="D386" s="90"/>
      <c r="E386" s="90"/>
      <c r="F386" s="90"/>
      <c r="G386" s="90"/>
      <c r="H386" s="90"/>
      <c r="I386" s="90"/>
      <c r="J386" s="90"/>
      <c r="K386" s="90"/>
      <c r="L386" s="90"/>
      <c r="M386" s="90"/>
      <c r="N386" s="90"/>
      <c r="O386" s="90"/>
    </row>
    <row r="387" spans="3:15">
      <c r="C387" s="90"/>
      <c r="D387" s="90"/>
      <c r="E387" s="90"/>
      <c r="F387" s="90"/>
      <c r="G387" s="90"/>
      <c r="H387" s="90"/>
      <c r="I387" s="90"/>
      <c r="J387" s="90"/>
      <c r="K387" s="90"/>
      <c r="L387" s="90"/>
      <c r="M387" s="90"/>
      <c r="N387" s="90"/>
      <c r="O387" s="90"/>
    </row>
    <row r="388" spans="3:15">
      <c r="C388" s="90"/>
      <c r="D388" s="90"/>
      <c r="E388" s="90"/>
      <c r="F388" s="90"/>
      <c r="G388" s="90"/>
      <c r="H388" s="90"/>
      <c r="I388" s="90"/>
      <c r="J388" s="90"/>
      <c r="K388" s="90"/>
      <c r="L388" s="90"/>
      <c r="M388" s="90"/>
      <c r="N388" s="90"/>
      <c r="O388" s="90"/>
    </row>
    <row r="389" spans="3:15">
      <c r="C389" s="90"/>
      <c r="D389" s="90"/>
      <c r="E389" s="90"/>
      <c r="F389" s="90"/>
      <c r="G389" s="90"/>
      <c r="H389" s="90"/>
      <c r="I389" s="90"/>
      <c r="J389" s="90"/>
      <c r="K389" s="90"/>
      <c r="L389" s="90"/>
      <c r="M389" s="90"/>
      <c r="N389" s="90"/>
      <c r="O389" s="90"/>
    </row>
    <row r="390" spans="3:15">
      <c r="C390" s="90"/>
      <c r="D390" s="90"/>
      <c r="E390" s="90"/>
      <c r="F390" s="90"/>
      <c r="G390" s="90"/>
      <c r="H390" s="90"/>
      <c r="I390" s="90"/>
      <c r="J390" s="90"/>
      <c r="K390" s="90"/>
      <c r="L390" s="90"/>
      <c r="M390" s="90"/>
      <c r="N390" s="90"/>
      <c r="O390" s="90"/>
    </row>
    <row r="391" spans="3:15">
      <c r="C391" s="90"/>
      <c r="D391" s="90"/>
      <c r="E391" s="90"/>
      <c r="F391" s="90"/>
      <c r="G391" s="90"/>
      <c r="H391" s="90"/>
      <c r="I391" s="90"/>
      <c r="J391" s="90"/>
      <c r="K391" s="90"/>
      <c r="L391" s="90"/>
      <c r="M391" s="90"/>
      <c r="N391" s="90"/>
      <c r="O391" s="90"/>
    </row>
    <row r="392" spans="3:15">
      <c r="C392" s="90"/>
      <c r="D392" s="90"/>
      <c r="E392" s="90"/>
      <c r="F392" s="90"/>
      <c r="G392" s="90"/>
      <c r="H392" s="90"/>
      <c r="I392" s="90"/>
      <c r="J392" s="90"/>
      <c r="K392" s="90"/>
      <c r="L392" s="90"/>
      <c r="M392" s="90"/>
      <c r="N392" s="90"/>
      <c r="O392" s="90"/>
    </row>
    <row r="393" spans="3:15">
      <c r="C393" s="90"/>
      <c r="D393" s="90"/>
      <c r="E393" s="90"/>
      <c r="F393" s="90"/>
      <c r="G393" s="90"/>
      <c r="H393" s="90"/>
      <c r="I393" s="90"/>
      <c r="J393" s="90"/>
      <c r="K393" s="90"/>
      <c r="L393" s="90"/>
      <c r="M393" s="90"/>
      <c r="N393" s="90"/>
      <c r="O393" s="90"/>
    </row>
    <row r="394" spans="3:15">
      <c r="C394" s="90"/>
      <c r="D394" s="90"/>
      <c r="E394" s="90"/>
      <c r="F394" s="90"/>
      <c r="G394" s="90"/>
      <c r="H394" s="90"/>
      <c r="I394" s="90"/>
      <c r="J394" s="90"/>
      <c r="K394" s="90"/>
      <c r="L394" s="90"/>
      <c r="M394" s="90"/>
      <c r="N394" s="90"/>
      <c r="O394" s="90"/>
    </row>
    <row r="395" spans="3:15">
      <c r="C395" s="90"/>
      <c r="D395" s="90"/>
      <c r="E395" s="90"/>
      <c r="F395" s="90"/>
      <c r="G395" s="90"/>
      <c r="H395" s="90"/>
      <c r="I395" s="90"/>
      <c r="J395" s="90"/>
      <c r="K395" s="90"/>
      <c r="L395" s="90"/>
      <c r="M395" s="90"/>
      <c r="N395" s="90"/>
      <c r="O395" s="90"/>
    </row>
    <row r="396" spans="3:15">
      <c r="C396" s="90"/>
      <c r="D396" s="90"/>
      <c r="E396" s="90"/>
      <c r="F396" s="90"/>
      <c r="G396" s="90"/>
      <c r="H396" s="90"/>
      <c r="I396" s="90"/>
      <c r="J396" s="90"/>
      <c r="K396" s="90"/>
      <c r="L396" s="90"/>
      <c r="M396" s="90"/>
      <c r="N396" s="90"/>
      <c r="O396" s="90"/>
    </row>
    <row r="397" spans="3:15">
      <c r="C397" s="90"/>
      <c r="D397" s="90"/>
      <c r="E397" s="90"/>
      <c r="F397" s="90"/>
      <c r="G397" s="90"/>
      <c r="H397" s="90"/>
      <c r="I397" s="90"/>
      <c r="J397" s="90"/>
      <c r="K397" s="90"/>
      <c r="L397" s="90"/>
      <c r="M397" s="90"/>
      <c r="N397" s="90"/>
      <c r="O397" s="90"/>
    </row>
    <row r="398" spans="3:15">
      <c r="C398" s="90"/>
      <c r="D398" s="90"/>
      <c r="E398" s="90"/>
      <c r="F398" s="90"/>
      <c r="G398" s="90"/>
      <c r="H398" s="90"/>
      <c r="I398" s="90"/>
      <c r="J398" s="90"/>
      <c r="K398" s="90"/>
      <c r="L398" s="90"/>
      <c r="M398" s="90"/>
      <c r="N398" s="90"/>
      <c r="O398" s="90"/>
    </row>
    <row r="399" spans="3:15">
      <c r="C399" s="90"/>
      <c r="D399" s="90"/>
      <c r="E399" s="90"/>
      <c r="F399" s="90"/>
      <c r="G399" s="90"/>
      <c r="H399" s="90"/>
      <c r="I399" s="90"/>
      <c r="J399" s="90"/>
      <c r="K399" s="90"/>
      <c r="L399" s="90"/>
      <c r="M399" s="90"/>
      <c r="N399" s="90"/>
      <c r="O399" s="90"/>
    </row>
    <row r="400" spans="3:15">
      <c r="C400" s="90"/>
      <c r="D400" s="90"/>
      <c r="E400" s="90"/>
      <c r="F400" s="90"/>
      <c r="G400" s="90"/>
      <c r="H400" s="90"/>
      <c r="I400" s="90"/>
      <c r="J400" s="90"/>
      <c r="K400" s="90"/>
      <c r="L400" s="90"/>
      <c r="M400" s="90"/>
      <c r="N400" s="90"/>
      <c r="O400" s="90"/>
    </row>
    <row r="401" spans="3:15">
      <c r="C401" s="90"/>
      <c r="D401" s="90"/>
      <c r="E401" s="90"/>
      <c r="F401" s="90"/>
      <c r="G401" s="90"/>
      <c r="H401" s="90"/>
      <c r="I401" s="90"/>
      <c r="J401" s="90"/>
      <c r="K401" s="90"/>
      <c r="L401" s="90"/>
      <c r="M401" s="90"/>
      <c r="N401" s="90"/>
      <c r="O401" s="90"/>
    </row>
    <row r="402" spans="3:15">
      <c r="C402" s="90"/>
      <c r="D402" s="90"/>
      <c r="E402" s="90"/>
      <c r="F402" s="90"/>
      <c r="G402" s="90"/>
      <c r="H402" s="90"/>
      <c r="I402" s="90"/>
      <c r="J402" s="90"/>
      <c r="K402" s="90"/>
      <c r="L402" s="90"/>
      <c r="M402" s="90"/>
      <c r="N402" s="90"/>
      <c r="O402" s="90"/>
    </row>
    <row r="403" spans="3:15">
      <c r="C403" s="90"/>
      <c r="D403" s="90"/>
      <c r="E403" s="90"/>
      <c r="F403" s="90"/>
      <c r="G403" s="90"/>
      <c r="H403" s="90"/>
      <c r="I403" s="90"/>
      <c r="J403" s="90"/>
      <c r="K403" s="90"/>
      <c r="L403" s="90"/>
      <c r="M403" s="90"/>
      <c r="N403" s="90"/>
      <c r="O403" s="90"/>
    </row>
    <row r="404" spans="3:15">
      <c r="C404" s="90"/>
      <c r="D404" s="90"/>
      <c r="E404" s="90"/>
      <c r="F404" s="90"/>
      <c r="G404" s="90"/>
      <c r="H404" s="90"/>
      <c r="I404" s="90"/>
      <c r="J404" s="90"/>
      <c r="K404" s="90"/>
      <c r="L404" s="90"/>
      <c r="M404" s="90"/>
      <c r="N404" s="90"/>
      <c r="O404" s="90"/>
    </row>
    <row r="405" spans="3:15">
      <c r="C405" s="90"/>
      <c r="D405" s="90"/>
      <c r="E405" s="90"/>
      <c r="F405" s="90"/>
      <c r="G405" s="90"/>
      <c r="H405" s="90"/>
      <c r="I405" s="90"/>
      <c r="J405" s="90"/>
      <c r="K405" s="90"/>
      <c r="L405" s="90"/>
      <c r="M405" s="90"/>
      <c r="N405" s="90"/>
      <c r="O405" s="90"/>
    </row>
    <row r="406" spans="3:15">
      <c r="C406" s="90"/>
      <c r="D406" s="90"/>
      <c r="E406" s="90"/>
      <c r="F406" s="90"/>
      <c r="G406" s="90"/>
      <c r="H406" s="90"/>
      <c r="I406" s="90"/>
      <c r="J406" s="90"/>
      <c r="K406" s="90"/>
      <c r="L406" s="90"/>
      <c r="M406" s="90"/>
      <c r="N406" s="90"/>
      <c r="O406" s="90"/>
    </row>
    <row r="407" spans="3:15">
      <c r="C407" s="90"/>
      <c r="D407" s="90"/>
      <c r="E407" s="90"/>
      <c r="F407" s="90"/>
      <c r="G407" s="90"/>
      <c r="H407" s="90"/>
      <c r="I407" s="90"/>
      <c r="J407" s="90"/>
      <c r="K407" s="90"/>
      <c r="L407" s="90"/>
      <c r="M407" s="90"/>
      <c r="N407" s="90"/>
      <c r="O407" s="90"/>
    </row>
    <row r="408" spans="3:15">
      <c r="C408" s="90"/>
      <c r="D408" s="90"/>
      <c r="E408" s="90"/>
      <c r="F408" s="90"/>
      <c r="G408" s="90"/>
      <c r="H408" s="90"/>
      <c r="I408" s="90"/>
      <c r="J408" s="90"/>
      <c r="K408" s="90"/>
      <c r="L408" s="90"/>
      <c r="M408" s="90"/>
      <c r="N408" s="90"/>
      <c r="O408" s="90"/>
    </row>
    <row r="409" spans="3:15">
      <c r="C409" s="90"/>
      <c r="D409" s="90"/>
      <c r="E409" s="90"/>
      <c r="F409" s="90"/>
      <c r="G409" s="90"/>
      <c r="H409" s="90"/>
      <c r="I409" s="90"/>
      <c r="J409" s="90"/>
      <c r="K409" s="90"/>
      <c r="L409" s="90"/>
      <c r="M409" s="90"/>
      <c r="N409" s="90"/>
      <c r="O409" s="90"/>
    </row>
    <row r="410" spans="3:15">
      <c r="C410" s="90"/>
      <c r="D410" s="90"/>
      <c r="E410" s="90"/>
      <c r="F410" s="90"/>
      <c r="G410" s="90"/>
      <c r="H410" s="90"/>
      <c r="I410" s="90"/>
      <c r="J410" s="90"/>
      <c r="K410" s="90"/>
      <c r="L410" s="90"/>
      <c r="M410" s="90"/>
      <c r="N410" s="90"/>
      <c r="O410" s="90"/>
    </row>
    <row r="411" spans="3:15">
      <c r="C411" s="90"/>
      <c r="D411" s="90"/>
      <c r="E411" s="90"/>
      <c r="F411" s="90"/>
      <c r="G411" s="90"/>
      <c r="H411" s="90"/>
      <c r="I411" s="90"/>
      <c r="J411" s="90"/>
      <c r="K411" s="90"/>
      <c r="L411" s="90"/>
      <c r="M411" s="90"/>
      <c r="N411" s="90"/>
      <c r="O411" s="90"/>
    </row>
    <row r="412" spans="3:15">
      <c r="C412" s="90"/>
      <c r="D412" s="90"/>
      <c r="E412" s="90"/>
      <c r="F412" s="90"/>
      <c r="G412" s="90"/>
      <c r="H412" s="90"/>
      <c r="I412" s="90"/>
      <c r="J412" s="90"/>
      <c r="K412" s="90"/>
      <c r="L412" s="90"/>
      <c r="M412" s="90"/>
      <c r="N412" s="90"/>
      <c r="O412" s="90"/>
    </row>
    <row r="413" spans="3:15">
      <c r="C413" s="90"/>
      <c r="D413" s="90"/>
      <c r="E413" s="90"/>
      <c r="F413" s="90"/>
      <c r="G413" s="90"/>
      <c r="H413" s="90"/>
      <c r="I413" s="90"/>
      <c r="J413" s="90"/>
      <c r="K413" s="90"/>
      <c r="L413" s="90"/>
      <c r="M413" s="90"/>
      <c r="N413" s="90"/>
      <c r="O413" s="90"/>
    </row>
    <row r="414" spans="3:15">
      <c r="C414" s="90"/>
      <c r="D414" s="90"/>
      <c r="E414" s="90"/>
      <c r="F414" s="90"/>
      <c r="G414" s="90"/>
      <c r="H414" s="90"/>
      <c r="I414" s="90"/>
      <c r="J414" s="90"/>
      <c r="K414" s="90"/>
      <c r="L414" s="90"/>
      <c r="M414" s="90"/>
      <c r="N414" s="90"/>
      <c r="O414" s="90"/>
    </row>
    <row r="415" spans="3:15">
      <c r="C415" s="90"/>
      <c r="D415" s="90"/>
      <c r="E415" s="90"/>
      <c r="F415" s="90"/>
      <c r="G415" s="90"/>
      <c r="H415" s="90"/>
      <c r="I415" s="90"/>
      <c r="J415" s="90"/>
      <c r="K415" s="90"/>
      <c r="L415" s="90"/>
      <c r="M415" s="90"/>
      <c r="N415" s="90"/>
      <c r="O415" s="90"/>
    </row>
    <row r="416" spans="3:15">
      <c r="C416" s="90"/>
      <c r="D416" s="90"/>
      <c r="E416" s="90"/>
      <c r="F416" s="90"/>
      <c r="G416" s="90"/>
      <c r="H416" s="90"/>
      <c r="I416" s="90"/>
      <c r="J416" s="90"/>
      <c r="K416" s="90"/>
      <c r="L416" s="90"/>
      <c r="M416" s="90"/>
      <c r="N416" s="90"/>
      <c r="O416" s="90"/>
    </row>
    <row r="417" spans="3:15">
      <c r="C417" s="90"/>
      <c r="D417" s="90"/>
      <c r="E417" s="90"/>
      <c r="F417" s="90"/>
      <c r="G417" s="90"/>
      <c r="H417" s="90"/>
      <c r="I417" s="90"/>
      <c r="J417" s="90"/>
      <c r="K417" s="90"/>
      <c r="L417" s="90"/>
      <c r="M417" s="90"/>
      <c r="N417" s="90"/>
      <c r="O417" s="90"/>
    </row>
    <row r="418" spans="3:15">
      <c r="C418" s="90"/>
      <c r="D418" s="90"/>
      <c r="E418" s="90"/>
      <c r="F418" s="90"/>
      <c r="G418" s="90"/>
      <c r="H418" s="90"/>
      <c r="I418" s="90"/>
      <c r="J418" s="90"/>
      <c r="K418" s="90"/>
      <c r="L418" s="90"/>
      <c r="M418" s="90"/>
      <c r="N418" s="90"/>
      <c r="O418" s="90"/>
    </row>
    <row r="419" spans="3:15">
      <c r="C419" s="90"/>
      <c r="D419" s="90"/>
      <c r="E419" s="90"/>
      <c r="F419" s="90"/>
      <c r="G419" s="90"/>
      <c r="H419" s="90"/>
      <c r="I419" s="90"/>
      <c r="J419" s="90"/>
      <c r="K419" s="90"/>
      <c r="L419" s="90"/>
      <c r="M419" s="90"/>
      <c r="N419" s="90"/>
      <c r="O419" s="90"/>
    </row>
    <row r="420" spans="3:15">
      <c r="C420" s="90"/>
      <c r="D420" s="90"/>
      <c r="E420" s="90"/>
      <c r="F420" s="90"/>
      <c r="G420" s="90"/>
      <c r="H420" s="90"/>
      <c r="I420" s="90"/>
      <c r="J420" s="90"/>
      <c r="K420" s="90"/>
      <c r="L420" s="90"/>
      <c r="M420" s="90"/>
      <c r="N420" s="90"/>
      <c r="O420" s="90"/>
    </row>
    <row r="421" spans="3:15">
      <c r="C421" s="90"/>
      <c r="D421" s="90"/>
      <c r="E421" s="90"/>
      <c r="F421" s="90"/>
      <c r="G421" s="90"/>
      <c r="H421" s="90"/>
      <c r="I421" s="90"/>
      <c r="J421" s="90"/>
      <c r="K421" s="90"/>
      <c r="L421" s="90"/>
      <c r="M421" s="90"/>
      <c r="N421" s="90"/>
      <c r="O421" s="90"/>
    </row>
    <row r="422" spans="3:15">
      <c r="C422" s="90"/>
      <c r="D422" s="90"/>
      <c r="E422" s="90"/>
      <c r="F422" s="90"/>
      <c r="G422" s="90"/>
      <c r="H422" s="90"/>
      <c r="I422" s="90"/>
      <c r="J422" s="90"/>
      <c r="K422" s="90"/>
      <c r="L422" s="90"/>
      <c r="M422" s="90"/>
      <c r="N422" s="90"/>
      <c r="O422" s="90"/>
    </row>
    <row r="423" spans="3:15">
      <c r="C423" s="90"/>
      <c r="D423" s="90"/>
      <c r="E423" s="90"/>
      <c r="F423" s="90"/>
      <c r="G423" s="90"/>
      <c r="H423" s="90"/>
      <c r="I423" s="90"/>
      <c r="J423" s="90"/>
      <c r="K423" s="90"/>
      <c r="L423" s="90"/>
      <c r="M423" s="90"/>
      <c r="N423" s="90"/>
      <c r="O423" s="90"/>
    </row>
    <row r="424" spans="3:15">
      <c r="C424" s="90"/>
      <c r="D424" s="90"/>
      <c r="E424" s="90"/>
      <c r="F424" s="90"/>
      <c r="G424" s="90"/>
      <c r="H424" s="90"/>
      <c r="I424" s="90"/>
      <c r="J424" s="90"/>
      <c r="K424" s="90"/>
      <c r="L424" s="90"/>
      <c r="M424" s="90"/>
      <c r="N424" s="90"/>
      <c r="O424" s="90"/>
    </row>
    <row r="425" spans="3:15">
      <c r="C425" s="90"/>
      <c r="D425" s="90"/>
      <c r="E425" s="90"/>
      <c r="F425" s="90"/>
      <c r="G425" s="90"/>
      <c r="H425" s="90"/>
      <c r="I425" s="90"/>
      <c r="J425" s="90"/>
      <c r="K425" s="90"/>
      <c r="L425" s="90"/>
      <c r="M425" s="90"/>
      <c r="N425" s="90"/>
      <c r="O425" s="90"/>
    </row>
    <row r="426" spans="3:15">
      <c r="C426" s="90"/>
      <c r="D426" s="90"/>
      <c r="E426" s="90"/>
      <c r="F426" s="90"/>
      <c r="G426" s="90"/>
      <c r="H426" s="90"/>
      <c r="I426" s="90"/>
      <c r="J426" s="90"/>
      <c r="K426" s="90"/>
      <c r="L426" s="90"/>
      <c r="M426" s="90"/>
      <c r="N426" s="90"/>
      <c r="O426" s="90"/>
    </row>
    <row r="427" spans="3:15">
      <c r="C427" s="90"/>
      <c r="D427" s="90"/>
      <c r="E427" s="90"/>
      <c r="F427" s="90"/>
      <c r="G427" s="90"/>
      <c r="H427" s="90"/>
      <c r="I427" s="90"/>
      <c r="J427" s="90"/>
      <c r="K427" s="90"/>
      <c r="L427" s="90"/>
      <c r="M427" s="90"/>
      <c r="N427" s="90"/>
      <c r="O427" s="90"/>
    </row>
    <row r="428" spans="3:15">
      <c r="C428" s="90"/>
      <c r="D428" s="90"/>
      <c r="E428" s="90"/>
      <c r="F428" s="90"/>
      <c r="G428" s="90"/>
      <c r="H428" s="90"/>
      <c r="I428" s="90"/>
      <c r="J428" s="90"/>
      <c r="K428" s="90"/>
      <c r="L428" s="90"/>
      <c r="M428" s="90"/>
      <c r="N428" s="90"/>
      <c r="O428" s="90"/>
    </row>
    <row r="429" spans="3:15">
      <c r="C429" s="90"/>
      <c r="D429" s="90"/>
      <c r="E429" s="90"/>
      <c r="F429" s="90"/>
      <c r="G429" s="90"/>
      <c r="H429" s="90"/>
      <c r="I429" s="90"/>
      <c r="J429" s="90"/>
      <c r="K429" s="90"/>
      <c r="L429" s="90"/>
      <c r="M429" s="90"/>
      <c r="N429" s="90"/>
      <c r="O429" s="90"/>
    </row>
    <row r="430" spans="3:15">
      <c r="C430" s="90"/>
      <c r="D430" s="90"/>
      <c r="E430" s="90"/>
      <c r="F430" s="90"/>
      <c r="G430" s="90"/>
      <c r="H430" s="90"/>
      <c r="I430" s="90"/>
      <c r="J430" s="90"/>
      <c r="K430" s="90"/>
      <c r="L430" s="90"/>
      <c r="M430" s="90"/>
      <c r="N430" s="90"/>
      <c r="O430" s="90"/>
    </row>
    <row r="431" spans="3:15">
      <c r="C431" s="90"/>
      <c r="D431" s="90"/>
      <c r="E431" s="90"/>
      <c r="F431" s="90"/>
      <c r="G431" s="90"/>
      <c r="H431" s="90"/>
      <c r="I431" s="90"/>
      <c r="J431" s="90"/>
      <c r="K431" s="90"/>
      <c r="L431" s="90"/>
      <c r="M431" s="90"/>
      <c r="N431" s="90"/>
      <c r="O431" s="90"/>
    </row>
    <row r="432" spans="3:15">
      <c r="C432" s="90"/>
      <c r="D432" s="90"/>
      <c r="E432" s="90"/>
      <c r="F432" s="90"/>
      <c r="G432" s="90"/>
      <c r="H432" s="90"/>
      <c r="I432" s="90"/>
      <c r="J432" s="90"/>
      <c r="K432" s="90"/>
      <c r="L432" s="90"/>
      <c r="M432" s="90"/>
      <c r="N432" s="90"/>
      <c r="O432" s="90"/>
    </row>
    <row r="433" spans="3:15">
      <c r="C433" s="90"/>
      <c r="D433" s="90"/>
      <c r="E433" s="90"/>
      <c r="F433" s="90"/>
      <c r="G433" s="90"/>
      <c r="H433" s="90"/>
      <c r="I433" s="90"/>
      <c r="J433" s="90"/>
      <c r="K433" s="90"/>
      <c r="L433" s="90"/>
      <c r="M433" s="90"/>
      <c r="N433" s="90"/>
      <c r="O433" s="90"/>
    </row>
    <row r="434" spans="3:15">
      <c r="C434" s="90"/>
      <c r="D434" s="90"/>
      <c r="E434" s="90"/>
      <c r="F434" s="90"/>
      <c r="G434" s="90"/>
      <c r="H434" s="90"/>
      <c r="I434" s="90"/>
      <c r="J434" s="90"/>
      <c r="K434" s="90"/>
      <c r="L434" s="90"/>
      <c r="M434" s="90"/>
      <c r="N434" s="90"/>
      <c r="O434" s="90"/>
    </row>
    <row r="435" spans="3:15">
      <c r="C435" s="90"/>
      <c r="D435" s="90"/>
      <c r="E435" s="90"/>
      <c r="F435" s="90"/>
      <c r="G435" s="90"/>
      <c r="H435" s="90"/>
      <c r="I435" s="90"/>
      <c r="J435" s="90"/>
      <c r="K435" s="90"/>
      <c r="L435" s="90"/>
      <c r="M435" s="90"/>
      <c r="N435" s="90"/>
      <c r="O435" s="90"/>
    </row>
    <row r="436" spans="3:15">
      <c r="C436" s="90"/>
      <c r="D436" s="90"/>
      <c r="E436" s="90"/>
      <c r="F436" s="90"/>
      <c r="G436" s="90"/>
      <c r="H436" s="90"/>
      <c r="I436" s="90"/>
      <c r="J436" s="90"/>
      <c r="K436" s="90"/>
      <c r="L436" s="90"/>
      <c r="M436" s="90"/>
      <c r="N436" s="90"/>
      <c r="O436" s="90"/>
    </row>
    <row r="437" spans="3:15">
      <c r="C437" s="90"/>
      <c r="D437" s="90"/>
      <c r="E437" s="90"/>
      <c r="F437" s="90"/>
      <c r="G437" s="90"/>
      <c r="H437" s="90"/>
      <c r="I437" s="90"/>
      <c r="J437" s="90"/>
      <c r="K437" s="90"/>
      <c r="L437" s="90"/>
      <c r="M437" s="90"/>
      <c r="N437" s="90"/>
      <c r="O437" s="90"/>
    </row>
    <row r="438" spans="3:15">
      <c r="C438" s="90"/>
      <c r="D438" s="90"/>
      <c r="E438" s="90"/>
      <c r="F438" s="90"/>
      <c r="G438" s="90"/>
      <c r="H438" s="90"/>
      <c r="I438" s="90"/>
      <c r="J438" s="90"/>
      <c r="K438" s="90"/>
      <c r="L438" s="90"/>
      <c r="M438" s="90"/>
      <c r="N438" s="90"/>
      <c r="O438" s="90"/>
    </row>
    <row r="439" spans="3:15">
      <c r="C439" s="90"/>
      <c r="D439" s="90"/>
      <c r="E439" s="90"/>
      <c r="F439" s="90"/>
      <c r="G439" s="90"/>
      <c r="H439" s="90"/>
      <c r="I439" s="90"/>
      <c r="J439" s="90"/>
      <c r="K439" s="90"/>
      <c r="L439" s="90"/>
      <c r="M439" s="90"/>
      <c r="N439" s="90"/>
      <c r="O439" s="90"/>
    </row>
    <row r="440" spans="3:15">
      <c r="C440" s="90"/>
      <c r="D440" s="90"/>
      <c r="E440" s="90"/>
      <c r="F440" s="90"/>
      <c r="G440" s="90"/>
      <c r="H440" s="90"/>
      <c r="I440" s="90"/>
      <c r="J440" s="90"/>
      <c r="K440" s="90"/>
      <c r="L440" s="90"/>
      <c r="M440" s="90"/>
      <c r="N440" s="90"/>
      <c r="O440" s="90"/>
    </row>
    <row r="441" spans="3:15">
      <c r="C441" s="90"/>
      <c r="D441" s="90"/>
      <c r="E441" s="90"/>
      <c r="F441" s="90"/>
      <c r="G441" s="90"/>
      <c r="H441" s="90"/>
      <c r="I441" s="90"/>
      <c r="J441" s="90"/>
      <c r="K441" s="90"/>
      <c r="L441" s="90"/>
      <c r="M441" s="90"/>
      <c r="N441" s="90"/>
      <c r="O441" s="90"/>
    </row>
    <row r="442" spans="3:15">
      <c r="C442" s="90"/>
      <c r="D442" s="90"/>
      <c r="E442" s="90"/>
      <c r="F442" s="90"/>
      <c r="G442" s="90"/>
      <c r="H442" s="90"/>
      <c r="I442" s="90"/>
      <c r="J442" s="90"/>
      <c r="K442" s="90"/>
      <c r="L442" s="90"/>
      <c r="M442" s="90"/>
      <c r="N442" s="90"/>
      <c r="O442" s="90"/>
    </row>
    <row r="443" spans="3:15">
      <c r="C443" s="90"/>
      <c r="D443" s="90"/>
      <c r="E443" s="90"/>
      <c r="F443" s="90"/>
      <c r="G443" s="90"/>
      <c r="H443" s="90"/>
      <c r="I443" s="90"/>
      <c r="J443" s="90"/>
      <c r="K443" s="90"/>
      <c r="L443" s="90"/>
      <c r="M443" s="90"/>
      <c r="N443" s="90"/>
      <c r="O443" s="90"/>
    </row>
    <row r="444" spans="3:15">
      <c r="C444" s="90"/>
      <c r="D444" s="90"/>
      <c r="E444" s="90"/>
      <c r="F444" s="90"/>
      <c r="G444" s="90"/>
      <c r="H444" s="90"/>
      <c r="I444" s="90"/>
      <c r="J444" s="90"/>
      <c r="K444" s="90"/>
      <c r="L444" s="90"/>
      <c r="M444" s="90"/>
      <c r="N444" s="90"/>
      <c r="O444" s="90"/>
    </row>
    <row r="445" spans="3:15">
      <c r="C445" s="90"/>
      <c r="D445" s="90"/>
      <c r="E445" s="90"/>
      <c r="F445" s="90"/>
      <c r="G445" s="90"/>
      <c r="H445" s="90"/>
      <c r="I445" s="90"/>
      <c r="J445" s="90"/>
      <c r="K445" s="90"/>
      <c r="L445" s="90"/>
      <c r="M445" s="90"/>
      <c r="N445" s="90"/>
      <c r="O445" s="90"/>
    </row>
    <row r="446" spans="3:15">
      <c r="C446" s="90"/>
      <c r="D446" s="90"/>
      <c r="E446" s="90"/>
      <c r="F446" s="90"/>
      <c r="G446" s="90"/>
      <c r="H446" s="90"/>
      <c r="I446" s="90"/>
      <c r="J446" s="90"/>
      <c r="K446" s="90"/>
      <c r="L446" s="90"/>
      <c r="M446" s="90"/>
      <c r="N446" s="90"/>
      <c r="O446" s="90"/>
    </row>
    <row r="447" spans="3:15">
      <c r="C447" s="90"/>
      <c r="D447" s="90"/>
      <c r="E447" s="90"/>
      <c r="F447" s="90"/>
      <c r="G447" s="90"/>
      <c r="H447" s="90"/>
      <c r="I447" s="90"/>
      <c r="J447" s="90"/>
      <c r="K447" s="90"/>
      <c r="L447" s="90"/>
      <c r="M447" s="90"/>
      <c r="N447" s="90"/>
      <c r="O447" s="90"/>
    </row>
    <row r="448" spans="3:15">
      <c r="C448" s="90"/>
      <c r="D448" s="90"/>
      <c r="E448" s="90"/>
      <c r="F448" s="90"/>
      <c r="G448" s="90"/>
      <c r="H448" s="90"/>
      <c r="I448" s="90"/>
      <c r="J448" s="90"/>
      <c r="K448" s="90"/>
      <c r="L448" s="90"/>
      <c r="M448" s="90"/>
      <c r="N448" s="90"/>
      <c r="O448" s="90"/>
    </row>
    <row r="449" spans="3:15">
      <c r="C449" s="90"/>
      <c r="D449" s="90"/>
      <c r="E449" s="90"/>
      <c r="F449" s="90"/>
      <c r="G449" s="90"/>
      <c r="H449" s="90"/>
      <c r="I449" s="90"/>
      <c r="J449" s="90"/>
      <c r="K449" s="90"/>
      <c r="L449" s="90"/>
      <c r="M449" s="90"/>
      <c r="N449" s="90"/>
      <c r="O449" s="90"/>
    </row>
    <row r="450" spans="3:15">
      <c r="C450" s="90"/>
      <c r="D450" s="90"/>
      <c r="E450" s="90"/>
      <c r="F450" s="90"/>
      <c r="G450" s="90"/>
      <c r="H450" s="90"/>
      <c r="I450" s="90"/>
      <c r="J450" s="90"/>
      <c r="K450" s="90"/>
      <c r="L450" s="90"/>
      <c r="M450" s="90"/>
      <c r="N450" s="90"/>
      <c r="O450" s="90"/>
    </row>
    <row r="451" spans="3:15">
      <c r="C451" s="90"/>
      <c r="D451" s="90"/>
      <c r="E451" s="90"/>
      <c r="F451" s="90"/>
      <c r="G451" s="90"/>
      <c r="H451" s="90"/>
      <c r="I451" s="90"/>
      <c r="J451" s="90"/>
      <c r="K451" s="90"/>
      <c r="L451" s="90"/>
      <c r="M451" s="90"/>
      <c r="N451" s="90"/>
      <c r="O451" s="90"/>
    </row>
    <row r="452" spans="3:15">
      <c r="C452" s="90"/>
      <c r="D452" s="90"/>
      <c r="E452" s="90"/>
      <c r="F452" s="90"/>
      <c r="G452" s="90"/>
      <c r="H452" s="90"/>
      <c r="I452" s="90"/>
      <c r="J452" s="90"/>
      <c r="K452" s="90"/>
      <c r="L452" s="90"/>
      <c r="M452" s="90"/>
      <c r="N452" s="90"/>
      <c r="O452" s="90"/>
    </row>
    <row r="453" spans="3:15">
      <c r="C453" s="90"/>
      <c r="D453" s="90"/>
      <c r="E453" s="90"/>
      <c r="F453" s="90"/>
      <c r="G453" s="90"/>
      <c r="H453" s="90"/>
      <c r="I453" s="90"/>
      <c r="J453" s="90"/>
      <c r="K453" s="90"/>
      <c r="L453" s="90"/>
      <c r="M453" s="90"/>
      <c r="N453" s="90"/>
      <c r="O453" s="90"/>
    </row>
    <row r="454" spans="3:15">
      <c r="C454" s="90"/>
      <c r="D454" s="90"/>
      <c r="E454" s="90"/>
      <c r="F454" s="90"/>
      <c r="G454" s="90"/>
      <c r="H454" s="90"/>
      <c r="I454" s="90"/>
      <c r="J454" s="90"/>
      <c r="K454" s="90"/>
      <c r="L454" s="90"/>
      <c r="M454" s="90"/>
      <c r="N454" s="90"/>
      <c r="O454" s="90"/>
    </row>
    <row r="455" spans="3:15">
      <c r="C455" s="90"/>
      <c r="D455" s="90"/>
      <c r="E455" s="90"/>
      <c r="F455" s="90"/>
      <c r="G455" s="90"/>
      <c r="H455" s="90"/>
      <c r="I455" s="90"/>
      <c r="J455" s="90"/>
      <c r="K455" s="90"/>
      <c r="L455" s="90"/>
      <c r="M455" s="90"/>
      <c r="N455" s="90"/>
      <c r="O455" s="90"/>
    </row>
    <row r="456" spans="3:15">
      <c r="C456" s="90"/>
      <c r="D456" s="90"/>
      <c r="E456" s="90"/>
      <c r="F456" s="90"/>
      <c r="G456" s="90"/>
      <c r="H456" s="90"/>
      <c r="I456" s="90"/>
      <c r="J456" s="90"/>
      <c r="K456" s="90"/>
      <c r="L456" s="90"/>
      <c r="M456" s="90"/>
      <c r="N456" s="90"/>
      <c r="O456" s="90"/>
    </row>
    <row r="457" spans="3:15">
      <c r="C457" s="90"/>
      <c r="D457" s="90"/>
      <c r="E457" s="90"/>
      <c r="F457" s="90"/>
      <c r="G457" s="90"/>
      <c r="H457" s="90"/>
      <c r="I457" s="90"/>
      <c r="J457" s="90"/>
      <c r="K457" s="90"/>
      <c r="L457" s="90"/>
      <c r="M457" s="90"/>
      <c r="N457" s="90"/>
      <c r="O457" s="90"/>
    </row>
    <row r="458" spans="3:15">
      <c r="C458" s="90"/>
      <c r="D458" s="90"/>
      <c r="E458" s="90"/>
      <c r="F458" s="90"/>
      <c r="G458" s="90"/>
      <c r="H458" s="90"/>
      <c r="I458" s="90"/>
      <c r="J458" s="90"/>
      <c r="K458" s="90"/>
      <c r="L458" s="90"/>
      <c r="M458" s="90"/>
      <c r="N458" s="90"/>
      <c r="O458" s="90"/>
    </row>
    <row r="459" spans="3:15">
      <c r="C459" s="90"/>
      <c r="D459" s="90"/>
      <c r="E459" s="90"/>
      <c r="F459" s="90"/>
      <c r="G459" s="90"/>
      <c r="H459" s="90"/>
      <c r="I459" s="90"/>
      <c r="J459" s="90"/>
      <c r="K459" s="90"/>
      <c r="L459" s="90"/>
      <c r="M459" s="90"/>
      <c r="N459" s="90"/>
      <c r="O459" s="90"/>
    </row>
    <row r="460" spans="3:15">
      <c r="C460" s="90"/>
      <c r="D460" s="90"/>
      <c r="E460" s="90"/>
      <c r="F460" s="90"/>
      <c r="G460" s="90"/>
      <c r="H460" s="90"/>
      <c r="I460" s="90"/>
      <c r="J460" s="90"/>
      <c r="K460" s="90"/>
      <c r="L460" s="90"/>
      <c r="M460" s="90"/>
      <c r="N460" s="90"/>
      <c r="O460" s="90"/>
    </row>
    <row r="461" spans="3:15">
      <c r="C461" s="90"/>
      <c r="D461" s="90"/>
      <c r="E461" s="90"/>
      <c r="F461" s="90"/>
      <c r="G461" s="90"/>
      <c r="H461" s="90"/>
      <c r="I461" s="90"/>
      <c r="J461" s="90"/>
      <c r="K461" s="90"/>
      <c r="L461" s="90"/>
      <c r="M461" s="90"/>
      <c r="N461" s="90"/>
      <c r="O461" s="90"/>
    </row>
    <row r="462" spans="3:15">
      <c r="C462" s="90"/>
      <c r="D462" s="90"/>
      <c r="E462" s="90"/>
      <c r="F462" s="90"/>
      <c r="G462" s="90"/>
      <c r="H462" s="90"/>
      <c r="I462" s="90"/>
      <c r="J462" s="90"/>
      <c r="K462" s="90"/>
      <c r="L462" s="90"/>
      <c r="M462" s="90"/>
      <c r="N462" s="90"/>
      <c r="O462" s="90"/>
    </row>
    <row r="463" spans="3:15">
      <c r="C463" s="90"/>
      <c r="D463" s="90"/>
      <c r="E463" s="90"/>
      <c r="F463" s="90"/>
      <c r="G463" s="90"/>
      <c r="H463" s="90"/>
      <c r="I463" s="90"/>
      <c r="J463" s="90"/>
      <c r="K463" s="90"/>
      <c r="L463" s="90"/>
      <c r="M463" s="90"/>
      <c r="N463" s="90"/>
      <c r="O463" s="90"/>
    </row>
    <row r="464" spans="3:15">
      <c r="C464" s="90"/>
      <c r="D464" s="90"/>
      <c r="E464" s="90"/>
      <c r="F464" s="90"/>
      <c r="G464" s="90"/>
      <c r="H464" s="90"/>
      <c r="I464" s="90"/>
      <c r="J464" s="90"/>
      <c r="K464" s="90"/>
      <c r="L464" s="90"/>
      <c r="M464" s="90"/>
      <c r="N464" s="90"/>
      <c r="O464" s="90"/>
    </row>
    <row r="465" spans="3:15">
      <c r="C465" s="90"/>
      <c r="D465" s="90"/>
      <c r="E465" s="90"/>
      <c r="F465" s="90"/>
      <c r="G465" s="90"/>
      <c r="H465" s="90"/>
      <c r="I465" s="90"/>
      <c r="J465" s="90"/>
      <c r="K465" s="90"/>
      <c r="L465" s="90"/>
      <c r="M465" s="90"/>
      <c r="N465" s="90"/>
      <c r="O465" s="90"/>
    </row>
    <row r="466" spans="3:15">
      <c r="C466" s="90"/>
      <c r="D466" s="90"/>
      <c r="E466" s="90"/>
      <c r="F466" s="90"/>
      <c r="G466" s="90"/>
      <c r="H466" s="90"/>
      <c r="I466" s="90"/>
      <c r="J466" s="90"/>
      <c r="K466" s="90"/>
      <c r="L466" s="90"/>
      <c r="M466" s="90"/>
      <c r="N466" s="90"/>
      <c r="O466" s="90"/>
    </row>
    <row r="467" spans="3:15">
      <c r="C467" s="90"/>
      <c r="D467" s="90"/>
      <c r="E467" s="90"/>
      <c r="F467" s="90"/>
      <c r="G467" s="90"/>
      <c r="H467" s="90"/>
      <c r="I467" s="90"/>
      <c r="J467" s="90"/>
      <c r="K467" s="90"/>
      <c r="L467" s="90"/>
      <c r="M467" s="90"/>
      <c r="N467" s="90"/>
      <c r="O467" s="90"/>
    </row>
    <row r="468" spans="3:15">
      <c r="C468" s="90"/>
      <c r="D468" s="90"/>
      <c r="E468" s="90"/>
      <c r="F468" s="90"/>
      <c r="G468" s="90"/>
      <c r="H468" s="90"/>
      <c r="I468" s="90"/>
      <c r="J468" s="90"/>
      <c r="K468" s="90"/>
      <c r="L468" s="90"/>
      <c r="M468" s="90"/>
      <c r="N468" s="90"/>
      <c r="O468" s="90"/>
    </row>
    <row r="469" spans="3:15">
      <c r="C469" s="90"/>
      <c r="D469" s="90"/>
      <c r="E469" s="90"/>
      <c r="F469" s="90"/>
      <c r="G469" s="90"/>
      <c r="H469" s="90"/>
      <c r="I469" s="90"/>
      <c r="J469" s="90"/>
      <c r="K469" s="90"/>
      <c r="L469" s="90"/>
      <c r="M469" s="90"/>
      <c r="N469" s="90"/>
      <c r="O469" s="90"/>
    </row>
    <row r="470" spans="3:15">
      <c r="C470" s="90"/>
      <c r="D470" s="90"/>
      <c r="E470" s="90"/>
      <c r="F470" s="90"/>
      <c r="G470" s="90"/>
      <c r="H470" s="90"/>
      <c r="I470" s="90"/>
      <c r="J470" s="90"/>
      <c r="K470" s="90"/>
      <c r="L470" s="90"/>
      <c r="M470" s="90"/>
      <c r="N470" s="90"/>
      <c r="O470" s="90"/>
    </row>
    <row r="471" spans="3:15">
      <c r="C471" s="90"/>
      <c r="D471" s="90"/>
      <c r="E471" s="90"/>
      <c r="F471" s="90"/>
      <c r="G471" s="90"/>
      <c r="H471" s="90"/>
      <c r="I471" s="90"/>
      <c r="J471" s="90"/>
      <c r="K471" s="90"/>
      <c r="L471" s="90"/>
      <c r="M471" s="90"/>
      <c r="N471" s="90"/>
      <c r="O471" s="90"/>
    </row>
    <row r="472" spans="3:15">
      <c r="C472" s="90"/>
      <c r="D472" s="90"/>
      <c r="E472" s="90"/>
      <c r="F472" s="90"/>
      <c r="G472" s="90"/>
      <c r="H472" s="90"/>
      <c r="I472" s="90"/>
      <c r="J472" s="90"/>
      <c r="K472" s="90"/>
      <c r="L472" s="90"/>
      <c r="M472" s="90"/>
      <c r="N472" s="90"/>
      <c r="O472" s="90"/>
    </row>
    <row r="473" spans="3:15">
      <c r="C473" s="90"/>
      <c r="D473" s="90"/>
      <c r="E473" s="90"/>
      <c r="F473" s="90"/>
      <c r="G473" s="90"/>
      <c r="H473" s="90"/>
      <c r="I473" s="90"/>
      <c r="J473" s="90"/>
      <c r="K473" s="90"/>
      <c r="L473" s="90"/>
      <c r="M473" s="90"/>
      <c r="N473" s="90"/>
      <c r="O473" s="90"/>
    </row>
    <row r="474" spans="3:15">
      <c r="C474" s="90"/>
      <c r="D474" s="90"/>
      <c r="E474" s="90"/>
      <c r="F474" s="90"/>
      <c r="G474" s="90"/>
      <c r="H474" s="90"/>
      <c r="I474" s="90"/>
      <c r="J474" s="90"/>
      <c r="K474" s="90"/>
      <c r="L474" s="90"/>
      <c r="M474" s="90"/>
      <c r="N474" s="90"/>
      <c r="O474" s="90"/>
    </row>
    <row r="475" spans="3:15">
      <c r="C475" s="90"/>
      <c r="D475" s="90"/>
      <c r="E475" s="90"/>
      <c r="F475" s="90"/>
      <c r="G475" s="90"/>
      <c r="H475" s="90"/>
      <c r="I475" s="90"/>
      <c r="J475" s="90"/>
      <c r="K475" s="90"/>
      <c r="L475" s="90"/>
      <c r="M475" s="90"/>
      <c r="N475" s="90"/>
      <c r="O475" s="90"/>
    </row>
    <row r="476" spans="3:15">
      <c r="C476" s="90"/>
      <c r="D476" s="90"/>
      <c r="E476" s="90"/>
      <c r="F476" s="90"/>
      <c r="G476" s="90"/>
      <c r="H476" s="90"/>
      <c r="I476" s="90"/>
      <c r="J476" s="90"/>
      <c r="K476" s="90"/>
      <c r="L476" s="90"/>
      <c r="M476" s="90"/>
      <c r="N476" s="90"/>
      <c r="O476" s="90"/>
    </row>
    <row r="477" spans="3:15">
      <c r="C477" s="90"/>
      <c r="D477" s="90"/>
      <c r="E477" s="90"/>
      <c r="F477" s="90"/>
      <c r="G477" s="90"/>
      <c r="H477" s="90"/>
      <c r="I477" s="90"/>
      <c r="J477" s="90"/>
      <c r="K477" s="90"/>
      <c r="L477" s="90"/>
      <c r="M477" s="90"/>
      <c r="N477" s="90"/>
      <c r="O477" s="90"/>
    </row>
    <row r="478" spans="3:15">
      <c r="C478" s="90"/>
      <c r="D478" s="90"/>
      <c r="E478" s="90"/>
      <c r="F478" s="90"/>
      <c r="G478" s="90"/>
      <c r="H478" s="90"/>
      <c r="I478" s="90"/>
      <c r="J478" s="90"/>
      <c r="K478" s="90"/>
      <c r="L478" s="90"/>
      <c r="M478" s="90"/>
      <c r="N478" s="90"/>
      <c r="O478" s="90"/>
    </row>
    <row r="479" spans="3:15">
      <c r="C479" s="90"/>
      <c r="D479" s="90"/>
      <c r="E479" s="90"/>
      <c r="F479" s="90"/>
      <c r="G479" s="90"/>
      <c r="H479" s="90"/>
      <c r="I479" s="90"/>
      <c r="J479" s="90"/>
      <c r="K479" s="90"/>
      <c r="L479" s="90"/>
      <c r="M479" s="90"/>
      <c r="N479" s="90"/>
      <c r="O479" s="90"/>
    </row>
    <row r="480" spans="3:15">
      <c r="C480" s="90"/>
      <c r="D480" s="90"/>
      <c r="E480" s="90"/>
      <c r="F480" s="90"/>
      <c r="G480" s="90"/>
      <c r="H480" s="90"/>
      <c r="I480" s="90"/>
      <c r="J480" s="90"/>
      <c r="K480" s="90"/>
      <c r="L480" s="90"/>
      <c r="M480" s="90"/>
      <c r="N480" s="90"/>
      <c r="O480" s="90"/>
    </row>
    <row r="481" spans="3:15">
      <c r="C481" s="90"/>
      <c r="D481" s="90"/>
      <c r="E481" s="90"/>
      <c r="F481" s="90"/>
      <c r="G481" s="90"/>
      <c r="H481" s="90"/>
      <c r="I481" s="90"/>
      <c r="J481" s="90"/>
      <c r="K481" s="90"/>
      <c r="L481" s="90"/>
      <c r="M481" s="90"/>
      <c r="N481" s="90"/>
      <c r="O481" s="90"/>
    </row>
    <row r="482" spans="3:15">
      <c r="C482" s="90"/>
      <c r="D482" s="90"/>
      <c r="E482" s="90"/>
      <c r="F482" s="90"/>
      <c r="G482" s="90"/>
      <c r="H482" s="90"/>
      <c r="I482" s="90"/>
      <c r="J482" s="90"/>
      <c r="K482" s="90"/>
      <c r="L482" s="90"/>
      <c r="M482" s="90"/>
      <c r="N482" s="90"/>
      <c r="O482" s="90"/>
    </row>
    <row r="483" spans="3:15">
      <c r="C483" s="90"/>
      <c r="D483" s="90"/>
      <c r="E483" s="90"/>
      <c r="F483" s="90"/>
      <c r="G483" s="90"/>
      <c r="H483" s="90"/>
      <c r="I483" s="90"/>
      <c r="J483" s="90"/>
      <c r="K483" s="90"/>
      <c r="L483" s="90"/>
      <c r="M483" s="90"/>
      <c r="N483" s="90"/>
      <c r="O483" s="90"/>
    </row>
    <row r="484" spans="3:15">
      <c r="C484" s="90"/>
      <c r="D484" s="90"/>
      <c r="E484" s="90"/>
      <c r="F484" s="90"/>
      <c r="G484" s="90"/>
      <c r="H484" s="90"/>
      <c r="I484" s="90"/>
      <c r="J484" s="90"/>
      <c r="K484" s="90"/>
      <c r="L484" s="90"/>
      <c r="M484" s="90"/>
      <c r="N484" s="90"/>
      <c r="O484" s="90"/>
    </row>
    <row r="485" spans="3:15">
      <c r="C485" s="90"/>
      <c r="D485" s="90"/>
      <c r="E485" s="90"/>
      <c r="F485" s="90"/>
      <c r="G485" s="90"/>
      <c r="H485" s="90"/>
      <c r="I485" s="90"/>
      <c r="J485" s="90"/>
      <c r="K485" s="90"/>
      <c r="L485" s="90"/>
      <c r="M485" s="90"/>
      <c r="N485" s="90"/>
      <c r="O485" s="90"/>
    </row>
    <row r="486" spans="3:15">
      <c r="C486" s="90"/>
      <c r="D486" s="90"/>
      <c r="E486" s="90"/>
      <c r="F486" s="90"/>
      <c r="G486" s="90"/>
      <c r="H486" s="90"/>
      <c r="I486" s="90"/>
      <c r="J486" s="90"/>
      <c r="K486" s="90"/>
      <c r="L486" s="90"/>
      <c r="M486" s="90"/>
      <c r="N486" s="90"/>
      <c r="O486" s="90"/>
    </row>
    <row r="487" spans="3:15">
      <c r="C487" s="90"/>
      <c r="D487" s="90"/>
      <c r="E487" s="90"/>
      <c r="F487" s="90"/>
      <c r="G487" s="90"/>
      <c r="H487" s="90"/>
      <c r="I487" s="90"/>
      <c r="J487" s="90"/>
      <c r="K487" s="90"/>
      <c r="L487" s="90"/>
      <c r="M487" s="90"/>
      <c r="N487" s="90"/>
      <c r="O487" s="90"/>
    </row>
    <row r="488" spans="3:15">
      <c r="C488" s="90"/>
      <c r="D488" s="90"/>
      <c r="E488" s="90"/>
      <c r="F488" s="90"/>
      <c r="G488" s="90"/>
      <c r="H488" s="90"/>
      <c r="I488" s="90"/>
      <c r="J488" s="90"/>
      <c r="K488" s="90"/>
      <c r="L488" s="90"/>
      <c r="M488" s="90"/>
      <c r="N488" s="90"/>
      <c r="O488" s="90"/>
    </row>
    <row r="489" spans="3:15">
      <c r="C489" s="90"/>
      <c r="D489" s="90"/>
      <c r="E489" s="90"/>
      <c r="F489" s="90"/>
      <c r="G489" s="90"/>
      <c r="H489" s="90"/>
      <c r="I489" s="90"/>
      <c r="J489" s="90"/>
      <c r="K489" s="90"/>
      <c r="L489" s="90"/>
      <c r="M489" s="90"/>
      <c r="N489" s="90"/>
      <c r="O489" s="90"/>
    </row>
    <row r="490" spans="3:15">
      <c r="C490" s="90"/>
      <c r="D490" s="90"/>
      <c r="E490" s="90"/>
      <c r="F490" s="90"/>
      <c r="G490" s="90"/>
      <c r="H490" s="90"/>
      <c r="I490" s="90"/>
      <c r="J490" s="90"/>
      <c r="K490" s="90"/>
      <c r="L490" s="90"/>
      <c r="M490" s="90"/>
      <c r="N490" s="90"/>
      <c r="O490" s="90"/>
    </row>
    <row r="491" spans="3:15">
      <c r="C491" s="90"/>
      <c r="D491" s="90"/>
      <c r="E491" s="90"/>
      <c r="F491" s="90"/>
      <c r="G491" s="90"/>
      <c r="H491" s="90"/>
      <c r="I491" s="90"/>
      <c r="J491" s="90"/>
      <c r="K491" s="90"/>
      <c r="L491" s="90"/>
      <c r="M491" s="90"/>
      <c r="N491" s="90"/>
      <c r="O491" s="90"/>
    </row>
    <row r="492" spans="3:15">
      <c r="C492" s="90"/>
      <c r="D492" s="90"/>
      <c r="E492" s="90"/>
      <c r="F492" s="90"/>
      <c r="G492" s="90"/>
      <c r="H492" s="90"/>
      <c r="I492" s="90"/>
      <c r="J492" s="90"/>
      <c r="K492" s="90"/>
      <c r="L492" s="90"/>
      <c r="M492" s="90"/>
      <c r="N492" s="90"/>
      <c r="O492" s="90"/>
    </row>
    <row r="493" spans="3:15">
      <c r="C493" s="90"/>
      <c r="D493" s="90"/>
      <c r="E493" s="90"/>
      <c r="F493" s="90"/>
      <c r="G493" s="90"/>
      <c r="H493" s="90"/>
      <c r="I493" s="90"/>
      <c r="J493" s="90"/>
      <c r="K493" s="90"/>
      <c r="L493" s="90"/>
      <c r="M493" s="90"/>
      <c r="N493" s="90"/>
      <c r="O493" s="90"/>
    </row>
    <row r="494" spans="3:15">
      <c r="C494" s="90"/>
      <c r="D494" s="90"/>
      <c r="E494" s="90"/>
      <c r="F494" s="90"/>
      <c r="G494" s="90"/>
      <c r="H494" s="90"/>
      <c r="I494" s="90"/>
      <c r="J494" s="90"/>
      <c r="K494" s="90"/>
      <c r="L494" s="90"/>
      <c r="M494" s="90"/>
      <c r="N494" s="90"/>
      <c r="O494" s="90"/>
    </row>
    <row r="495" spans="3:15">
      <c r="C495" s="90"/>
      <c r="D495" s="90"/>
      <c r="E495" s="90"/>
      <c r="F495" s="90"/>
      <c r="G495" s="90"/>
      <c r="H495" s="90"/>
      <c r="I495" s="90"/>
      <c r="J495" s="90"/>
      <c r="K495" s="90"/>
      <c r="L495" s="90"/>
      <c r="M495" s="90"/>
      <c r="N495" s="90"/>
      <c r="O495" s="90"/>
    </row>
    <row r="496" spans="3:15">
      <c r="C496" s="90"/>
      <c r="D496" s="90"/>
      <c r="E496" s="90"/>
      <c r="F496" s="90"/>
      <c r="G496" s="90"/>
      <c r="H496" s="90"/>
      <c r="I496" s="90"/>
      <c r="J496" s="90"/>
      <c r="K496" s="90"/>
      <c r="L496" s="90"/>
      <c r="M496" s="90"/>
      <c r="N496" s="90"/>
      <c r="O496" s="90"/>
    </row>
    <row r="497" spans="3:15">
      <c r="C497" s="90"/>
      <c r="D497" s="90"/>
      <c r="E497" s="90"/>
      <c r="F497" s="90"/>
      <c r="G497" s="90"/>
      <c r="H497" s="90"/>
      <c r="I497" s="90"/>
      <c r="J497" s="90"/>
      <c r="K497" s="90"/>
      <c r="L497" s="90"/>
      <c r="M497" s="90"/>
      <c r="N497" s="90"/>
      <c r="O497" s="90"/>
    </row>
    <row r="498" spans="3:15">
      <c r="C498" s="90"/>
      <c r="D498" s="90"/>
      <c r="E498" s="90"/>
      <c r="F498" s="90"/>
      <c r="G498" s="90"/>
      <c r="H498" s="90"/>
      <c r="I498" s="90"/>
      <c r="J498" s="90"/>
      <c r="K498" s="90"/>
      <c r="L498" s="90"/>
      <c r="M498" s="90"/>
      <c r="N498" s="90"/>
      <c r="O498" s="90"/>
    </row>
    <row r="499" spans="3:15">
      <c r="C499" s="90"/>
      <c r="D499" s="90"/>
      <c r="E499" s="90"/>
      <c r="F499" s="90"/>
      <c r="G499" s="90"/>
      <c r="H499" s="90"/>
      <c r="I499" s="90"/>
      <c r="J499" s="90"/>
      <c r="K499" s="90"/>
      <c r="L499" s="90"/>
      <c r="M499" s="90"/>
      <c r="N499" s="90"/>
      <c r="O499" s="90"/>
    </row>
    <row r="500" spans="3:15">
      <c r="C500" s="90"/>
      <c r="D500" s="90"/>
      <c r="E500" s="90"/>
      <c r="F500" s="90"/>
      <c r="G500" s="90"/>
      <c r="H500" s="90"/>
      <c r="I500" s="90"/>
      <c r="J500" s="90"/>
      <c r="K500" s="90"/>
      <c r="L500" s="90"/>
      <c r="M500" s="90"/>
      <c r="N500" s="90"/>
      <c r="O500" s="90"/>
    </row>
    <row r="501" spans="3:15">
      <c r="C501" s="90"/>
      <c r="D501" s="90"/>
      <c r="E501" s="90"/>
      <c r="F501" s="90"/>
      <c r="G501" s="90"/>
      <c r="H501" s="90"/>
      <c r="I501" s="90"/>
      <c r="J501" s="90"/>
      <c r="K501" s="90"/>
      <c r="L501" s="90"/>
      <c r="M501" s="90"/>
      <c r="N501" s="90"/>
      <c r="O501" s="90"/>
    </row>
    <row r="502" spans="3:15">
      <c r="C502" s="90"/>
      <c r="D502" s="90"/>
      <c r="E502" s="90"/>
      <c r="F502" s="90"/>
      <c r="G502" s="90"/>
      <c r="H502" s="90"/>
      <c r="I502" s="90"/>
      <c r="J502" s="90"/>
      <c r="K502" s="90"/>
      <c r="L502" s="90"/>
      <c r="M502" s="90"/>
      <c r="N502" s="90"/>
      <c r="O502" s="90"/>
    </row>
    <row r="503" spans="3:15">
      <c r="C503" s="90"/>
      <c r="D503" s="90"/>
      <c r="E503" s="90"/>
      <c r="F503" s="90"/>
      <c r="G503" s="90"/>
      <c r="H503" s="90"/>
      <c r="I503" s="90"/>
      <c r="J503" s="90"/>
      <c r="K503" s="90"/>
      <c r="L503" s="90"/>
      <c r="M503" s="90"/>
      <c r="N503" s="90"/>
      <c r="O503" s="90"/>
    </row>
    <row r="504" spans="3:15">
      <c r="C504" s="90"/>
      <c r="D504" s="90"/>
      <c r="E504" s="90"/>
      <c r="F504" s="90"/>
      <c r="G504" s="90"/>
      <c r="H504" s="90"/>
      <c r="I504" s="90"/>
      <c r="J504" s="90"/>
      <c r="K504" s="90"/>
      <c r="L504" s="90"/>
      <c r="M504" s="90"/>
      <c r="N504" s="90"/>
      <c r="O504" s="90"/>
    </row>
    <row r="505" spans="3:15">
      <c r="C505" s="90"/>
      <c r="D505" s="90"/>
      <c r="E505" s="90"/>
      <c r="F505" s="90"/>
      <c r="G505" s="90"/>
      <c r="H505" s="90"/>
      <c r="I505" s="90"/>
      <c r="J505" s="90"/>
      <c r="K505" s="90"/>
      <c r="L505" s="90"/>
      <c r="M505" s="90"/>
      <c r="N505" s="90"/>
      <c r="O505" s="90"/>
    </row>
    <row r="506" spans="3:15">
      <c r="C506" s="90"/>
      <c r="D506" s="90"/>
      <c r="E506" s="90"/>
      <c r="F506" s="90"/>
      <c r="G506" s="90"/>
      <c r="H506" s="90"/>
      <c r="I506" s="90"/>
      <c r="J506" s="90"/>
      <c r="K506" s="90"/>
      <c r="L506" s="90"/>
      <c r="M506" s="90"/>
      <c r="N506" s="90"/>
      <c r="O506" s="90"/>
    </row>
    <row r="507" spans="3:15">
      <c r="C507" s="90"/>
      <c r="D507" s="90"/>
      <c r="E507" s="90"/>
      <c r="F507" s="90"/>
      <c r="G507" s="90"/>
      <c r="H507" s="90"/>
      <c r="I507" s="90"/>
      <c r="J507" s="90"/>
      <c r="K507" s="90"/>
      <c r="L507" s="90"/>
      <c r="M507" s="90"/>
      <c r="N507" s="90"/>
      <c r="O507" s="90"/>
    </row>
    <row r="508" spans="3:15">
      <c r="C508" s="90"/>
      <c r="D508" s="90"/>
      <c r="E508" s="90"/>
      <c r="F508" s="90"/>
      <c r="G508" s="90"/>
      <c r="H508" s="90"/>
      <c r="I508" s="90"/>
      <c r="J508" s="90"/>
      <c r="K508" s="90"/>
      <c r="L508" s="90"/>
      <c r="M508" s="90"/>
      <c r="N508" s="90"/>
      <c r="O508" s="90"/>
    </row>
    <row r="509" spans="3:15">
      <c r="C509" s="90"/>
      <c r="D509" s="90"/>
      <c r="E509" s="90"/>
      <c r="F509" s="90"/>
      <c r="G509" s="90"/>
      <c r="H509" s="90"/>
      <c r="I509" s="90"/>
      <c r="J509" s="90"/>
      <c r="K509" s="90"/>
      <c r="L509" s="90"/>
      <c r="M509" s="90"/>
      <c r="N509" s="90"/>
      <c r="O509" s="90"/>
    </row>
    <row r="510" spans="3:15">
      <c r="C510" s="90"/>
      <c r="D510" s="90"/>
      <c r="E510" s="90"/>
      <c r="F510" s="90"/>
      <c r="G510" s="90"/>
      <c r="H510" s="90"/>
      <c r="I510" s="90"/>
      <c r="J510" s="90"/>
      <c r="K510" s="90"/>
      <c r="L510" s="90"/>
      <c r="M510" s="90"/>
      <c r="N510" s="90"/>
      <c r="O510" s="90"/>
    </row>
    <row r="511" spans="3:15">
      <c r="C511" s="90"/>
      <c r="D511" s="90"/>
      <c r="E511" s="90"/>
      <c r="F511" s="90"/>
      <c r="G511" s="90"/>
      <c r="H511" s="90"/>
      <c r="I511" s="90"/>
      <c r="J511" s="90"/>
      <c r="K511" s="90"/>
      <c r="L511" s="90"/>
      <c r="M511" s="90"/>
      <c r="N511" s="90"/>
      <c r="O511" s="90"/>
    </row>
    <row r="512" spans="3:15">
      <c r="C512" s="90"/>
      <c r="D512" s="90"/>
      <c r="E512" s="90"/>
      <c r="F512" s="90"/>
      <c r="G512" s="90"/>
      <c r="H512" s="90"/>
      <c r="I512" s="90"/>
      <c r="J512" s="90"/>
      <c r="K512" s="90"/>
      <c r="L512" s="90"/>
      <c r="M512" s="90"/>
      <c r="N512" s="90"/>
      <c r="O512" s="90"/>
    </row>
    <row r="513" spans="3:15">
      <c r="C513" s="90"/>
      <c r="D513" s="90"/>
      <c r="E513" s="90"/>
      <c r="F513" s="90"/>
      <c r="G513" s="90"/>
      <c r="H513" s="90"/>
      <c r="I513" s="90"/>
      <c r="J513" s="90"/>
      <c r="K513" s="90"/>
      <c r="L513" s="90"/>
      <c r="M513" s="90"/>
      <c r="N513" s="90"/>
      <c r="O513" s="90"/>
    </row>
    <row r="514" spans="3:15">
      <c r="C514" s="90"/>
      <c r="D514" s="90"/>
      <c r="E514" s="90"/>
      <c r="F514" s="90"/>
      <c r="G514" s="90"/>
      <c r="H514" s="90"/>
      <c r="I514" s="90"/>
      <c r="J514" s="90"/>
      <c r="K514" s="90"/>
      <c r="L514" s="90"/>
      <c r="M514" s="90"/>
      <c r="N514" s="90"/>
      <c r="O514" s="90"/>
    </row>
    <row r="515" spans="3:15">
      <c r="C515" s="90"/>
      <c r="D515" s="90"/>
      <c r="E515" s="90"/>
      <c r="F515" s="90"/>
      <c r="G515" s="90"/>
      <c r="H515" s="90"/>
      <c r="I515" s="90"/>
      <c r="J515" s="90"/>
      <c r="K515" s="90"/>
      <c r="L515" s="90"/>
      <c r="M515" s="90"/>
      <c r="N515" s="90"/>
      <c r="O515" s="90"/>
    </row>
    <row r="516" spans="3:15">
      <c r="C516" s="90"/>
      <c r="D516" s="90"/>
      <c r="E516" s="90"/>
      <c r="F516" s="90"/>
      <c r="G516" s="90"/>
      <c r="H516" s="90"/>
      <c r="I516" s="90"/>
      <c r="J516" s="90"/>
      <c r="K516" s="90"/>
      <c r="L516" s="90"/>
      <c r="M516" s="90"/>
      <c r="N516" s="90"/>
      <c r="O516" s="90"/>
    </row>
    <row r="517" spans="3:15">
      <c r="C517" s="90"/>
      <c r="D517" s="90"/>
      <c r="E517" s="90"/>
      <c r="F517" s="90"/>
      <c r="G517" s="90"/>
      <c r="H517" s="90"/>
      <c r="I517" s="90"/>
      <c r="J517" s="90"/>
      <c r="K517" s="90"/>
      <c r="L517" s="90"/>
      <c r="M517" s="90"/>
      <c r="N517" s="90"/>
      <c r="O517" s="90"/>
    </row>
    <row r="518" spans="3:15">
      <c r="C518" s="90"/>
      <c r="D518" s="90"/>
      <c r="E518" s="90"/>
      <c r="F518" s="90"/>
      <c r="G518" s="90"/>
      <c r="H518" s="90"/>
      <c r="I518" s="90"/>
      <c r="J518" s="90"/>
      <c r="K518" s="90"/>
      <c r="L518" s="90"/>
      <c r="M518" s="90"/>
      <c r="N518" s="90"/>
      <c r="O518" s="90"/>
    </row>
    <row r="519" spans="3:15">
      <c r="C519" s="90"/>
      <c r="D519" s="90"/>
      <c r="E519" s="90"/>
      <c r="F519" s="90"/>
      <c r="G519" s="90"/>
      <c r="H519" s="90"/>
      <c r="I519" s="90"/>
      <c r="J519" s="90"/>
      <c r="K519" s="90"/>
      <c r="L519" s="90"/>
      <c r="M519" s="90"/>
      <c r="N519" s="90"/>
      <c r="O519" s="90"/>
    </row>
    <row r="520" spans="3:15">
      <c r="C520" s="90"/>
      <c r="D520" s="90"/>
      <c r="E520" s="90"/>
      <c r="F520" s="90"/>
      <c r="G520" s="90"/>
      <c r="H520" s="90"/>
      <c r="I520" s="90"/>
      <c r="J520" s="90"/>
      <c r="K520" s="90"/>
      <c r="L520" s="90"/>
      <c r="M520" s="90"/>
      <c r="N520" s="90"/>
      <c r="O520" s="90"/>
    </row>
    <row r="521" spans="3:15">
      <c r="C521" s="90"/>
      <c r="D521" s="90"/>
      <c r="E521" s="90"/>
      <c r="F521" s="90"/>
      <c r="G521" s="90"/>
      <c r="H521" s="90"/>
      <c r="I521" s="90"/>
      <c r="J521" s="90"/>
      <c r="K521" s="90"/>
      <c r="L521" s="90"/>
      <c r="M521" s="90"/>
      <c r="N521" s="90"/>
      <c r="O521" s="90"/>
    </row>
    <row r="522" spans="3:15">
      <c r="C522" s="90"/>
      <c r="D522" s="90"/>
      <c r="E522" s="90"/>
      <c r="F522" s="90"/>
      <c r="G522" s="90"/>
      <c r="H522" s="90"/>
      <c r="I522" s="90"/>
      <c r="J522" s="90"/>
      <c r="K522" s="90"/>
      <c r="L522" s="90"/>
      <c r="M522" s="90"/>
      <c r="N522" s="90"/>
      <c r="O522" s="90"/>
    </row>
    <row r="523" spans="3:15">
      <c r="C523" s="90"/>
      <c r="D523" s="90"/>
      <c r="E523" s="90"/>
      <c r="F523" s="90"/>
      <c r="G523" s="90"/>
      <c r="H523" s="90"/>
      <c r="I523" s="90"/>
      <c r="J523" s="90"/>
      <c r="K523" s="90"/>
      <c r="L523" s="90"/>
      <c r="M523" s="90"/>
      <c r="N523" s="90"/>
      <c r="O523" s="90"/>
    </row>
    <row r="524" spans="3:15">
      <c r="C524" s="90"/>
      <c r="D524" s="90"/>
      <c r="E524" s="90"/>
      <c r="F524" s="90"/>
      <c r="G524" s="90"/>
      <c r="H524" s="90"/>
      <c r="I524" s="90"/>
      <c r="J524" s="90"/>
      <c r="K524" s="90"/>
      <c r="L524" s="90"/>
      <c r="M524" s="90"/>
      <c r="N524" s="90"/>
      <c r="O524" s="90"/>
    </row>
    <row r="525" spans="3:15">
      <c r="C525" s="90"/>
      <c r="D525" s="90"/>
      <c r="E525" s="90"/>
      <c r="F525" s="90"/>
      <c r="G525" s="90"/>
      <c r="H525" s="90"/>
      <c r="I525" s="90"/>
      <c r="J525" s="90"/>
      <c r="K525" s="90"/>
      <c r="L525" s="90"/>
      <c r="M525" s="90"/>
      <c r="N525" s="90"/>
      <c r="O525" s="90"/>
    </row>
    <row r="526" spans="3:15">
      <c r="C526" s="90"/>
      <c r="D526" s="90"/>
      <c r="E526" s="90"/>
      <c r="F526" s="90"/>
      <c r="G526" s="90"/>
      <c r="H526" s="90"/>
      <c r="I526" s="90"/>
      <c r="J526" s="90"/>
      <c r="K526" s="90"/>
      <c r="L526" s="90"/>
      <c r="M526" s="90"/>
      <c r="N526" s="90"/>
      <c r="O526" s="90"/>
    </row>
    <row r="527" spans="3:15">
      <c r="C527" s="90"/>
      <c r="D527" s="90"/>
      <c r="E527" s="90"/>
      <c r="F527" s="90"/>
      <c r="G527" s="90"/>
      <c r="H527" s="90"/>
      <c r="I527" s="90"/>
      <c r="J527" s="90"/>
      <c r="K527" s="90"/>
      <c r="L527" s="90"/>
      <c r="M527" s="90"/>
      <c r="N527" s="90"/>
      <c r="O527" s="90"/>
    </row>
    <row r="528" spans="3:15">
      <c r="C528" s="90"/>
      <c r="D528" s="90"/>
      <c r="E528" s="90"/>
      <c r="F528" s="90"/>
      <c r="G528" s="90"/>
      <c r="H528" s="90"/>
      <c r="I528" s="90"/>
      <c r="J528" s="90"/>
      <c r="K528" s="90"/>
      <c r="L528" s="90"/>
      <c r="M528" s="90"/>
      <c r="N528" s="90"/>
      <c r="O528" s="90"/>
    </row>
    <row r="529" spans="3:15">
      <c r="C529" s="90"/>
      <c r="D529" s="90"/>
      <c r="E529" s="90"/>
      <c r="F529" s="90"/>
      <c r="G529" s="90"/>
      <c r="H529" s="90"/>
      <c r="I529" s="90"/>
      <c r="J529" s="90"/>
      <c r="K529" s="90"/>
      <c r="L529" s="90"/>
      <c r="M529" s="90"/>
      <c r="N529" s="90"/>
      <c r="O529" s="90"/>
    </row>
    <row r="530" spans="3:15">
      <c r="C530" s="90"/>
      <c r="D530" s="90"/>
      <c r="E530" s="90"/>
      <c r="F530" s="90"/>
      <c r="G530" s="90"/>
      <c r="H530" s="90"/>
      <c r="I530" s="90"/>
      <c r="J530" s="90"/>
      <c r="K530" s="90"/>
      <c r="L530" s="90"/>
      <c r="M530" s="90"/>
      <c r="N530" s="90"/>
      <c r="O530" s="90"/>
    </row>
    <row r="531" spans="3:15">
      <c r="C531" s="90"/>
      <c r="D531" s="90"/>
      <c r="E531" s="90"/>
      <c r="F531" s="90"/>
      <c r="G531" s="90"/>
      <c r="H531" s="90"/>
      <c r="I531" s="90"/>
      <c r="J531" s="90"/>
      <c r="K531" s="90"/>
      <c r="L531" s="90"/>
      <c r="M531" s="90"/>
      <c r="N531" s="90"/>
      <c r="O531" s="90"/>
    </row>
    <row r="532" spans="3:15">
      <c r="C532" s="90"/>
      <c r="D532" s="90"/>
      <c r="E532" s="90"/>
      <c r="F532" s="90"/>
      <c r="G532" s="90"/>
      <c r="H532" s="90"/>
      <c r="I532" s="90"/>
      <c r="J532" s="90"/>
      <c r="K532" s="90"/>
      <c r="L532" s="90"/>
      <c r="M532" s="90"/>
      <c r="N532" s="90"/>
      <c r="O532" s="90"/>
    </row>
    <row r="533" spans="3:15">
      <c r="C533" s="90"/>
      <c r="D533" s="90"/>
      <c r="E533" s="90"/>
      <c r="F533" s="90"/>
      <c r="G533" s="90"/>
      <c r="H533" s="90"/>
      <c r="I533" s="90"/>
      <c r="J533" s="90"/>
      <c r="K533" s="90"/>
      <c r="L533" s="90"/>
      <c r="M533" s="90"/>
      <c r="N533" s="90"/>
      <c r="O533" s="90"/>
    </row>
    <row r="534" spans="3:15">
      <c r="C534" s="90"/>
      <c r="D534" s="90"/>
      <c r="E534" s="90"/>
      <c r="F534" s="90"/>
      <c r="G534" s="90"/>
      <c r="H534" s="90"/>
      <c r="I534" s="90"/>
      <c r="J534" s="90"/>
      <c r="K534" s="90"/>
      <c r="L534" s="90"/>
      <c r="M534" s="90"/>
      <c r="N534" s="90"/>
      <c r="O534" s="90"/>
    </row>
    <row r="535" spans="3:15">
      <c r="C535" s="90"/>
      <c r="D535" s="90"/>
      <c r="E535" s="90"/>
      <c r="F535" s="90"/>
      <c r="G535" s="90"/>
      <c r="H535" s="90"/>
      <c r="I535" s="90"/>
      <c r="J535" s="90"/>
      <c r="K535" s="90"/>
      <c r="L535" s="90"/>
      <c r="M535" s="90"/>
      <c r="N535" s="90"/>
      <c r="O535" s="90"/>
    </row>
    <row r="536" spans="3:15">
      <c r="C536" s="90"/>
      <c r="D536" s="90"/>
      <c r="E536" s="90"/>
      <c r="F536" s="90"/>
      <c r="G536" s="90"/>
      <c r="H536" s="90"/>
      <c r="I536" s="90"/>
      <c r="J536" s="90"/>
      <c r="K536" s="90"/>
      <c r="L536" s="90"/>
      <c r="M536" s="90"/>
      <c r="N536" s="90"/>
      <c r="O536" s="90"/>
    </row>
    <row r="537" spans="3:15">
      <c r="C537" s="90"/>
      <c r="D537" s="90"/>
      <c r="E537" s="90"/>
      <c r="F537" s="90"/>
      <c r="G537" s="90"/>
      <c r="H537" s="90"/>
      <c r="I537" s="90"/>
      <c r="J537" s="90"/>
      <c r="K537" s="90"/>
      <c r="L537" s="90"/>
      <c r="M537" s="90"/>
      <c r="N537" s="90"/>
      <c r="O537" s="90"/>
    </row>
    <row r="538" spans="3:15">
      <c r="C538" s="90"/>
      <c r="D538" s="90"/>
      <c r="E538" s="90"/>
      <c r="F538" s="90"/>
      <c r="G538" s="90"/>
      <c r="H538" s="90"/>
      <c r="I538" s="90"/>
      <c r="J538" s="90"/>
      <c r="K538" s="90"/>
      <c r="L538" s="90"/>
      <c r="M538" s="90"/>
      <c r="N538" s="90"/>
      <c r="O538" s="90"/>
    </row>
    <row r="539" spans="3:15">
      <c r="C539" s="90"/>
      <c r="D539" s="90"/>
      <c r="E539" s="90"/>
      <c r="F539" s="90"/>
      <c r="G539" s="90"/>
      <c r="H539" s="90"/>
      <c r="I539" s="90"/>
      <c r="J539" s="90"/>
      <c r="K539" s="90"/>
      <c r="L539" s="90"/>
      <c r="M539" s="90"/>
      <c r="N539" s="90"/>
      <c r="O539" s="90"/>
    </row>
    <row r="540" spans="3:15">
      <c r="C540" s="90"/>
      <c r="D540" s="90"/>
      <c r="E540" s="90"/>
      <c r="F540" s="90"/>
      <c r="G540" s="90"/>
      <c r="H540" s="90"/>
      <c r="I540" s="90"/>
      <c r="J540" s="90"/>
      <c r="K540" s="90"/>
      <c r="L540" s="90"/>
      <c r="M540" s="90"/>
      <c r="N540" s="90"/>
      <c r="O540" s="90"/>
    </row>
    <row r="541" spans="3:15">
      <c r="C541" s="90"/>
      <c r="D541" s="90"/>
      <c r="E541" s="90"/>
      <c r="F541" s="90"/>
      <c r="G541" s="90"/>
      <c r="H541" s="90"/>
      <c r="I541" s="90"/>
      <c r="J541" s="90"/>
      <c r="K541" s="90"/>
      <c r="L541" s="90"/>
      <c r="M541" s="90"/>
      <c r="N541" s="90"/>
      <c r="O541" s="90"/>
    </row>
    <row r="542" spans="3:15">
      <c r="C542" s="90"/>
      <c r="D542" s="90"/>
      <c r="E542" s="90"/>
      <c r="F542" s="90"/>
      <c r="G542" s="90"/>
      <c r="H542" s="90"/>
      <c r="I542" s="90"/>
      <c r="J542" s="90"/>
      <c r="K542" s="90"/>
      <c r="L542" s="90"/>
      <c r="M542" s="90"/>
      <c r="N542" s="90"/>
      <c r="O542" s="90"/>
    </row>
    <row r="543" spans="3:15">
      <c r="C543" s="90"/>
      <c r="D543" s="90"/>
      <c r="E543" s="90"/>
      <c r="F543" s="90"/>
      <c r="G543" s="90"/>
      <c r="H543" s="90"/>
      <c r="I543" s="90"/>
      <c r="J543" s="90"/>
      <c r="K543" s="90"/>
      <c r="L543" s="90"/>
      <c r="M543" s="90"/>
      <c r="N543" s="90"/>
      <c r="O543" s="90"/>
    </row>
    <row r="544" spans="3:15">
      <c r="C544" s="90"/>
      <c r="D544" s="90"/>
      <c r="E544" s="90"/>
      <c r="F544" s="90"/>
      <c r="G544" s="90"/>
      <c r="H544" s="90"/>
      <c r="I544" s="90"/>
      <c r="J544" s="90"/>
      <c r="K544" s="90"/>
      <c r="L544" s="90"/>
      <c r="M544" s="90"/>
      <c r="N544" s="90"/>
      <c r="O544" s="90"/>
    </row>
    <row r="545" spans="3:15">
      <c r="C545" s="90"/>
      <c r="D545" s="90"/>
      <c r="E545" s="90"/>
      <c r="F545" s="90"/>
      <c r="G545" s="90"/>
      <c r="H545" s="90"/>
      <c r="I545" s="90"/>
      <c r="J545" s="90"/>
      <c r="K545" s="90"/>
      <c r="L545" s="90"/>
      <c r="M545" s="90"/>
      <c r="N545" s="90"/>
      <c r="O545" s="90"/>
    </row>
    <row r="546" spans="3:15">
      <c r="C546" s="90"/>
      <c r="D546" s="90"/>
      <c r="E546" s="90"/>
      <c r="F546" s="90"/>
      <c r="G546" s="90"/>
      <c r="H546" s="90"/>
      <c r="I546" s="90"/>
      <c r="J546" s="90"/>
      <c r="K546" s="90"/>
      <c r="L546" s="90"/>
      <c r="M546" s="90"/>
      <c r="N546" s="90"/>
      <c r="O546" s="90"/>
    </row>
    <row r="547" spans="3:15">
      <c r="C547" s="90"/>
      <c r="D547" s="90"/>
      <c r="E547" s="90"/>
      <c r="F547" s="90"/>
      <c r="G547" s="90"/>
      <c r="H547" s="90"/>
      <c r="I547" s="90"/>
      <c r="J547" s="90"/>
      <c r="K547" s="90"/>
      <c r="L547" s="90"/>
      <c r="M547" s="90"/>
      <c r="N547" s="90"/>
      <c r="O547" s="90"/>
    </row>
    <row r="548" spans="3:15">
      <c r="C548" s="90"/>
      <c r="D548" s="90"/>
      <c r="E548" s="90"/>
      <c r="F548" s="90"/>
      <c r="G548" s="90"/>
      <c r="H548" s="90"/>
      <c r="I548" s="90"/>
      <c r="J548" s="90"/>
      <c r="K548" s="90"/>
      <c r="L548" s="90"/>
      <c r="M548" s="90"/>
      <c r="N548" s="90"/>
      <c r="O548" s="90"/>
    </row>
    <row r="549" spans="3:15">
      <c r="C549" s="90"/>
      <c r="D549" s="90"/>
      <c r="E549" s="90"/>
      <c r="F549" s="90"/>
      <c r="G549" s="90"/>
      <c r="H549" s="90"/>
      <c r="I549" s="90"/>
      <c r="J549" s="90"/>
      <c r="K549" s="90"/>
      <c r="L549" s="90"/>
      <c r="M549" s="90"/>
      <c r="N549" s="90"/>
      <c r="O549" s="90"/>
    </row>
    <row r="550" spans="3:15">
      <c r="C550" s="90"/>
      <c r="D550" s="90"/>
      <c r="E550" s="90"/>
      <c r="F550" s="90"/>
      <c r="G550" s="90"/>
      <c r="H550" s="90"/>
      <c r="I550" s="90"/>
      <c r="J550" s="90"/>
      <c r="K550" s="90"/>
      <c r="L550" s="90"/>
      <c r="M550" s="90"/>
      <c r="N550" s="90"/>
      <c r="O550" s="90"/>
    </row>
    <row r="551" spans="3:15">
      <c r="C551" s="90"/>
      <c r="D551" s="90"/>
      <c r="E551" s="90"/>
      <c r="F551" s="90"/>
      <c r="G551" s="90"/>
      <c r="H551" s="90"/>
      <c r="I551" s="90"/>
      <c r="J551" s="90"/>
      <c r="K551" s="90"/>
      <c r="L551" s="90"/>
      <c r="M551" s="90"/>
      <c r="N551" s="90"/>
      <c r="O551" s="90"/>
    </row>
    <row r="552" spans="3:15">
      <c r="C552" s="90"/>
      <c r="D552" s="90"/>
      <c r="E552" s="90"/>
      <c r="F552" s="90"/>
      <c r="G552" s="90"/>
      <c r="H552" s="90"/>
      <c r="I552" s="90"/>
      <c r="J552" s="90"/>
      <c r="K552" s="90"/>
      <c r="L552" s="90"/>
      <c r="M552" s="90"/>
      <c r="N552" s="90"/>
      <c r="O552" s="90"/>
    </row>
    <row r="553" spans="3:15">
      <c r="C553" s="90"/>
      <c r="D553" s="90"/>
      <c r="E553" s="90"/>
      <c r="F553" s="90"/>
      <c r="G553" s="90"/>
      <c r="H553" s="90"/>
      <c r="I553" s="90"/>
      <c r="J553" s="90"/>
      <c r="K553" s="90"/>
      <c r="L553" s="90"/>
      <c r="M553" s="90"/>
      <c r="N553" s="90"/>
      <c r="O553" s="90"/>
    </row>
    <row r="554" spans="3:15">
      <c r="C554" s="90"/>
      <c r="D554" s="90"/>
      <c r="E554" s="90"/>
      <c r="F554" s="90"/>
      <c r="G554" s="90"/>
      <c r="H554" s="90"/>
      <c r="I554" s="90"/>
      <c r="J554" s="90"/>
      <c r="K554" s="90"/>
      <c r="L554" s="90"/>
      <c r="M554" s="90"/>
      <c r="N554" s="90"/>
      <c r="O554" s="90"/>
    </row>
    <row r="555" spans="3:15">
      <c r="C555" s="90"/>
      <c r="D555" s="90"/>
      <c r="E555" s="90"/>
      <c r="F555" s="90"/>
      <c r="G555" s="90"/>
      <c r="H555" s="90"/>
      <c r="I555" s="90"/>
      <c r="J555" s="90"/>
      <c r="K555" s="90"/>
      <c r="L555" s="90"/>
      <c r="M555" s="90"/>
      <c r="N555" s="90"/>
      <c r="O555" s="90"/>
    </row>
    <row r="556" spans="3:15">
      <c r="C556" s="90"/>
      <c r="D556" s="90"/>
      <c r="E556" s="90"/>
      <c r="F556" s="90"/>
      <c r="G556" s="90"/>
      <c r="H556" s="90"/>
      <c r="I556" s="90"/>
      <c r="J556" s="90"/>
      <c r="K556" s="90"/>
      <c r="L556" s="90"/>
      <c r="M556" s="90"/>
      <c r="N556" s="90"/>
      <c r="O556" s="90"/>
    </row>
    <row r="557" spans="3:15">
      <c r="C557" s="90"/>
      <c r="D557" s="90"/>
      <c r="E557" s="90"/>
      <c r="F557" s="90"/>
      <c r="G557" s="90"/>
      <c r="H557" s="90"/>
      <c r="I557" s="90"/>
      <c r="J557" s="90"/>
      <c r="K557" s="90"/>
      <c r="L557" s="90"/>
      <c r="M557" s="90"/>
      <c r="N557" s="90"/>
      <c r="O557" s="90"/>
    </row>
    <row r="558" spans="3:15">
      <c r="C558" s="90"/>
      <c r="D558" s="90"/>
      <c r="E558" s="90"/>
      <c r="F558" s="90"/>
      <c r="G558" s="90"/>
      <c r="H558" s="90"/>
      <c r="I558" s="90"/>
      <c r="J558" s="90"/>
      <c r="K558" s="90"/>
      <c r="L558" s="90"/>
      <c r="M558" s="90"/>
      <c r="N558" s="90"/>
      <c r="O558" s="90"/>
    </row>
    <row r="559" spans="3:15">
      <c r="C559" s="90"/>
      <c r="D559" s="90"/>
      <c r="E559" s="90"/>
      <c r="F559" s="90"/>
      <c r="G559" s="90"/>
      <c r="H559" s="90"/>
      <c r="I559" s="90"/>
      <c r="J559" s="90"/>
      <c r="K559" s="90"/>
      <c r="L559" s="90"/>
      <c r="M559" s="90"/>
      <c r="N559" s="90"/>
      <c r="O559" s="90"/>
    </row>
    <row r="560" spans="3:15">
      <c r="C560" s="90"/>
      <c r="D560" s="90"/>
      <c r="E560" s="90"/>
      <c r="F560" s="90"/>
      <c r="G560" s="90"/>
      <c r="H560" s="90"/>
      <c r="I560" s="90"/>
      <c r="J560" s="90"/>
      <c r="K560" s="90"/>
      <c r="L560" s="90"/>
      <c r="M560" s="90"/>
      <c r="N560" s="90"/>
      <c r="O560" s="90"/>
    </row>
    <row r="561" spans="3:15">
      <c r="C561" s="90"/>
      <c r="D561" s="90"/>
      <c r="E561" s="90"/>
      <c r="F561" s="90"/>
      <c r="G561" s="90"/>
      <c r="H561" s="90"/>
      <c r="I561" s="90"/>
      <c r="J561" s="90"/>
      <c r="K561" s="90"/>
      <c r="L561" s="90"/>
      <c r="M561" s="90"/>
      <c r="N561" s="90"/>
      <c r="O561" s="90"/>
    </row>
    <row r="562" spans="3:15">
      <c r="C562" s="90"/>
      <c r="D562" s="90"/>
      <c r="E562" s="90"/>
      <c r="F562" s="90"/>
      <c r="G562" s="90"/>
      <c r="H562" s="90"/>
      <c r="I562" s="90"/>
      <c r="J562" s="90"/>
      <c r="K562" s="90"/>
      <c r="L562" s="90"/>
      <c r="M562" s="90"/>
      <c r="N562" s="90"/>
      <c r="O562" s="90"/>
    </row>
    <row r="563" spans="3:15">
      <c r="C563" s="90"/>
      <c r="D563" s="90"/>
      <c r="E563" s="90"/>
      <c r="F563" s="90"/>
      <c r="G563" s="90"/>
      <c r="H563" s="90"/>
      <c r="I563" s="90"/>
      <c r="J563" s="90"/>
      <c r="K563" s="90"/>
      <c r="L563" s="90"/>
      <c r="M563" s="90"/>
      <c r="N563" s="90"/>
      <c r="O563" s="90"/>
    </row>
    <row r="564" spans="3:15">
      <c r="C564" s="90"/>
      <c r="D564" s="90"/>
      <c r="E564" s="90"/>
      <c r="F564" s="90"/>
      <c r="G564" s="90"/>
      <c r="H564" s="90"/>
      <c r="I564" s="90"/>
      <c r="J564" s="90"/>
      <c r="K564" s="90"/>
      <c r="L564" s="90"/>
      <c r="M564" s="90"/>
      <c r="N564" s="90"/>
      <c r="O564" s="90"/>
    </row>
    <row r="565" spans="3:15">
      <c r="C565" s="90"/>
      <c r="D565" s="90"/>
      <c r="E565" s="90"/>
      <c r="F565" s="90"/>
      <c r="G565" s="90"/>
      <c r="H565" s="90"/>
      <c r="I565" s="90"/>
      <c r="J565" s="90"/>
      <c r="K565" s="90"/>
      <c r="L565" s="90"/>
      <c r="M565" s="90"/>
      <c r="N565" s="90"/>
      <c r="O565" s="90"/>
    </row>
    <row r="566" spans="3:15">
      <c r="C566" s="90"/>
      <c r="D566" s="90"/>
      <c r="E566" s="90"/>
      <c r="F566" s="90"/>
      <c r="G566" s="90"/>
      <c r="H566" s="90"/>
      <c r="I566" s="90"/>
      <c r="J566" s="90"/>
      <c r="K566" s="90"/>
      <c r="L566" s="90"/>
      <c r="M566" s="90"/>
      <c r="N566" s="90"/>
      <c r="O566" s="90"/>
    </row>
    <row r="567" spans="3:15">
      <c r="C567" s="90"/>
      <c r="D567" s="90"/>
      <c r="E567" s="90"/>
      <c r="F567" s="90"/>
      <c r="G567" s="90"/>
      <c r="H567" s="90"/>
      <c r="I567" s="90"/>
      <c r="J567" s="90"/>
      <c r="K567" s="90"/>
      <c r="L567" s="90"/>
      <c r="M567" s="90"/>
      <c r="N567" s="90"/>
      <c r="O567" s="90"/>
    </row>
    <row r="568" spans="3:15">
      <c r="C568" s="90"/>
      <c r="D568" s="90"/>
      <c r="E568" s="90"/>
      <c r="F568" s="90"/>
      <c r="G568" s="90"/>
      <c r="H568" s="90"/>
      <c r="I568" s="90"/>
      <c r="J568" s="90"/>
      <c r="K568" s="90"/>
      <c r="L568" s="90"/>
      <c r="M568" s="90"/>
      <c r="N568" s="90"/>
      <c r="O568" s="90"/>
    </row>
    <row r="569" spans="3:15">
      <c r="C569" s="90"/>
      <c r="D569" s="90"/>
      <c r="E569" s="90"/>
      <c r="F569" s="90"/>
      <c r="G569" s="90"/>
      <c r="H569" s="90"/>
      <c r="I569" s="90"/>
      <c r="J569" s="90"/>
      <c r="K569" s="90"/>
      <c r="L569" s="90"/>
      <c r="M569" s="90"/>
      <c r="N569" s="90"/>
      <c r="O569" s="90"/>
    </row>
    <row r="570" spans="3:15">
      <c r="C570" s="90"/>
      <c r="D570" s="90"/>
      <c r="E570" s="90"/>
      <c r="F570" s="90"/>
      <c r="G570" s="90"/>
      <c r="H570" s="90"/>
      <c r="I570" s="90"/>
      <c r="J570" s="90"/>
      <c r="K570" s="90"/>
      <c r="L570" s="90"/>
      <c r="M570" s="90"/>
      <c r="N570" s="90"/>
      <c r="O570" s="90"/>
    </row>
    <row r="571" spans="3:15">
      <c r="C571" s="90"/>
      <c r="D571" s="90"/>
      <c r="E571" s="90"/>
      <c r="F571" s="90"/>
      <c r="G571" s="90"/>
      <c r="H571" s="90"/>
      <c r="I571" s="90"/>
      <c r="J571" s="90"/>
      <c r="K571" s="90"/>
      <c r="L571" s="90"/>
      <c r="M571" s="90"/>
      <c r="N571" s="90"/>
      <c r="O571" s="90"/>
    </row>
    <row r="572" spans="3:15">
      <c r="C572" s="90"/>
      <c r="D572" s="90"/>
      <c r="E572" s="90"/>
      <c r="F572" s="90"/>
      <c r="G572" s="90"/>
      <c r="H572" s="90"/>
      <c r="I572" s="90"/>
      <c r="J572" s="90"/>
      <c r="K572" s="90"/>
      <c r="L572" s="90"/>
      <c r="M572" s="90"/>
      <c r="N572" s="90"/>
      <c r="O572" s="90"/>
    </row>
    <row r="573" spans="3:15">
      <c r="C573" s="90"/>
      <c r="D573" s="90"/>
      <c r="E573" s="90"/>
      <c r="F573" s="90"/>
      <c r="G573" s="90"/>
      <c r="H573" s="90"/>
      <c r="I573" s="90"/>
      <c r="J573" s="90"/>
      <c r="K573" s="90"/>
      <c r="L573" s="90"/>
      <c r="M573" s="90"/>
      <c r="N573" s="90"/>
      <c r="O573" s="90"/>
    </row>
    <row r="574" spans="3:15">
      <c r="C574" s="90"/>
      <c r="D574" s="90"/>
      <c r="E574" s="90"/>
      <c r="F574" s="90"/>
      <c r="G574" s="90"/>
      <c r="H574" s="90"/>
      <c r="I574" s="90"/>
      <c r="J574" s="90"/>
      <c r="K574" s="90"/>
      <c r="L574" s="90"/>
      <c r="M574" s="90"/>
      <c r="N574" s="90"/>
      <c r="O574" s="90"/>
    </row>
    <row r="575" spans="3:15">
      <c r="C575" s="90"/>
      <c r="D575" s="90"/>
      <c r="E575" s="90"/>
      <c r="F575" s="90"/>
      <c r="G575" s="90"/>
      <c r="H575" s="90"/>
      <c r="I575" s="90"/>
      <c r="J575" s="90"/>
      <c r="K575" s="90"/>
      <c r="L575" s="90"/>
      <c r="M575" s="90"/>
      <c r="N575" s="90"/>
      <c r="O575" s="90"/>
    </row>
    <row r="576" spans="3:15">
      <c r="C576" s="90"/>
      <c r="D576" s="90"/>
      <c r="E576" s="90"/>
      <c r="F576" s="90"/>
      <c r="G576" s="90"/>
      <c r="H576" s="90"/>
      <c r="I576" s="90"/>
      <c r="J576" s="90"/>
      <c r="K576" s="90"/>
      <c r="L576" s="90"/>
      <c r="M576" s="90"/>
      <c r="N576" s="90"/>
      <c r="O576" s="90"/>
    </row>
    <row r="577" spans="3:15">
      <c r="C577" s="90"/>
      <c r="D577" s="90"/>
      <c r="E577" s="90"/>
      <c r="F577" s="90"/>
      <c r="G577" s="90"/>
      <c r="H577" s="90"/>
      <c r="I577" s="90"/>
      <c r="J577" s="90"/>
      <c r="K577" s="90"/>
      <c r="L577" s="90"/>
      <c r="M577" s="90"/>
      <c r="N577" s="90"/>
      <c r="O577" s="90"/>
    </row>
    <row r="578" spans="3:15">
      <c r="C578" s="90"/>
      <c r="D578" s="90"/>
      <c r="E578" s="90"/>
      <c r="F578" s="90"/>
      <c r="G578" s="90"/>
      <c r="H578" s="90"/>
      <c r="I578" s="90"/>
      <c r="J578" s="90"/>
      <c r="K578" s="90"/>
      <c r="L578" s="90"/>
      <c r="M578" s="90"/>
      <c r="N578" s="90"/>
      <c r="O578" s="90"/>
    </row>
    <row r="579" spans="3:15">
      <c r="C579" s="90"/>
      <c r="D579" s="90"/>
      <c r="E579" s="90"/>
      <c r="F579" s="90"/>
      <c r="G579" s="90"/>
      <c r="H579" s="90"/>
      <c r="I579" s="90"/>
      <c r="J579" s="90"/>
      <c r="K579" s="90"/>
      <c r="L579" s="90"/>
      <c r="M579" s="90"/>
      <c r="N579" s="90"/>
      <c r="O579" s="90"/>
    </row>
    <row r="580" spans="3:15">
      <c r="C580" s="90"/>
      <c r="D580" s="90"/>
      <c r="E580" s="90"/>
      <c r="F580" s="90"/>
      <c r="G580" s="90"/>
      <c r="H580" s="90"/>
      <c r="I580" s="90"/>
      <c r="J580" s="90"/>
      <c r="K580" s="90"/>
      <c r="L580" s="90"/>
      <c r="M580" s="90"/>
      <c r="N580" s="90"/>
      <c r="O580" s="90"/>
    </row>
    <row r="581" spans="3:15">
      <c r="C581" s="90"/>
      <c r="D581" s="90"/>
      <c r="E581" s="90"/>
      <c r="F581" s="90"/>
      <c r="G581" s="90"/>
      <c r="H581" s="90"/>
      <c r="I581" s="90"/>
      <c r="J581" s="90"/>
      <c r="K581" s="90"/>
      <c r="L581" s="90"/>
      <c r="M581" s="90"/>
      <c r="N581" s="90"/>
      <c r="O581" s="90"/>
    </row>
    <row r="582" spans="3:15">
      <c r="C582" s="90"/>
      <c r="D582" s="90"/>
      <c r="E582" s="90"/>
      <c r="F582" s="90"/>
      <c r="G582" s="90"/>
      <c r="H582" s="90"/>
      <c r="I582" s="90"/>
      <c r="J582" s="90"/>
      <c r="K582" s="90"/>
      <c r="L582" s="90"/>
      <c r="M582" s="90"/>
      <c r="N582" s="90"/>
      <c r="O582" s="90"/>
    </row>
    <row r="583" spans="3:15">
      <c r="C583" s="90"/>
      <c r="D583" s="90"/>
      <c r="E583" s="90"/>
      <c r="F583" s="90"/>
      <c r="G583" s="90"/>
      <c r="H583" s="90"/>
      <c r="I583" s="90"/>
      <c r="J583" s="90"/>
      <c r="K583" s="90"/>
      <c r="L583" s="90"/>
      <c r="M583" s="90"/>
      <c r="N583" s="90"/>
      <c r="O583" s="90"/>
    </row>
    <row r="584" spans="3:15">
      <c r="C584" s="90"/>
      <c r="D584" s="90"/>
      <c r="E584" s="90"/>
      <c r="F584" s="90"/>
      <c r="G584" s="90"/>
      <c r="H584" s="90"/>
      <c r="I584" s="90"/>
      <c r="J584" s="90"/>
      <c r="K584" s="90"/>
      <c r="L584" s="90"/>
      <c r="M584" s="90"/>
      <c r="N584" s="90"/>
      <c r="O584" s="90"/>
    </row>
    <row r="585" spans="3:15">
      <c r="C585" s="90"/>
      <c r="D585" s="90"/>
      <c r="E585" s="90"/>
      <c r="F585" s="90"/>
      <c r="G585" s="90"/>
      <c r="H585" s="90"/>
      <c r="I585" s="90"/>
      <c r="J585" s="90"/>
      <c r="K585" s="90"/>
      <c r="L585" s="90"/>
      <c r="M585" s="90"/>
      <c r="N585" s="90"/>
      <c r="O585" s="90"/>
    </row>
    <row r="586" spans="3:15">
      <c r="C586" s="90"/>
      <c r="D586" s="90"/>
      <c r="E586" s="90"/>
      <c r="F586" s="90"/>
      <c r="G586" s="90"/>
      <c r="H586" s="90"/>
      <c r="I586" s="90"/>
      <c r="J586" s="90"/>
      <c r="K586" s="90"/>
      <c r="L586" s="90"/>
      <c r="M586" s="90"/>
      <c r="N586" s="90"/>
      <c r="O586" s="90"/>
    </row>
    <row r="587" spans="3:15">
      <c r="C587" s="90"/>
      <c r="D587" s="90"/>
      <c r="E587" s="90"/>
      <c r="F587" s="90"/>
      <c r="G587" s="90"/>
      <c r="H587" s="90"/>
      <c r="I587" s="90"/>
      <c r="J587" s="90"/>
      <c r="K587" s="90"/>
      <c r="L587" s="90"/>
      <c r="M587" s="90"/>
      <c r="N587" s="90"/>
      <c r="O587" s="90"/>
    </row>
    <row r="588" spans="3:15">
      <c r="C588" s="90"/>
      <c r="D588" s="90"/>
      <c r="E588" s="90"/>
      <c r="F588" s="90"/>
      <c r="G588" s="90"/>
      <c r="H588" s="90"/>
      <c r="I588" s="90"/>
      <c r="J588" s="90"/>
      <c r="K588" s="90"/>
      <c r="L588" s="90"/>
      <c r="M588" s="90"/>
      <c r="N588" s="90"/>
      <c r="O588" s="90"/>
    </row>
    <row r="589" spans="3:15">
      <c r="C589" s="90"/>
      <c r="D589" s="90"/>
      <c r="E589" s="90"/>
      <c r="F589" s="90"/>
      <c r="G589" s="90"/>
      <c r="H589" s="90"/>
      <c r="I589" s="90"/>
      <c r="J589" s="90"/>
      <c r="K589" s="90"/>
      <c r="L589" s="90"/>
      <c r="M589" s="90"/>
      <c r="N589" s="90"/>
      <c r="O589" s="90"/>
    </row>
    <row r="590" spans="3:15">
      <c r="C590" s="90"/>
      <c r="D590" s="90"/>
      <c r="E590" s="90"/>
      <c r="F590" s="90"/>
      <c r="G590" s="90"/>
      <c r="H590" s="90"/>
      <c r="I590" s="90"/>
      <c r="J590" s="90"/>
      <c r="K590" s="90"/>
      <c r="L590" s="90"/>
      <c r="M590" s="90"/>
      <c r="N590" s="90"/>
      <c r="O590" s="90"/>
    </row>
    <row r="591" spans="3:15">
      <c r="C591" s="90"/>
      <c r="D591" s="90"/>
      <c r="E591" s="90"/>
      <c r="F591" s="90"/>
      <c r="G591" s="90"/>
      <c r="H591" s="90"/>
      <c r="I591" s="90"/>
      <c r="J591" s="90"/>
      <c r="K591" s="90"/>
      <c r="L591" s="90"/>
      <c r="M591" s="90"/>
      <c r="N591" s="90"/>
      <c r="O591" s="90"/>
    </row>
    <row r="592" spans="3:15">
      <c r="C592" s="90"/>
      <c r="D592" s="90"/>
      <c r="E592" s="90"/>
      <c r="F592" s="90"/>
      <c r="G592" s="90"/>
      <c r="H592" s="90"/>
      <c r="I592" s="90"/>
      <c r="J592" s="90"/>
      <c r="K592" s="90"/>
      <c r="L592" s="90"/>
      <c r="M592" s="90"/>
      <c r="N592" s="90"/>
      <c r="O592" s="90"/>
    </row>
    <row r="593" spans="3:15">
      <c r="C593" s="90"/>
      <c r="D593" s="90"/>
      <c r="E593" s="90"/>
      <c r="F593" s="90"/>
      <c r="G593" s="90"/>
      <c r="H593" s="90"/>
      <c r="I593" s="90"/>
      <c r="J593" s="90"/>
      <c r="K593" s="90"/>
      <c r="L593" s="90"/>
      <c r="M593" s="90"/>
      <c r="N593" s="90"/>
      <c r="O593" s="90"/>
    </row>
    <row r="594" spans="3:15">
      <c r="C594" s="90"/>
      <c r="D594" s="90"/>
      <c r="E594" s="90"/>
      <c r="F594" s="90"/>
      <c r="G594" s="90"/>
      <c r="H594" s="90"/>
      <c r="I594" s="90"/>
      <c r="J594" s="90"/>
      <c r="K594" s="90"/>
      <c r="L594" s="90"/>
      <c r="M594" s="90"/>
      <c r="N594" s="90"/>
      <c r="O594" s="90"/>
    </row>
    <row r="595" spans="3:15">
      <c r="C595" s="90"/>
      <c r="D595" s="90"/>
      <c r="E595" s="90"/>
      <c r="F595" s="90"/>
      <c r="G595" s="90"/>
      <c r="H595" s="90"/>
      <c r="I595" s="90"/>
      <c r="J595" s="90"/>
      <c r="K595" s="90"/>
      <c r="L595" s="90"/>
      <c r="M595" s="90"/>
      <c r="N595" s="90"/>
      <c r="O595" s="90"/>
    </row>
    <row r="596" spans="3:15">
      <c r="C596" s="90"/>
      <c r="D596" s="90"/>
      <c r="E596" s="90"/>
      <c r="F596" s="90"/>
      <c r="G596" s="90"/>
      <c r="H596" s="90"/>
      <c r="I596" s="90"/>
      <c r="J596" s="90"/>
      <c r="K596" s="90"/>
      <c r="L596" s="90"/>
      <c r="M596" s="90"/>
      <c r="N596" s="90"/>
      <c r="O596" s="90"/>
    </row>
    <row r="597" spans="3:15">
      <c r="C597" s="90"/>
      <c r="D597" s="90"/>
      <c r="E597" s="90"/>
      <c r="F597" s="90"/>
      <c r="G597" s="90"/>
      <c r="H597" s="90"/>
      <c r="I597" s="90"/>
      <c r="J597" s="90"/>
      <c r="K597" s="90"/>
      <c r="L597" s="90"/>
      <c r="M597" s="90"/>
      <c r="N597" s="90"/>
      <c r="O597" s="90"/>
    </row>
    <row r="598" spans="3:15">
      <c r="C598" s="90"/>
      <c r="D598" s="90"/>
      <c r="E598" s="90"/>
      <c r="F598" s="90"/>
      <c r="G598" s="90"/>
      <c r="H598" s="90"/>
      <c r="I598" s="90"/>
      <c r="J598" s="90"/>
      <c r="K598" s="90"/>
      <c r="L598" s="90"/>
      <c r="M598" s="90"/>
      <c r="N598" s="90"/>
      <c r="O598" s="90"/>
    </row>
    <row r="599" spans="3:15">
      <c r="C599" s="90"/>
      <c r="D599" s="90"/>
      <c r="E599" s="90"/>
      <c r="F599" s="90"/>
      <c r="G599" s="90"/>
      <c r="H599" s="90"/>
      <c r="I599" s="90"/>
      <c r="J599" s="90"/>
      <c r="K599" s="90"/>
      <c r="L599" s="90"/>
      <c r="M599" s="90"/>
      <c r="N599" s="90"/>
      <c r="O599" s="90"/>
    </row>
    <row r="600" spans="3:15">
      <c r="C600" s="90"/>
      <c r="D600" s="90"/>
      <c r="E600" s="90"/>
      <c r="F600" s="90"/>
      <c r="G600" s="90"/>
      <c r="H600" s="90"/>
      <c r="I600" s="90"/>
      <c r="J600" s="90"/>
      <c r="K600" s="90"/>
      <c r="L600" s="90"/>
      <c r="M600" s="90"/>
      <c r="N600" s="90"/>
      <c r="O600" s="90"/>
    </row>
    <row r="601" spans="3:15">
      <c r="C601" s="90"/>
      <c r="D601" s="90"/>
      <c r="E601" s="90"/>
      <c r="F601" s="90"/>
      <c r="G601" s="90"/>
      <c r="H601" s="90"/>
      <c r="I601" s="90"/>
      <c r="J601" s="90"/>
      <c r="K601" s="90"/>
      <c r="L601" s="90"/>
      <c r="M601" s="90"/>
      <c r="N601" s="90"/>
      <c r="O601" s="90"/>
    </row>
    <row r="602" spans="3:15">
      <c r="C602" s="90"/>
      <c r="D602" s="90"/>
      <c r="E602" s="90"/>
      <c r="F602" s="90"/>
      <c r="G602" s="90"/>
      <c r="H602" s="90"/>
      <c r="I602" s="90"/>
      <c r="J602" s="90"/>
      <c r="K602" s="90"/>
      <c r="L602" s="90"/>
      <c r="M602" s="90"/>
      <c r="N602" s="90"/>
      <c r="O602" s="90"/>
    </row>
    <row r="603" spans="3:15">
      <c r="C603" s="90"/>
      <c r="D603" s="90"/>
      <c r="E603" s="90"/>
      <c r="F603" s="90"/>
      <c r="G603" s="90"/>
      <c r="H603" s="90"/>
      <c r="I603" s="90"/>
      <c r="J603" s="90"/>
      <c r="K603" s="90"/>
      <c r="L603" s="90"/>
      <c r="M603" s="90"/>
      <c r="N603" s="90"/>
      <c r="O603" s="90"/>
    </row>
    <row r="604" spans="3:15">
      <c r="C604" s="90"/>
      <c r="D604" s="90"/>
      <c r="E604" s="90"/>
      <c r="F604" s="90"/>
      <c r="G604" s="90"/>
      <c r="H604" s="90"/>
      <c r="I604" s="90"/>
      <c r="J604" s="90"/>
      <c r="K604" s="90"/>
      <c r="L604" s="90"/>
      <c r="M604" s="90"/>
      <c r="N604" s="90"/>
      <c r="O604" s="90"/>
    </row>
    <row r="605" spans="3:15">
      <c r="C605" s="90"/>
      <c r="D605" s="90"/>
      <c r="E605" s="90"/>
      <c r="F605" s="90"/>
      <c r="G605" s="90"/>
      <c r="H605" s="90"/>
      <c r="I605" s="90"/>
      <c r="J605" s="90"/>
      <c r="K605" s="90"/>
      <c r="L605" s="90"/>
      <c r="M605" s="90"/>
      <c r="N605" s="90"/>
      <c r="O605" s="90"/>
    </row>
    <row r="606" spans="3:15">
      <c r="C606" s="90"/>
      <c r="D606" s="90"/>
      <c r="E606" s="90"/>
      <c r="F606" s="90"/>
      <c r="G606" s="90"/>
      <c r="H606" s="90"/>
      <c r="I606" s="90"/>
      <c r="J606" s="90"/>
      <c r="K606" s="90"/>
      <c r="L606" s="90"/>
      <c r="M606" s="90"/>
      <c r="N606" s="90"/>
      <c r="O606" s="90"/>
    </row>
    <row r="607" spans="3:15">
      <c r="C607" s="90"/>
      <c r="D607" s="90"/>
      <c r="E607" s="90"/>
      <c r="F607" s="90"/>
      <c r="G607" s="90"/>
      <c r="H607" s="90"/>
      <c r="I607" s="90"/>
      <c r="J607" s="90"/>
      <c r="K607" s="90"/>
      <c r="L607" s="90"/>
      <c r="M607" s="90"/>
      <c r="N607" s="90"/>
      <c r="O607" s="90"/>
    </row>
    <row r="608" spans="3:15">
      <c r="C608" s="90"/>
      <c r="D608" s="90"/>
      <c r="E608" s="90"/>
      <c r="F608" s="90"/>
      <c r="G608" s="90"/>
      <c r="H608" s="90"/>
      <c r="I608" s="90"/>
      <c r="J608" s="90"/>
      <c r="K608" s="90"/>
      <c r="L608" s="90"/>
      <c r="M608" s="90"/>
      <c r="N608" s="90"/>
      <c r="O608" s="90"/>
    </row>
    <row r="609" spans="3:15">
      <c r="C609" s="90"/>
      <c r="D609" s="90"/>
      <c r="E609" s="90"/>
      <c r="F609" s="90"/>
      <c r="G609" s="90"/>
      <c r="H609" s="90"/>
      <c r="I609" s="90"/>
      <c r="J609" s="90"/>
      <c r="K609" s="90"/>
      <c r="L609" s="90"/>
      <c r="M609" s="90"/>
      <c r="N609" s="90"/>
      <c r="O609" s="90"/>
    </row>
    <row r="610" spans="3:15">
      <c r="C610" s="90"/>
      <c r="D610" s="90"/>
      <c r="E610" s="90"/>
      <c r="F610" s="90"/>
      <c r="G610" s="90"/>
      <c r="H610" s="90"/>
      <c r="I610" s="90"/>
      <c r="J610" s="90"/>
      <c r="K610" s="90"/>
      <c r="L610" s="90"/>
      <c r="M610" s="90"/>
      <c r="N610" s="90"/>
      <c r="O610" s="90"/>
    </row>
    <row r="611" spans="3:15">
      <c r="C611" s="90"/>
      <c r="D611" s="90"/>
      <c r="E611" s="90"/>
      <c r="F611" s="90"/>
      <c r="G611" s="90"/>
      <c r="H611" s="90"/>
      <c r="I611" s="90"/>
      <c r="J611" s="90"/>
      <c r="K611" s="90"/>
      <c r="L611" s="90"/>
      <c r="M611" s="90"/>
      <c r="N611" s="90"/>
      <c r="O611" s="90"/>
    </row>
    <row r="612" spans="3:15">
      <c r="C612" s="90"/>
      <c r="D612" s="90"/>
      <c r="E612" s="90"/>
      <c r="F612" s="90"/>
      <c r="G612" s="90"/>
      <c r="H612" s="90"/>
      <c r="I612" s="90"/>
      <c r="J612" s="90"/>
      <c r="K612" s="90"/>
      <c r="L612" s="90"/>
      <c r="M612" s="90"/>
      <c r="N612" s="90"/>
      <c r="O612" s="90"/>
    </row>
    <row r="613" spans="3:15">
      <c r="C613" s="90"/>
      <c r="D613" s="90"/>
      <c r="E613" s="90"/>
      <c r="F613" s="90"/>
      <c r="G613" s="90"/>
      <c r="H613" s="90"/>
      <c r="I613" s="90"/>
      <c r="J613" s="90"/>
      <c r="K613" s="90"/>
      <c r="L613" s="90"/>
      <c r="M613" s="90"/>
      <c r="N613" s="90"/>
      <c r="O613" s="90"/>
    </row>
    <row r="614" spans="3:15">
      <c r="C614" s="90"/>
      <c r="D614" s="90"/>
      <c r="E614" s="90"/>
      <c r="F614" s="90"/>
      <c r="G614" s="90"/>
      <c r="H614" s="90"/>
      <c r="I614" s="90"/>
      <c r="J614" s="90"/>
      <c r="K614" s="90"/>
      <c r="L614" s="90"/>
      <c r="M614" s="90"/>
      <c r="N614" s="90"/>
      <c r="O614" s="90"/>
    </row>
    <row r="615" spans="3:15">
      <c r="C615" s="90"/>
      <c r="D615" s="90"/>
      <c r="E615" s="90"/>
      <c r="F615" s="90"/>
      <c r="G615" s="90"/>
      <c r="H615" s="90"/>
      <c r="I615" s="90"/>
      <c r="J615" s="90"/>
      <c r="K615" s="90"/>
      <c r="L615" s="90"/>
      <c r="M615" s="90"/>
      <c r="N615" s="90"/>
      <c r="O615" s="90"/>
    </row>
    <row r="616" spans="3:15">
      <c r="C616" s="90"/>
      <c r="D616" s="90"/>
      <c r="E616" s="90"/>
      <c r="F616" s="90"/>
      <c r="G616" s="90"/>
      <c r="H616" s="90"/>
      <c r="I616" s="90"/>
      <c r="J616" s="90"/>
      <c r="K616" s="90"/>
      <c r="L616" s="90"/>
      <c r="M616" s="90"/>
      <c r="N616" s="90"/>
      <c r="O616" s="90"/>
    </row>
    <row r="617" spans="3:15">
      <c r="C617" s="90"/>
      <c r="D617" s="90"/>
      <c r="E617" s="90"/>
      <c r="F617" s="90"/>
      <c r="G617" s="90"/>
      <c r="H617" s="90"/>
      <c r="I617" s="90"/>
      <c r="J617" s="90"/>
      <c r="K617" s="90"/>
      <c r="L617" s="90"/>
      <c r="M617" s="90"/>
      <c r="N617" s="90"/>
      <c r="O617" s="90"/>
    </row>
    <row r="618" spans="3:15">
      <c r="C618" s="90"/>
      <c r="D618" s="90"/>
      <c r="E618" s="90"/>
      <c r="F618" s="90"/>
      <c r="G618" s="90"/>
      <c r="H618" s="90"/>
      <c r="I618" s="90"/>
      <c r="J618" s="90"/>
      <c r="K618" s="90"/>
      <c r="L618" s="90"/>
      <c r="M618" s="90"/>
      <c r="N618" s="90"/>
      <c r="O618" s="90"/>
    </row>
    <row r="619" spans="3:15">
      <c r="C619" s="90"/>
      <c r="D619" s="90"/>
      <c r="E619" s="90"/>
      <c r="F619" s="90"/>
      <c r="G619" s="90"/>
      <c r="H619" s="90"/>
      <c r="I619" s="90"/>
      <c r="J619" s="90"/>
      <c r="K619" s="90"/>
      <c r="L619" s="90"/>
      <c r="M619" s="90"/>
      <c r="N619" s="90"/>
      <c r="O619" s="90"/>
    </row>
    <row r="620" spans="3:15">
      <c r="C620" s="90"/>
      <c r="D620" s="90"/>
      <c r="E620" s="90"/>
      <c r="F620" s="90"/>
      <c r="G620" s="90"/>
      <c r="H620" s="90"/>
      <c r="I620" s="90"/>
      <c r="J620" s="90"/>
      <c r="K620" s="90"/>
      <c r="L620" s="90"/>
      <c r="M620" s="90"/>
      <c r="N620" s="90"/>
      <c r="O620" s="90"/>
    </row>
    <row r="621" spans="3:15">
      <c r="C621" s="90"/>
      <c r="D621" s="90"/>
      <c r="E621" s="90"/>
      <c r="F621" s="90"/>
      <c r="G621" s="90"/>
      <c r="H621" s="90"/>
      <c r="I621" s="90"/>
      <c r="J621" s="90"/>
      <c r="K621" s="90"/>
      <c r="L621" s="90"/>
      <c r="M621" s="90"/>
      <c r="N621" s="90"/>
      <c r="O621" s="90"/>
    </row>
    <row r="622" spans="3:15">
      <c r="C622" s="90"/>
      <c r="D622" s="90"/>
      <c r="E622" s="90"/>
      <c r="F622" s="90"/>
      <c r="G622" s="90"/>
      <c r="H622" s="90"/>
      <c r="I622" s="90"/>
      <c r="J622" s="90"/>
      <c r="K622" s="90"/>
      <c r="L622" s="90"/>
      <c r="M622" s="90"/>
      <c r="N622" s="90"/>
      <c r="O622" s="90"/>
    </row>
    <row r="623" spans="3:15">
      <c r="C623" s="90"/>
      <c r="D623" s="90"/>
      <c r="E623" s="90"/>
      <c r="F623" s="90"/>
      <c r="G623" s="90"/>
      <c r="H623" s="90"/>
      <c r="I623" s="90"/>
      <c r="J623" s="90"/>
      <c r="K623" s="90"/>
      <c r="L623" s="90"/>
      <c r="M623" s="90"/>
      <c r="N623" s="90"/>
      <c r="O623" s="90"/>
    </row>
    <row r="624" spans="3:15">
      <c r="C624" s="90"/>
      <c r="D624" s="90"/>
      <c r="E624" s="90"/>
      <c r="F624" s="90"/>
      <c r="G624" s="90"/>
      <c r="H624" s="90"/>
      <c r="I624" s="90"/>
      <c r="J624" s="90"/>
      <c r="K624" s="90"/>
      <c r="L624" s="90"/>
      <c r="M624" s="90"/>
      <c r="N624" s="90"/>
      <c r="O624" s="90"/>
    </row>
    <row r="625" spans="3:15">
      <c r="C625" s="90"/>
      <c r="D625" s="90"/>
      <c r="E625" s="90"/>
      <c r="F625" s="90"/>
      <c r="G625" s="90"/>
      <c r="H625" s="90"/>
      <c r="I625" s="90"/>
      <c r="J625" s="90"/>
      <c r="K625" s="90"/>
      <c r="L625" s="90"/>
      <c r="M625" s="90"/>
      <c r="N625" s="90"/>
      <c r="O625" s="90"/>
    </row>
    <row r="626" spans="3:15">
      <c r="C626" s="90"/>
      <c r="D626" s="90"/>
      <c r="E626" s="90"/>
      <c r="F626" s="90"/>
      <c r="G626" s="90"/>
      <c r="H626" s="90"/>
      <c r="I626" s="90"/>
      <c r="J626" s="90"/>
      <c r="K626" s="90"/>
      <c r="L626" s="90"/>
      <c r="M626" s="90"/>
      <c r="N626" s="90"/>
      <c r="O626" s="90"/>
    </row>
    <row r="627" spans="3:15">
      <c r="C627" s="90"/>
      <c r="D627" s="90"/>
      <c r="E627" s="90"/>
      <c r="F627" s="90"/>
      <c r="G627" s="90"/>
      <c r="H627" s="90"/>
      <c r="I627" s="90"/>
      <c r="J627" s="90"/>
      <c r="K627" s="90"/>
      <c r="L627" s="90"/>
      <c r="M627" s="90"/>
      <c r="N627" s="90"/>
      <c r="O627" s="90"/>
    </row>
    <row r="628" spans="3:15">
      <c r="C628" s="90"/>
      <c r="D628" s="90"/>
      <c r="E628" s="90"/>
      <c r="F628" s="90"/>
      <c r="G628" s="90"/>
      <c r="H628" s="90"/>
      <c r="I628" s="90"/>
      <c r="J628" s="90"/>
      <c r="K628" s="90"/>
      <c r="L628" s="90"/>
      <c r="M628" s="90"/>
      <c r="N628" s="90"/>
      <c r="O628" s="90"/>
    </row>
    <row r="629" spans="3:15">
      <c r="C629" s="90"/>
      <c r="D629" s="90"/>
      <c r="E629" s="90"/>
      <c r="F629" s="90"/>
      <c r="G629" s="90"/>
      <c r="H629" s="90"/>
      <c r="I629" s="90"/>
      <c r="J629" s="90"/>
      <c r="K629" s="90"/>
      <c r="L629" s="90"/>
      <c r="M629" s="90"/>
      <c r="N629" s="90"/>
      <c r="O629" s="90"/>
    </row>
    <row r="630" spans="3:15">
      <c r="C630" s="90"/>
      <c r="D630" s="90"/>
      <c r="E630" s="90"/>
      <c r="F630" s="90"/>
      <c r="G630" s="90"/>
      <c r="H630" s="90"/>
      <c r="I630" s="90"/>
      <c r="J630" s="90"/>
      <c r="K630" s="90"/>
      <c r="L630" s="90"/>
      <c r="M630" s="90"/>
      <c r="N630" s="90"/>
      <c r="O630" s="90"/>
    </row>
    <row r="631" spans="3:15">
      <c r="C631" s="90"/>
      <c r="D631" s="90"/>
      <c r="E631" s="90"/>
      <c r="F631" s="90"/>
      <c r="G631" s="90"/>
      <c r="H631" s="90"/>
      <c r="I631" s="90"/>
      <c r="J631" s="90"/>
      <c r="K631" s="90"/>
      <c r="L631" s="90"/>
      <c r="M631" s="90"/>
      <c r="N631" s="90"/>
      <c r="O631" s="90"/>
    </row>
    <row r="632" spans="3:15">
      <c r="C632" s="90"/>
      <c r="D632" s="90"/>
      <c r="E632" s="90"/>
      <c r="F632" s="90"/>
      <c r="G632" s="90"/>
      <c r="H632" s="90"/>
      <c r="I632" s="90"/>
      <c r="J632" s="90"/>
      <c r="K632" s="90"/>
      <c r="L632" s="90"/>
      <c r="M632" s="90"/>
      <c r="N632" s="90"/>
      <c r="O632" s="90"/>
    </row>
    <row r="633" spans="3:15">
      <c r="C633" s="90"/>
      <c r="D633" s="90"/>
      <c r="E633" s="90"/>
      <c r="F633" s="90"/>
      <c r="G633" s="90"/>
      <c r="H633" s="90"/>
      <c r="I633" s="90"/>
      <c r="J633" s="90"/>
      <c r="K633" s="90"/>
      <c r="L633" s="90"/>
      <c r="M633" s="90"/>
      <c r="N633" s="90"/>
      <c r="O633" s="90"/>
    </row>
    <row r="634" spans="3:15">
      <c r="C634" s="90"/>
      <c r="D634" s="90"/>
      <c r="E634" s="90"/>
      <c r="F634" s="90"/>
      <c r="G634" s="90"/>
      <c r="H634" s="90"/>
      <c r="I634" s="90"/>
      <c r="J634" s="90"/>
      <c r="K634" s="90"/>
      <c r="L634" s="90"/>
      <c r="M634" s="90"/>
      <c r="N634" s="90"/>
      <c r="O634" s="90"/>
    </row>
    <row r="635" spans="3:15">
      <c r="C635" s="90"/>
      <c r="D635" s="90"/>
      <c r="E635" s="90"/>
      <c r="F635" s="90"/>
      <c r="G635" s="90"/>
      <c r="H635" s="90"/>
      <c r="I635" s="90"/>
      <c r="J635" s="90"/>
      <c r="K635" s="90"/>
      <c r="L635" s="90"/>
      <c r="M635" s="90"/>
      <c r="N635" s="90"/>
      <c r="O635" s="90"/>
    </row>
    <row r="636" spans="3:15">
      <c r="C636" s="90"/>
      <c r="D636" s="90"/>
      <c r="E636" s="90"/>
      <c r="F636" s="90"/>
      <c r="G636" s="90"/>
      <c r="H636" s="90"/>
      <c r="I636" s="90"/>
      <c r="J636" s="90"/>
      <c r="K636" s="90"/>
      <c r="L636" s="90"/>
      <c r="M636" s="90"/>
      <c r="N636" s="90"/>
      <c r="O636" s="90"/>
    </row>
    <row r="637" spans="3:15">
      <c r="C637" s="90"/>
      <c r="D637" s="90"/>
      <c r="E637" s="90"/>
      <c r="F637" s="90"/>
      <c r="G637" s="90"/>
      <c r="H637" s="90"/>
      <c r="I637" s="90"/>
      <c r="J637" s="90"/>
      <c r="K637" s="90"/>
      <c r="L637" s="90"/>
      <c r="M637" s="90"/>
      <c r="N637" s="90"/>
      <c r="O637" s="90"/>
    </row>
    <row r="638" spans="3:15">
      <c r="C638" s="90"/>
      <c r="D638" s="90"/>
      <c r="E638" s="90"/>
      <c r="F638" s="90"/>
      <c r="G638" s="90"/>
      <c r="H638" s="90"/>
      <c r="I638" s="90"/>
      <c r="J638" s="90"/>
      <c r="K638" s="90"/>
      <c r="L638" s="90"/>
      <c r="M638" s="90"/>
      <c r="N638" s="90"/>
      <c r="O638" s="90"/>
    </row>
    <row r="639" spans="3:15">
      <c r="C639" s="90"/>
      <c r="D639" s="90"/>
      <c r="E639" s="90"/>
      <c r="F639" s="90"/>
      <c r="G639" s="90"/>
      <c r="H639" s="90"/>
      <c r="I639" s="90"/>
      <c r="J639" s="90"/>
      <c r="K639" s="90"/>
      <c r="L639" s="90"/>
      <c r="M639" s="90"/>
      <c r="N639" s="90"/>
      <c r="O639" s="90"/>
    </row>
    <row r="640" spans="3:15">
      <c r="C640" s="90"/>
      <c r="D640" s="90"/>
      <c r="E640" s="90"/>
      <c r="F640" s="90"/>
      <c r="G640" s="90"/>
      <c r="H640" s="90"/>
      <c r="I640" s="90"/>
      <c r="J640" s="90"/>
      <c r="K640" s="90"/>
      <c r="L640" s="90"/>
      <c r="M640" s="90"/>
      <c r="N640" s="90"/>
      <c r="O640" s="90"/>
    </row>
    <row r="641" spans="3:15">
      <c r="C641" s="90"/>
      <c r="D641" s="90"/>
      <c r="E641" s="90"/>
      <c r="F641" s="90"/>
      <c r="G641" s="90"/>
      <c r="H641" s="90"/>
      <c r="I641" s="90"/>
      <c r="J641" s="90"/>
      <c r="K641" s="90"/>
      <c r="L641" s="90"/>
      <c r="M641" s="90"/>
      <c r="N641" s="90"/>
      <c r="O641" s="90"/>
    </row>
    <row r="642" spans="3:15">
      <c r="C642" s="90"/>
      <c r="D642" s="90"/>
      <c r="E642" s="90"/>
      <c r="F642" s="90"/>
      <c r="G642" s="90"/>
      <c r="H642" s="90"/>
      <c r="I642" s="90"/>
      <c r="J642" s="90"/>
      <c r="K642" s="90"/>
      <c r="L642" s="90"/>
      <c r="M642" s="90"/>
      <c r="N642" s="90"/>
      <c r="O642" s="90"/>
    </row>
    <row r="643" spans="3:15">
      <c r="C643" s="90"/>
      <c r="D643" s="90"/>
      <c r="E643" s="90"/>
      <c r="F643" s="90"/>
      <c r="G643" s="90"/>
      <c r="H643" s="90"/>
      <c r="I643" s="90"/>
      <c r="J643" s="90"/>
      <c r="K643" s="90"/>
      <c r="L643" s="90"/>
      <c r="M643" s="90"/>
      <c r="N643" s="90"/>
      <c r="O643" s="90"/>
    </row>
    <row r="644" spans="3:15">
      <c r="C644" s="90"/>
      <c r="D644" s="90"/>
      <c r="E644" s="90"/>
      <c r="F644" s="90"/>
      <c r="G644" s="90"/>
      <c r="H644" s="90"/>
      <c r="I644" s="90"/>
      <c r="J644" s="90"/>
      <c r="K644" s="90"/>
      <c r="L644" s="90"/>
      <c r="M644" s="90"/>
      <c r="N644" s="90"/>
      <c r="O644" s="90"/>
    </row>
    <row r="645" spans="3:15">
      <c r="C645" s="90"/>
      <c r="D645" s="90"/>
      <c r="E645" s="90"/>
      <c r="F645" s="90"/>
      <c r="G645" s="90"/>
      <c r="H645" s="90"/>
      <c r="I645" s="90"/>
      <c r="J645" s="90"/>
      <c r="K645" s="90"/>
      <c r="L645" s="90"/>
      <c r="M645" s="90"/>
      <c r="N645" s="90"/>
      <c r="O645" s="90"/>
    </row>
    <row r="646" spans="3:15">
      <c r="C646" s="90"/>
      <c r="D646" s="90"/>
      <c r="E646" s="90"/>
      <c r="F646" s="90"/>
      <c r="G646" s="90"/>
      <c r="H646" s="90"/>
      <c r="I646" s="90"/>
      <c r="J646" s="90"/>
      <c r="K646" s="90"/>
      <c r="L646" s="90"/>
      <c r="M646" s="90"/>
      <c r="N646" s="90"/>
      <c r="O646" s="90"/>
    </row>
    <row r="647" spans="3:15">
      <c r="C647" s="90"/>
      <c r="D647" s="90"/>
      <c r="E647" s="90"/>
      <c r="F647" s="90"/>
      <c r="G647" s="90"/>
      <c r="H647" s="90"/>
      <c r="I647" s="90"/>
      <c r="J647" s="90"/>
      <c r="K647" s="90"/>
      <c r="L647" s="90"/>
      <c r="M647" s="90"/>
      <c r="N647" s="90"/>
      <c r="O647" s="90"/>
    </row>
    <row r="648" spans="3:15">
      <c r="C648" s="90"/>
      <c r="D648" s="90"/>
      <c r="E648" s="90"/>
      <c r="F648" s="90"/>
      <c r="G648" s="90"/>
      <c r="H648" s="90"/>
      <c r="I648" s="90"/>
      <c r="J648" s="90"/>
      <c r="K648" s="90"/>
      <c r="L648" s="90"/>
      <c r="M648" s="90"/>
      <c r="N648" s="90"/>
      <c r="O648" s="90"/>
    </row>
    <row r="649" spans="3:15">
      <c r="C649" s="90"/>
      <c r="D649" s="90"/>
      <c r="E649" s="90"/>
      <c r="F649" s="90"/>
      <c r="G649" s="90"/>
      <c r="H649" s="90"/>
      <c r="I649" s="90"/>
      <c r="J649" s="90"/>
      <c r="K649" s="90"/>
      <c r="L649" s="90"/>
      <c r="M649" s="90"/>
      <c r="N649" s="90"/>
      <c r="O649" s="90"/>
    </row>
    <row r="650" spans="3:15">
      <c r="C650" s="90"/>
      <c r="D650" s="90"/>
      <c r="E650" s="90"/>
      <c r="F650" s="90"/>
      <c r="G650" s="90"/>
      <c r="H650" s="90"/>
      <c r="I650" s="90"/>
      <c r="J650" s="90"/>
      <c r="K650" s="90"/>
      <c r="L650" s="90"/>
      <c r="M650" s="90"/>
      <c r="N650" s="90"/>
      <c r="O650" s="90"/>
    </row>
    <row r="651" spans="3:15">
      <c r="C651" s="90"/>
      <c r="D651" s="90"/>
      <c r="E651" s="90"/>
      <c r="F651" s="90"/>
      <c r="G651" s="90"/>
      <c r="H651" s="90"/>
      <c r="I651" s="90"/>
      <c r="J651" s="90"/>
      <c r="K651" s="90"/>
      <c r="L651" s="90"/>
      <c r="M651" s="90"/>
      <c r="N651" s="90"/>
      <c r="O651" s="90"/>
    </row>
    <row r="652" spans="3:15">
      <c r="C652" s="90"/>
      <c r="D652" s="90"/>
      <c r="E652" s="90"/>
      <c r="F652" s="90"/>
      <c r="G652" s="90"/>
      <c r="H652" s="90"/>
      <c r="I652" s="90"/>
      <c r="J652" s="90"/>
      <c r="K652" s="90"/>
      <c r="L652" s="90"/>
      <c r="M652" s="90"/>
      <c r="N652" s="90"/>
      <c r="O652" s="90"/>
    </row>
    <row r="653" spans="3:15">
      <c r="C653" s="90"/>
      <c r="D653" s="90"/>
      <c r="E653" s="90"/>
      <c r="F653" s="90"/>
      <c r="G653" s="90"/>
      <c r="H653" s="90"/>
      <c r="I653" s="90"/>
      <c r="J653" s="90"/>
      <c r="K653" s="90"/>
      <c r="L653" s="90"/>
      <c r="M653" s="90"/>
      <c r="N653" s="90"/>
      <c r="O653" s="90"/>
    </row>
    <row r="654" spans="3:15">
      <c r="C654" s="90"/>
      <c r="D654" s="90"/>
      <c r="E654" s="90"/>
      <c r="F654" s="90"/>
      <c r="G654" s="90"/>
      <c r="H654" s="90"/>
      <c r="I654" s="90"/>
      <c r="J654" s="90"/>
      <c r="K654" s="90"/>
      <c r="L654" s="90"/>
      <c r="M654" s="90"/>
      <c r="N654" s="90"/>
      <c r="O654" s="90"/>
    </row>
    <row r="655" spans="3:15">
      <c r="C655" s="90"/>
      <c r="D655" s="90"/>
      <c r="E655" s="90"/>
      <c r="F655" s="90"/>
      <c r="G655" s="90"/>
      <c r="H655" s="90"/>
      <c r="I655" s="90"/>
      <c r="J655" s="90"/>
      <c r="K655" s="90"/>
      <c r="L655" s="90"/>
      <c r="M655" s="90"/>
      <c r="N655" s="90"/>
      <c r="O655" s="90"/>
    </row>
    <row r="656" spans="3:15">
      <c r="C656" s="90"/>
      <c r="D656" s="90"/>
      <c r="E656" s="90"/>
      <c r="F656" s="90"/>
      <c r="G656" s="90"/>
      <c r="H656" s="90"/>
      <c r="I656" s="90"/>
      <c r="J656" s="90"/>
      <c r="K656" s="90"/>
      <c r="L656" s="90"/>
      <c r="M656" s="90"/>
      <c r="N656" s="90"/>
      <c r="O656" s="90"/>
    </row>
    <row r="657" spans="3:15">
      <c r="C657" s="90"/>
      <c r="D657" s="90"/>
      <c r="E657" s="90"/>
      <c r="F657" s="90"/>
      <c r="G657" s="90"/>
      <c r="H657" s="90"/>
      <c r="I657" s="90"/>
      <c r="J657" s="90"/>
      <c r="K657" s="90"/>
      <c r="L657" s="90"/>
      <c r="M657" s="90"/>
      <c r="N657" s="90"/>
      <c r="O657" s="90"/>
    </row>
    <row r="658" spans="3:15">
      <c r="C658" s="90"/>
      <c r="D658" s="90"/>
      <c r="E658" s="90"/>
      <c r="F658" s="90"/>
      <c r="G658" s="90"/>
      <c r="H658" s="90"/>
      <c r="I658" s="90"/>
      <c r="J658" s="90"/>
      <c r="K658" s="90"/>
      <c r="L658" s="90"/>
      <c r="M658" s="90"/>
      <c r="N658" s="90"/>
      <c r="O658" s="90"/>
    </row>
    <row r="659" spans="3:15">
      <c r="C659" s="90"/>
      <c r="D659" s="90"/>
      <c r="E659" s="90"/>
      <c r="F659" s="90"/>
      <c r="G659" s="90"/>
      <c r="H659" s="90"/>
      <c r="I659" s="90"/>
      <c r="J659" s="90"/>
      <c r="K659" s="90"/>
      <c r="L659" s="90"/>
      <c r="M659" s="90"/>
      <c r="N659" s="90"/>
      <c r="O659" s="90"/>
    </row>
    <row r="660" spans="3:15">
      <c r="C660" s="90"/>
      <c r="D660" s="90"/>
      <c r="E660" s="90"/>
      <c r="F660" s="90"/>
      <c r="G660" s="90"/>
      <c r="H660" s="90"/>
      <c r="I660" s="90"/>
      <c r="J660" s="90"/>
      <c r="K660" s="90"/>
      <c r="L660" s="90"/>
      <c r="M660" s="90"/>
      <c r="N660" s="90"/>
      <c r="O660" s="90"/>
    </row>
    <row r="661" spans="3:15">
      <c r="C661" s="90"/>
      <c r="D661" s="90"/>
      <c r="E661" s="90"/>
      <c r="F661" s="90"/>
      <c r="G661" s="90"/>
      <c r="H661" s="90"/>
      <c r="I661" s="90"/>
      <c r="J661" s="90"/>
      <c r="K661" s="90"/>
      <c r="L661" s="90"/>
      <c r="M661" s="90"/>
      <c r="N661" s="90"/>
      <c r="O661" s="90"/>
    </row>
    <row r="662" spans="3:15">
      <c r="C662" s="90"/>
      <c r="D662" s="90"/>
      <c r="E662" s="90"/>
      <c r="F662" s="90"/>
      <c r="G662" s="90"/>
      <c r="H662" s="90"/>
      <c r="I662" s="90"/>
      <c r="J662" s="90"/>
      <c r="K662" s="90"/>
      <c r="L662" s="90"/>
      <c r="M662" s="90"/>
      <c r="N662" s="90"/>
      <c r="O662" s="90"/>
    </row>
    <row r="663" spans="3:15">
      <c r="C663" s="90"/>
      <c r="D663" s="90"/>
      <c r="E663" s="90"/>
      <c r="F663" s="90"/>
      <c r="G663" s="90"/>
      <c r="H663" s="90"/>
      <c r="I663" s="90"/>
      <c r="J663" s="90"/>
      <c r="K663" s="90"/>
      <c r="L663" s="90"/>
      <c r="M663" s="90"/>
      <c r="N663" s="90"/>
      <c r="O663" s="90"/>
    </row>
    <row r="664" spans="3:15">
      <c r="C664" s="90"/>
      <c r="D664" s="90"/>
      <c r="E664" s="90"/>
      <c r="F664" s="90"/>
      <c r="G664" s="90"/>
      <c r="H664" s="90"/>
      <c r="I664" s="90"/>
      <c r="J664" s="90"/>
      <c r="K664" s="90"/>
      <c r="L664" s="90"/>
      <c r="M664" s="90"/>
      <c r="N664" s="90"/>
      <c r="O664" s="90"/>
    </row>
    <row r="665" spans="3:15">
      <c r="C665" s="90"/>
      <c r="D665" s="90"/>
      <c r="E665" s="90"/>
      <c r="F665" s="90"/>
      <c r="G665" s="90"/>
      <c r="H665" s="90"/>
      <c r="I665" s="90"/>
      <c r="J665" s="90"/>
      <c r="K665" s="90"/>
      <c r="L665" s="90"/>
      <c r="M665" s="90"/>
      <c r="N665" s="90"/>
      <c r="O665" s="90"/>
    </row>
    <row r="666" spans="3:15">
      <c r="C666" s="90"/>
      <c r="D666" s="90"/>
      <c r="E666" s="90"/>
      <c r="F666" s="90"/>
      <c r="G666" s="90"/>
      <c r="H666" s="90"/>
      <c r="I666" s="90"/>
      <c r="J666" s="90"/>
      <c r="K666" s="90"/>
      <c r="L666" s="90"/>
      <c r="M666" s="90"/>
      <c r="N666" s="90"/>
      <c r="O666" s="90"/>
    </row>
    <row r="667" spans="3:15">
      <c r="C667" s="90"/>
      <c r="D667" s="90"/>
      <c r="E667" s="90"/>
      <c r="F667" s="90"/>
      <c r="G667" s="90"/>
      <c r="H667" s="90"/>
      <c r="I667" s="90"/>
      <c r="J667" s="90"/>
      <c r="K667" s="90"/>
      <c r="L667" s="90"/>
      <c r="M667" s="90"/>
      <c r="N667" s="90"/>
      <c r="O667" s="90"/>
    </row>
    <row r="668" spans="3:15">
      <c r="C668" s="90"/>
      <c r="D668" s="90"/>
      <c r="E668" s="90"/>
      <c r="F668" s="90"/>
      <c r="G668" s="90"/>
      <c r="H668" s="90"/>
      <c r="I668" s="90"/>
      <c r="J668" s="90"/>
      <c r="K668" s="90"/>
      <c r="L668" s="90"/>
      <c r="M668" s="90"/>
      <c r="N668" s="90"/>
      <c r="O668" s="90"/>
    </row>
    <row r="669" spans="3:15">
      <c r="C669" s="90"/>
      <c r="D669" s="90"/>
      <c r="E669" s="90"/>
      <c r="F669" s="90"/>
      <c r="G669" s="90"/>
      <c r="H669" s="90"/>
      <c r="I669" s="90"/>
      <c r="J669" s="90"/>
      <c r="K669" s="90"/>
      <c r="L669" s="90"/>
      <c r="M669" s="90"/>
      <c r="N669" s="90"/>
      <c r="O669" s="90"/>
    </row>
    <row r="670" spans="3:15">
      <c r="C670" s="90"/>
      <c r="D670" s="90"/>
      <c r="E670" s="90"/>
      <c r="F670" s="90"/>
      <c r="G670" s="90"/>
      <c r="H670" s="90"/>
      <c r="I670" s="90"/>
      <c r="J670" s="90"/>
      <c r="K670" s="90"/>
      <c r="L670" s="90"/>
      <c r="M670" s="90"/>
      <c r="N670" s="90"/>
      <c r="O670" s="90"/>
    </row>
    <row r="671" spans="3:15">
      <c r="C671" s="90"/>
      <c r="D671" s="90"/>
      <c r="E671" s="90"/>
      <c r="F671" s="90"/>
      <c r="G671" s="90"/>
      <c r="H671" s="90"/>
      <c r="I671" s="90"/>
      <c r="J671" s="90"/>
      <c r="K671" s="90"/>
      <c r="L671" s="90"/>
      <c r="M671" s="90"/>
      <c r="N671" s="90"/>
      <c r="O671" s="90"/>
    </row>
    <row r="672" spans="3:15">
      <c r="C672" s="90"/>
      <c r="D672" s="90"/>
      <c r="E672" s="90"/>
      <c r="F672" s="90"/>
      <c r="G672" s="90"/>
      <c r="H672" s="90"/>
      <c r="I672" s="90"/>
      <c r="J672" s="90"/>
      <c r="K672" s="90"/>
      <c r="L672" s="90"/>
      <c r="M672" s="90"/>
      <c r="N672" s="90"/>
      <c r="O672" s="90"/>
    </row>
    <row r="673" spans="3:15">
      <c r="C673" s="90"/>
      <c r="D673" s="90"/>
      <c r="E673" s="90"/>
      <c r="F673" s="90"/>
      <c r="G673" s="90"/>
      <c r="H673" s="90"/>
      <c r="I673" s="90"/>
      <c r="J673" s="90"/>
      <c r="K673" s="90"/>
      <c r="L673" s="90"/>
      <c r="M673" s="90"/>
      <c r="N673" s="90"/>
      <c r="O673" s="90"/>
    </row>
    <row r="674" spans="3:15">
      <c r="C674" s="90"/>
      <c r="D674" s="90"/>
      <c r="E674" s="90"/>
      <c r="F674" s="90"/>
      <c r="G674" s="90"/>
      <c r="H674" s="90"/>
      <c r="I674" s="90"/>
      <c r="J674" s="90"/>
      <c r="K674" s="90"/>
      <c r="L674" s="90"/>
      <c r="M674" s="90"/>
      <c r="N674" s="90"/>
      <c r="O674" s="90"/>
    </row>
    <row r="675" spans="3:15">
      <c r="C675" s="90"/>
      <c r="D675" s="90"/>
      <c r="E675" s="90"/>
      <c r="F675" s="90"/>
      <c r="G675" s="90"/>
      <c r="H675" s="90"/>
      <c r="I675" s="90"/>
      <c r="J675" s="90"/>
      <c r="K675" s="90"/>
      <c r="L675" s="90"/>
      <c r="M675" s="90"/>
      <c r="N675" s="90"/>
      <c r="O675" s="90"/>
    </row>
    <row r="676" spans="3:15">
      <c r="C676" s="90"/>
      <c r="D676" s="90"/>
      <c r="E676" s="90"/>
      <c r="F676" s="90"/>
      <c r="G676" s="90"/>
      <c r="H676" s="90"/>
      <c r="I676" s="90"/>
      <c r="J676" s="90"/>
      <c r="K676" s="90"/>
      <c r="L676" s="90"/>
      <c r="M676" s="90"/>
      <c r="N676" s="90"/>
      <c r="O676" s="90"/>
    </row>
    <row r="677" spans="3:15">
      <c r="C677" s="90"/>
      <c r="D677" s="90"/>
      <c r="E677" s="90"/>
      <c r="F677" s="90"/>
      <c r="G677" s="90"/>
      <c r="H677" s="90"/>
      <c r="I677" s="90"/>
      <c r="J677" s="90"/>
      <c r="K677" s="90"/>
      <c r="L677" s="90"/>
      <c r="M677" s="90"/>
      <c r="N677" s="90"/>
      <c r="O677" s="90"/>
    </row>
    <row r="678" spans="3:15">
      <c r="C678" s="90"/>
      <c r="D678" s="90"/>
      <c r="E678" s="90"/>
      <c r="F678" s="90"/>
      <c r="G678" s="90"/>
      <c r="H678" s="90"/>
      <c r="I678" s="90"/>
      <c r="J678" s="90"/>
      <c r="K678" s="90"/>
      <c r="L678" s="90"/>
      <c r="M678" s="90"/>
      <c r="N678" s="90"/>
      <c r="O678" s="90"/>
    </row>
    <row r="679" spans="3:15">
      <c r="C679" s="90"/>
      <c r="D679" s="90"/>
      <c r="E679" s="90"/>
      <c r="F679" s="90"/>
      <c r="G679" s="90"/>
      <c r="H679" s="90"/>
      <c r="I679" s="90"/>
      <c r="J679" s="90"/>
      <c r="K679" s="90"/>
      <c r="L679" s="90"/>
      <c r="M679" s="90"/>
      <c r="N679" s="90"/>
      <c r="O679" s="90"/>
    </row>
    <row r="680" spans="3:15">
      <c r="C680" s="90"/>
      <c r="D680" s="90"/>
      <c r="E680" s="90"/>
      <c r="F680" s="90"/>
      <c r="G680" s="90"/>
      <c r="H680" s="90"/>
      <c r="I680" s="90"/>
      <c r="J680" s="90"/>
      <c r="K680" s="90"/>
      <c r="L680" s="90"/>
      <c r="M680" s="90"/>
      <c r="N680" s="90"/>
      <c r="O680" s="90"/>
    </row>
    <row r="681" spans="3:15">
      <c r="C681" s="90"/>
      <c r="D681" s="90"/>
      <c r="E681" s="90"/>
      <c r="F681" s="90"/>
      <c r="G681" s="90"/>
      <c r="H681" s="90"/>
      <c r="I681" s="90"/>
      <c r="J681" s="90"/>
      <c r="K681" s="90"/>
      <c r="L681" s="90"/>
      <c r="M681" s="90"/>
      <c r="N681" s="90"/>
      <c r="O681" s="90"/>
    </row>
    <row r="682" spans="3:15">
      <c r="C682" s="90"/>
      <c r="D682" s="90"/>
      <c r="E682" s="90"/>
      <c r="F682" s="90"/>
      <c r="G682" s="90"/>
      <c r="H682" s="90"/>
      <c r="I682" s="90"/>
      <c r="J682" s="90"/>
      <c r="K682" s="90"/>
      <c r="L682" s="90"/>
      <c r="M682" s="90"/>
      <c r="N682" s="90"/>
      <c r="O682" s="90"/>
    </row>
    <row r="683" spans="3:15">
      <c r="C683" s="90"/>
      <c r="D683" s="90"/>
      <c r="E683" s="90"/>
      <c r="F683" s="90"/>
      <c r="G683" s="90"/>
      <c r="H683" s="90"/>
      <c r="I683" s="90"/>
      <c r="J683" s="90"/>
      <c r="K683" s="90"/>
      <c r="L683" s="90"/>
      <c r="M683" s="90"/>
      <c r="N683" s="90"/>
      <c r="O683" s="90"/>
    </row>
    <row r="684" spans="3:15">
      <c r="C684" s="90"/>
      <c r="D684" s="90"/>
      <c r="E684" s="90"/>
      <c r="F684" s="90"/>
      <c r="G684" s="90"/>
      <c r="H684" s="90"/>
      <c r="I684" s="90"/>
      <c r="J684" s="90"/>
      <c r="K684" s="90"/>
      <c r="L684" s="90"/>
      <c r="M684" s="90"/>
      <c r="N684" s="90"/>
      <c r="O684" s="90"/>
    </row>
    <row r="685" spans="3:15">
      <c r="C685" s="90"/>
      <c r="D685" s="90"/>
      <c r="E685" s="90"/>
      <c r="F685" s="90"/>
      <c r="G685" s="90"/>
      <c r="H685" s="90"/>
      <c r="I685" s="90"/>
      <c r="J685" s="90"/>
      <c r="K685" s="90"/>
      <c r="L685" s="90"/>
      <c r="M685" s="90"/>
      <c r="N685" s="90"/>
      <c r="O685" s="90"/>
    </row>
    <row r="686" spans="3:15">
      <c r="C686" s="90"/>
      <c r="D686" s="90"/>
      <c r="E686" s="90"/>
      <c r="F686" s="90"/>
      <c r="G686" s="90"/>
      <c r="H686" s="90"/>
      <c r="I686" s="90"/>
      <c r="J686" s="90"/>
      <c r="K686" s="90"/>
      <c r="L686" s="90"/>
      <c r="M686" s="90"/>
      <c r="N686" s="90"/>
      <c r="O686" s="90"/>
    </row>
    <row r="687" spans="3:15">
      <c r="C687" s="90"/>
      <c r="D687" s="90"/>
      <c r="E687" s="90"/>
      <c r="F687" s="90"/>
      <c r="G687" s="90"/>
      <c r="H687" s="90"/>
      <c r="I687" s="90"/>
      <c r="J687" s="90"/>
      <c r="K687" s="90"/>
      <c r="L687" s="90"/>
      <c r="M687" s="90"/>
      <c r="N687" s="90"/>
      <c r="O687" s="90"/>
    </row>
    <row r="688" spans="3:15">
      <c r="C688" s="90"/>
      <c r="D688" s="90"/>
      <c r="E688" s="90"/>
      <c r="F688" s="90"/>
      <c r="G688" s="90"/>
      <c r="H688" s="90"/>
      <c r="I688" s="90"/>
      <c r="J688" s="90"/>
      <c r="K688" s="90"/>
      <c r="L688" s="90"/>
      <c r="M688" s="90"/>
      <c r="N688" s="90"/>
      <c r="O688" s="90"/>
    </row>
    <row r="689" spans="3:15">
      <c r="C689" s="90"/>
      <c r="D689" s="90"/>
      <c r="E689" s="90"/>
      <c r="F689" s="90"/>
      <c r="G689" s="90"/>
      <c r="H689" s="90"/>
      <c r="I689" s="90"/>
      <c r="J689" s="90"/>
      <c r="K689" s="90"/>
      <c r="L689" s="90"/>
      <c r="M689" s="90"/>
      <c r="N689" s="90"/>
      <c r="O689" s="90"/>
    </row>
    <row r="690" spans="3:15">
      <c r="C690" s="90"/>
      <c r="D690" s="90"/>
      <c r="E690" s="90"/>
      <c r="F690" s="90"/>
      <c r="G690" s="90"/>
      <c r="H690" s="90"/>
      <c r="I690" s="90"/>
      <c r="J690" s="90"/>
      <c r="K690" s="90"/>
      <c r="L690" s="90"/>
      <c r="M690" s="90"/>
      <c r="N690" s="90"/>
      <c r="O690" s="90"/>
    </row>
    <row r="691" spans="3:15">
      <c r="C691" s="90"/>
      <c r="D691" s="90"/>
      <c r="E691" s="90"/>
      <c r="F691" s="90"/>
      <c r="G691" s="90"/>
      <c r="H691" s="90"/>
      <c r="I691" s="90"/>
      <c r="J691" s="90"/>
      <c r="K691" s="90"/>
      <c r="L691" s="90"/>
      <c r="M691" s="90"/>
      <c r="N691" s="90"/>
      <c r="O691" s="90"/>
    </row>
    <row r="692" spans="3:15">
      <c r="C692" s="90"/>
      <c r="D692" s="90"/>
      <c r="E692" s="90"/>
      <c r="F692" s="90"/>
      <c r="G692" s="90"/>
      <c r="H692" s="90"/>
      <c r="I692" s="90"/>
      <c r="J692" s="90"/>
      <c r="K692" s="90"/>
      <c r="L692" s="90"/>
      <c r="M692" s="90"/>
      <c r="N692" s="90"/>
      <c r="O692" s="90"/>
    </row>
    <row r="693" spans="3:15">
      <c r="C693" s="90"/>
      <c r="D693" s="90"/>
      <c r="E693" s="90"/>
      <c r="F693" s="90"/>
      <c r="G693" s="90"/>
      <c r="H693" s="90"/>
      <c r="I693" s="90"/>
      <c r="J693" s="90"/>
      <c r="K693" s="90"/>
      <c r="L693" s="90"/>
      <c r="M693" s="90"/>
      <c r="N693" s="90"/>
      <c r="O693" s="90"/>
    </row>
    <row r="694" spans="3:15">
      <c r="C694" s="90"/>
      <c r="D694" s="90"/>
      <c r="E694" s="90"/>
      <c r="F694" s="90"/>
      <c r="G694" s="90"/>
      <c r="H694" s="90"/>
      <c r="I694" s="90"/>
      <c r="J694" s="90"/>
      <c r="K694" s="90"/>
      <c r="L694" s="90"/>
      <c r="M694" s="90"/>
      <c r="N694" s="90"/>
      <c r="O694" s="90"/>
    </row>
    <row r="695" spans="3:15">
      <c r="C695" s="90"/>
      <c r="D695" s="90"/>
      <c r="E695" s="90"/>
      <c r="F695" s="90"/>
      <c r="G695" s="90"/>
      <c r="H695" s="90"/>
      <c r="I695" s="90"/>
      <c r="J695" s="90"/>
      <c r="K695" s="90"/>
      <c r="L695" s="90"/>
      <c r="M695" s="90"/>
      <c r="N695" s="90"/>
      <c r="O695" s="90"/>
    </row>
    <row r="696" spans="3:15">
      <c r="C696" s="90"/>
      <c r="D696" s="90"/>
      <c r="E696" s="90"/>
      <c r="F696" s="90"/>
      <c r="G696" s="90"/>
      <c r="H696" s="90"/>
      <c r="I696" s="90"/>
      <c r="J696" s="90"/>
      <c r="K696" s="90"/>
      <c r="L696" s="90"/>
      <c r="M696" s="90"/>
      <c r="N696" s="90"/>
      <c r="O696" s="90"/>
    </row>
    <row r="697" spans="3:15">
      <c r="C697" s="90"/>
      <c r="D697" s="90"/>
      <c r="E697" s="90"/>
      <c r="F697" s="90"/>
      <c r="G697" s="90"/>
      <c r="H697" s="90"/>
      <c r="I697" s="90"/>
      <c r="J697" s="90"/>
      <c r="K697" s="90"/>
      <c r="L697" s="90"/>
      <c r="M697" s="90"/>
      <c r="N697" s="90"/>
      <c r="O697" s="90"/>
    </row>
    <row r="698" spans="3:15">
      <c r="C698" s="90"/>
      <c r="D698" s="90"/>
      <c r="E698" s="90"/>
      <c r="F698" s="90"/>
      <c r="G698" s="90"/>
      <c r="H698" s="90"/>
      <c r="I698" s="90"/>
      <c r="J698" s="90"/>
      <c r="K698" s="90"/>
      <c r="L698" s="90"/>
      <c r="M698" s="90"/>
      <c r="N698" s="90"/>
      <c r="O698" s="90"/>
    </row>
    <row r="699" spans="3:15">
      <c r="C699" s="90"/>
      <c r="D699" s="90"/>
      <c r="E699" s="90"/>
      <c r="F699" s="90"/>
      <c r="G699" s="90"/>
      <c r="H699" s="90"/>
      <c r="I699" s="90"/>
      <c r="J699" s="90"/>
      <c r="K699" s="90"/>
      <c r="L699" s="90"/>
      <c r="M699" s="90"/>
      <c r="N699" s="90"/>
      <c r="O699" s="90"/>
    </row>
    <row r="700" spans="3:15">
      <c r="C700" s="90"/>
      <c r="D700" s="90"/>
      <c r="E700" s="90"/>
      <c r="F700" s="90"/>
      <c r="G700" s="90"/>
      <c r="H700" s="90"/>
      <c r="I700" s="90"/>
      <c r="J700" s="90"/>
      <c r="K700" s="90"/>
      <c r="L700" s="90"/>
      <c r="M700" s="90"/>
      <c r="N700" s="90"/>
      <c r="O700" s="90"/>
    </row>
    <row r="701" spans="3:15">
      <c r="C701" s="90"/>
      <c r="D701" s="90"/>
      <c r="E701" s="90"/>
      <c r="F701" s="90"/>
      <c r="G701" s="90"/>
      <c r="H701" s="90"/>
      <c r="I701" s="90"/>
      <c r="J701" s="90"/>
      <c r="K701" s="90"/>
      <c r="L701" s="90"/>
      <c r="M701" s="90"/>
      <c r="N701" s="90"/>
      <c r="O701" s="90"/>
    </row>
    <row r="702" spans="3:15">
      <c r="C702" s="90"/>
      <c r="D702" s="90"/>
      <c r="E702" s="90"/>
      <c r="F702" s="90"/>
      <c r="G702" s="90"/>
      <c r="H702" s="90"/>
      <c r="I702" s="90"/>
      <c r="J702" s="90"/>
      <c r="K702" s="90"/>
      <c r="L702" s="90"/>
      <c r="M702" s="90"/>
      <c r="N702" s="90"/>
      <c r="O702" s="90"/>
    </row>
    <row r="703" spans="3:15">
      <c r="C703" s="90"/>
      <c r="D703" s="90"/>
      <c r="E703" s="90"/>
      <c r="F703" s="90"/>
      <c r="G703" s="90"/>
      <c r="H703" s="90"/>
      <c r="I703" s="90"/>
      <c r="J703" s="90"/>
      <c r="K703" s="90"/>
      <c r="L703" s="90"/>
      <c r="M703" s="90"/>
      <c r="N703" s="90"/>
      <c r="O703" s="90"/>
    </row>
    <row r="704" spans="3:15">
      <c r="C704" s="90"/>
      <c r="D704" s="90"/>
      <c r="E704" s="90"/>
      <c r="F704" s="90"/>
      <c r="G704" s="90"/>
      <c r="H704" s="90"/>
      <c r="I704" s="90"/>
      <c r="J704" s="90"/>
      <c r="K704" s="90"/>
      <c r="L704" s="90"/>
      <c r="M704" s="90"/>
      <c r="N704" s="90"/>
      <c r="O704" s="90"/>
    </row>
    <row r="705" spans="3:15">
      <c r="C705" s="90"/>
      <c r="D705" s="90"/>
      <c r="E705" s="90"/>
      <c r="F705" s="90"/>
      <c r="G705" s="90"/>
      <c r="H705" s="90"/>
      <c r="I705" s="90"/>
      <c r="J705" s="90"/>
      <c r="K705" s="90"/>
      <c r="L705" s="90"/>
      <c r="M705" s="90"/>
      <c r="N705" s="90"/>
      <c r="O705" s="90"/>
    </row>
    <row r="706" spans="3:15">
      <c r="C706" s="90"/>
      <c r="D706" s="90"/>
      <c r="E706" s="90"/>
      <c r="F706" s="90"/>
      <c r="G706" s="90"/>
      <c r="H706" s="90"/>
      <c r="I706" s="90"/>
      <c r="J706" s="90"/>
      <c r="K706" s="90"/>
      <c r="L706" s="90"/>
      <c r="M706" s="90"/>
      <c r="N706" s="90"/>
      <c r="O706" s="90"/>
    </row>
    <row r="707" spans="3:15">
      <c r="C707" s="90"/>
      <c r="D707" s="90"/>
      <c r="E707" s="90"/>
      <c r="F707" s="90"/>
      <c r="G707" s="90"/>
      <c r="H707" s="90"/>
      <c r="I707" s="90"/>
      <c r="J707" s="90"/>
      <c r="K707" s="90"/>
      <c r="L707" s="90"/>
      <c r="M707" s="90"/>
      <c r="N707" s="90"/>
      <c r="O707" s="90"/>
    </row>
    <row r="708" spans="3:15">
      <c r="C708" s="90"/>
      <c r="D708" s="90"/>
      <c r="E708" s="90"/>
      <c r="F708" s="90"/>
      <c r="G708" s="90"/>
      <c r="H708" s="90"/>
      <c r="I708" s="90"/>
      <c r="J708" s="90"/>
      <c r="K708" s="90"/>
      <c r="L708" s="90"/>
      <c r="M708" s="90"/>
      <c r="N708" s="90"/>
      <c r="O708" s="90"/>
    </row>
    <row r="709" spans="3:15">
      <c r="C709" s="90"/>
      <c r="D709" s="90"/>
      <c r="E709" s="90"/>
      <c r="F709" s="90"/>
      <c r="G709" s="90"/>
      <c r="H709" s="90"/>
      <c r="I709" s="90"/>
      <c r="J709" s="90"/>
      <c r="K709" s="90"/>
      <c r="L709" s="90"/>
      <c r="M709" s="90"/>
      <c r="N709" s="90"/>
      <c r="O709" s="90"/>
    </row>
    <row r="710" spans="3:15">
      <c r="C710" s="90"/>
      <c r="D710" s="90"/>
      <c r="E710" s="90"/>
      <c r="F710" s="90"/>
      <c r="G710" s="90"/>
      <c r="H710" s="90"/>
      <c r="I710" s="90"/>
      <c r="J710" s="90"/>
      <c r="K710" s="90"/>
      <c r="L710" s="90"/>
      <c r="M710" s="90"/>
      <c r="N710" s="90"/>
      <c r="O710" s="90"/>
    </row>
    <row r="711" spans="3:15">
      <c r="C711" s="90"/>
      <c r="D711" s="90"/>
      <c r="E711" s="90"/>
      <c r="F711" s="90"/>
      <c r="G711" s="90"/>
      <c r="H711" s="90"/>
      <c r="I711" s="90"/>
      <c r="J711" s="90"/>
      <c r="K711" s="90"/>
      <c r="L711" s="90"/>
      <c r="M711" s="90"/>
      <c r="N711" s="90"/>
      <c r="O711" s="90"/>
    </row>
    <row r="712" spans="3:15">
      <c r="C712" s="90"/>
      <c r="D712" s="90"/>
      <c r="E712" s="90"/>
      <c r="F712" s="90"/>
      <c r="G712" s="90"/>
      <c r="H712" s="90"/>
      <c r="I712" s="90"/>
      <c r="J712" s="90"/>
      <c r="K712" s="90"/>
      <c r="L712" s="90"/>
      <c r="M712" s="90"/>
      <c r="N712" s="90"/>
      <c r="O712" s="90"/>
    </row>
    <row r="713" spans="3:15">
      <c r="C713" s="90"/>
      <c r="D713" s="90"/>
      <c r="E713" s="90"/>
      <c r="F713" s="90"/>
      <c r="G713" s="90"/>
      <c r="H713" s="90"/>
      <c r="I713" s="90"/>
      <c r="J713" s="90"/>
      <c r="K713" s="90"/>
      <c r="L713" s="90"/>
      <c r="M713" s="90"/>
      <c r="N713" s="90"/>
      <c r="O713" s="90"/>
    </row>
    <row r="714" spans="3:15">
      <c r="C714" s="90"/>
      <c r="D714" s="90"/>
      <c r="E714" s="90"/>
      <c r="F714" s="90"/>
      <c r="G714" s="90"/>
      <c r="H714" s="90"/>
      <c r="I714" s="90"/>
      <c r="J714" s="90"/>
      <c r="K714" s="90"/>
      <c r="L714" s="90"/>
      <c r="M714" s="90"/>
      <c r="N714" s="90"/>
      <c r="O714" s="90"/>
    </row>
    <row r="715" spans="3:15">
      <c r="C715" s="90"/>
      <c r="D715" s="90"/>
      <c r="E715" s="90"/>
      <c r="F715" s="90"/>
      <c r="G715" s="90"/>
      <c r="H715" s="90"/>
      <c r="I715" s="90"/>
      <c r="J715" s="90"/>
      <c r="K715" s="90"/>
      <c r="L715" s="90"/>
      <c r="M715" s="90"/>
      <c r="N715" s="90"/>
      <c r="O715" s="90"/>
    </row>
    <row r="716" spans="3:15">
      <c r="C716" s="90"/>
      <c r="D716" s="90"/>
      <c r="E716" s="90"/>
      <c r="F716" s="90"/>
      <c r="G716" s="90"/>
      <c r="H716" s="90"/>
      <c r="I716" s="90"/>
      <c r="J716" s="90"/>
      <c r="K716" s="90"/>
      <c r="L716" s="90"/>
      <c r="M716" s="90"/>
      <c r="N716" s="90"/>
      <c r="O716" s="90"/>
    </row>
    <row r="717" spans="3:15">
      <c r="C717" s="90"/>
      <c r="D717" s="90"/>
      <c r="E717" s="90"/>
      <c r="F717" s="90"/>
      <c r="G717" s="90"/>
      <c r="H717" s="90"/>
      <c r="I717" s="90"/>
      <c r="J717" s="90"/>
      <c r="K717" s="90"/>
      <c r="L717" s="90"/>
      <c r="M717" s="90"/>
      <c r="N717" s="90"/>
      <c r="O717" s="90"/>
    </row>
    <row r="718" spans="3:15">
      <c r="C718" s="90"/>
      <c r="D718" s="90"/>
      <c r="E718" s="90"/>
      <c r="F718" s="90"/>
      <c r="G718" s="90"/>
      <c r="H718" s="90"/>
      <c r="I718" s="90"/>
      <c r="J718" s="90"/>
      <c r="K718" s="90"/>
      <c r="L718" s="90"/>
      <c r="M718" s="90"/>
      <c r="N718" s="90"/>
      <c r="O718" s="90"/>
    </row>
    <row r="719" spans="3:15">
      <c r="C719" s="90"/>
      <c r="D719" s="90"/>
      <c r="E719" s="90"/>
      <c r="F719" s="90"/>
      <c r="G719" s="90"/>
      <c r="H719" s="90"/>
      <c r="I719" s="90"/>
      <c r="J719" s="90"/>
      <c r="K719" s="90"/>
      <c r="L719" s="90"/>
      <c r="M719" s="90"/>
      <c r="N719" s="90"/>
      <c r="O719" s="90"/>
    </row>
    <row r="720" spans="3:15">
      <c r="C720" s="90"/>
      <c r="D720" s="90"/>
      <c r="E720" s="90"/>
      <c r="F720" s="90"/>
      <c r="G720" s="90"/>
      <c r="H720" s="90"/>
      <c r="I720" s="90"/>
      <c r="J720" s="90"/>
      <c r="K720" s="90"/>
      <c r="L720" s="90"/>
      <c r="M720" s="90"/>
      <c r="N720" s="90"/>
      <c r="O720" s="90"/>
    </row>
    <row r="721" spans="3:15">
      <c r="C721" s="90"/>
      <c r="D721" s="90"/>
      <c r="E721" s="90"/>
      <c r="F721" s="90"/>
      <c r="G721" s="90"/>
      <c r="H721" s="90"/>
      <c r="I721" s="90"/>
      <c r="J721" s="90"/>
      <c r="K721" s="90"/>
      <c r="L721" s="90"/>
      <c r="M721" s="90"/>
      <c r="N721" s="90"/>
      <c r="O721" s="90"/>
    </row>
    <row r="722" spans="3:15">
      <c r="C722" s="90"/>
      <c r="D722" s="90"/>
      <c r="E722" s="90"/>
      <c r="F722" s="90"/>
      <c r="G722" s="90"/>
      <c r="H722" s="90"/>
      <c r="I722" s="90"/>
      <c r="J722" s="90"/>
      <c r="K722" s="90"/>
      <c r="L722" s="90"/>
      <c r="M722" s="90"/>
      <c r="N722" s="90"/>
      <c r="O722" s="90"/>
    </row>
    <row r="723" spans="3:15">
      <c r="C723" s="90"/>
      <c r="D723" s="90"/>
      <c r="E723" s="90"/>
      <c r="F723" s="90"/>
      <c r="G723" s="90"/>
      <c r="H723" s="90"/>
      <c r="I723" s="90"/>
      <c r="J723" s="90"/>
      <c r="K723" s="90"/>
      <c r="L723" s="90"/>
      <c r="M723" s="90"/>
      <c r="N723" s="90"/>
      <c r="O723" s="90"/>
    </row>
    <row r="724" spans="3:15">
      <c r="C724" s="90"/>
      <c r="D724" s="90"/>
      <c r="E724" s="90"/>
      <c r="F724" s="90"/>
      <c r="G724" s="90"/>
      <c r="H724" s="90"/>
      <c r="I724" s="90"/>
      <c r="J724" s="90"/>
      <c r="K724" s="90"/>
      <c r="L724" s="90"/>
      <c r="M724" s="90"/>
      <c r="N724" s="90"/>
      <c r="O724" s="90"/>
    </row>
    <row r="725" spans="3:15">
      <c r="C725" s="90"/>
      <c r="D725" s="90"/>
      <c r="E725" s="90"/>
      <c r="F725" s="90"/>
      <c r="G725" s="90"/>
      <c r="H725" s="90"/>
      <c r="I725" s="90"/>
      <c r="J725" s="90"/>
      <c r="K725" s="90"/>
      <c r="L725" s="90"/>
      <c r="M725" s="90"/>
      <c r="N725" s="90"/>
      <c r="O725" s="90"/>
    </row>
    <row r="726" spans="3:15">
      <c r="C726" s="90"/>
      <c r="D726" s="90"/>
      <c r="E726" s="90"/>
      <c r="F726" s="90"/>
      <c r="G726" s="90"/>
      <c r="H726" s="90"/>
      <c r="I726" s="90"/>
      <c r="J726" s="90"/>
      <c r="K726" s="90"/>
      <c r="L726" s="90"/>
      <c r="M726" s="90"/>
      <c r="N726" s="90"/>
      <c r="O726" s="90"/>
    </row>
    <row r="727" spans="3:15">
      <c r="C727" s="90"/>
      <c r="D727" s="90"/>
      <c r="E727" s="90"/>
      <c r="F727" s="90"/>
      <c r="G727" s="90"/>
      <c r="H727" s="90"/>
      <c r="I727" s="90"/>
      <c r="J727" s="90"/>
      <c r="K727" s="90"/>
      <c r="L727" s="90"/>
      <c r="M727" s="90"/>
      <c r="N727" s="90"/>
      <c r="O727" s="90"/>
    </row>
    <row r="728" spans="3:15">
      <c r="C728" s="90"/>
      <c r="D728" s="90"/>
      <c r="E728" s="90"/>
      <c r="F728" s="90"/>
      <c r="G728" s="90"/>
      <c r="H728" s="90"/>
      <c r="I728" s="90"/>
      <c r="J728" s="90"/>
      <c r="K728" s="90"/>
      <c r="L728" s="90"/>
      <c r="M728" s="90"/>
      <c r="N728" s="90"/>
      <c r="O728" s="90"/>
    </row>
    <row r="729" spans="3:15">
      <c r="C729" s="90"/>
      <c r="D729" s="90"/>
      <c r="E729" s="90"/>
      <c r="F729" s="90"/>
      <c r="G729" s="90"/>
      <c r="H729" s="90"/>
      <c r="I729" s="90"/>
      <c r="J729" s="90"/>
      <c r="K729" s="90"/>
      <c r="L729" s="90"/>
      <c r="M729" s="90"/>
      <c r="N729" s="90"/>
      <c r="O729" s="90"/>
    </row>
    <row r="730" spans="3:15">
      <c r="C730" s="90"/>
      <c r="D730" s="90"/>
      <c r="E730" s="90"/>
      <c r="F730" s="90"/>
      <c r="G730" s="90"/>
      <c r="H730" s="90"/>
      <c r="I730" s="90"/>
      <c r="J730" s="90"/>
      <c r="K730" s="90"/>
      <c r="L730" s="90"/>
      <c r="M730" s="90"/>
      <c r="N730" s="90"/>
      <c r="O730" s="90"/>
    </row>
    <row r="731" spans="3:15">
      <c r="C731" s="90"/>
      <c r="D731" s="90"/>
      <c r="E731" s="90"/>
      <c r="F731" s="90"/>
      <c r="G731" s="90"/>
      <c r="H731" s="90"/>
      <c r="I731" s="90"/>
      <c r="J731" s="90"/>
      <c r="K731" s="90"/>
      <c r="L731" s="90"/>
      <c r="M731" s="90"/>
      <c r="N731" s="90"/>
      <c r="O731" s="90"/>
    </row>
    <row r="732" spans="3:15">
      <c r="C732" s="90"/>
      <c r="D732" s="90"/>
      <c r="E732" s="90"/>
      <c r="F732" s="90"/>
      <c r="G732" s="90"/>
      <c r="H732" s="90"/>
      <c r="I732" s="90"/>
      <c r="J732" s="90"/>
      <c r="K732" s="90"/>
      <c r="L732" s="90"/>
      <c r="M732" s="90"/>
      <c r="N732" s="90"/>
      <c r="O732" s="90"/>
    </row>
    <row r="733" spans="3:15">
      <c r="C733" s="90"/>
      <c r="D733" s="90"/>
      <c r="E733" s="90"/>
      <c r="F733" s="90"/>
      <c r="G733" s="90"/>
      <c r="H733" s="90"/>
      <c r="I733" s="90"/>
      <c r="J733" s="90"/>
      <c r="K733" s="90"/>
      <c r="L733" s="90"/>
      <c r="M733" s="90"/>
      <c r="N733" s="90"/>
      <c r="O733" s="90"/>
    </row>
    <row r="734" spans="3:15">
      <c r="C734" s="90"/>
      <c r="D734" s="90"/>
      <c r="E734" s="90"/>
      <c r="F734" s="90"/>
      <c r="G734" s="90"/>
      <c r="H734" s="90"/>
      <c r="I734" s="90"/>
      <c r="J734" s="90"/>
      <c r="K734" s="90"/>
      <c r="L734" s="90"/>
      <c r="M734" s="90"/>
      <c r="N734" s="90"/>
      <c r="O734" s="90"/>
    </row>
    <row r="735" spans="3:15">
      <c r="C735" s="90"/>
      <c r="D735" s="90"/>
      <c r="E735" s="90"/>
      <c r="F735" s="90"/>
      <c r="G735" s="90"/>
      <c r="H735" s="90"/>
      <c r="I735" s="90"/>
      <c r="J735" s="90"/>
      <c r="K735" s="90"/>
      <c r="L735" s="90"/>
      <c r="M735" s="90"/>
      <c r="N735" s="90"/>
      <c r="O735" s="90"/>
    </row>
    <row r="736" spans="3:15">
      <c r="C736" s="90"/>
      <c r="D736" s="90"/>
      <c r="E736" s="90"/>
      <c r="F736" s="90"/>
      <c r="G736" s="90"/>
      <c r="H736" s="90"/>
      <c r="I736" s="90"/>
      <c r="J736" s="90"/>
      <c r="K736" s="90"/>
      <c r="L736" s="90"/>
      <c r="M736" s="90"/>
      <c r="N736" s="90"/>
      <c r="O736" s="90"/>
    </row>
    <row r="737" spans="3:15">
      <c r="C737" s="90"/>
      <c r="D737" s="90"/>
      <c r="E737" s="90"/>
      <c r="F737" s="90"/>
      <c r="G737" s="90"/>
      <c r="H737" s="90"/>
      <c r="I737" s="90"/>
      <c r="J737" s="90"/>
      <c r="K737" s="90"/>
      <c r="L737" s="90"/>
      <c r="M737" s="90"/>
      <c r="N737" s="90"/>
      <c r="O737" s="90"/>
    </row>
    <row r="738" spans="3:15">
      <c r="C738" s="90"/>
      <c r="D738" s="90"/>
      <c r="E738" s="90"/>
      <c r="F738" s="90"/>
      <c r="G738" s="90"/>
      <c r="H738" s="90"/>
      <c r="I738" s="90"/>
      <c r="J738" s="90"/>
      <c r="K738" s="90"/>
      <c r="L738" s="90"/>
      <c r="M738" s="90"/>
      <c r="N738" s="90"/>
      <c r="O738" s="90"/>
    </row>
    <row r="739" spans="3:15">
      <c r="C739" s="90"/>
      <c r="D739" s="90"/>
      <c r="E739" s="90"/>
      <c r="F739" s="90"/>
      <c r="G739" s="90"/>
      <c r="H739" s="90"/>
      <c r="I739" s="90"/>
      <c r="J739" s="90"/>
      <c r="K739" s="90"/>
      <c r="L739" s="90"/>
      <c r="M739" s="90"/>
      <c r="N739" s="90"/>
      <c r="O739" s="90"/>
    </row>
    <row r="740" spans="3:15">
      <c r="C740" s="90"/>
      <c r="D740" s="90"/>
      <c r="E740" s="90"/>
      <c r="F740" s="90"/>
      <c r="G740" s="90"/>
      <c r="H740" s="90"/>
      <c r="I740" s="90"/>
      <c r="J740" s="90"/>
      <c r="K740" s="90"/>
      <c r="L740" s="90"/>
      <c r="M740" s="90"/>
      <c r="N740" s="90"/>
      <c r="O740" s="90"/>
    </row>
    <row r="741" spans="3:15">
      <c r="C741" s="90"/>
      <c r="D741" s="90"/>
      <c r="E741" s="90"/>
      <c r="F741" s="90"/>
      <c r="G741" s="90"/>
      <c r="H741" s="90"/>
      <c r="I741" s="90"/>
      <c r="J741" s="90"/>
      <c r="K741" s="90"/>
      <c r="L741" s="90"/>
      <c r="M741" s="90"/>
      <c r="N741" s="90"/>
      <c r="O741" s="90"/>
    </row>
    <row r="742" spans="3:15">
      <c r="C742" s="90"/>
      <c r="D742" s="90"/>
      <c r="E742" s="90"/>
      <c r="F742" s="90"/>
      <c r="G742" s="90"/>
      <c r="H742" s="90"/>
      <c r="I742" s="90"/>
      <c r="J742" s="90"/>
      <c r="K742" s="90"/>
      <c r="L742" s="90"/>
      <c r="M742" s="90"/>
      <c r="N742" s="90"/>
      <c r="O742" s="90"/>
    </row>
    <row r="743" spans="3:15">
      <c r="C743" s="90"/>
      <c r="D743" s="90"/>
      <c r="E743" s="90"/>
      <c r="F743" s="90"/>
      <c r="G743" s="90"/>
      <c r="H743" s="90"/>
      <c r="I743" s="90"/>
      <c r="J743" s="90"/>
      <c r="K743" s="90"/>
      <c r="L743" s="90"/>
      <c r="M743" s="90"/>
      <c r="N743" s="90"/>
      <c r="O743" s="90"/>
    </row>
    <row r="744" spans="3:15">
      <c r="C744" s="90"/>
      <c r="D744" s="90"/>
      <c r="E744" s="90"/>
      <c r="F744" s="90"/>
      <c r="G744" s="90"/>
      <c r="H744" s="90"/>
      <c r="I744" s="90"/>
      <c r="J744" s="90"/>
      <c r="K744" s="90"/>
      <c r="L744" s="90"/>
      <c r="M744" s="90"/>
      <c r="N744" s="90"/>
      <c r="O744" s="90"/>
    </row>
    <row r="745" spans="3:15">
      <c r="C745" s="90"/>
      <c r="D745" s="90"/>
      <c r="E745" s="90"/>
      <c r="F745" s="90"/>
      <c r="G745" s="90"/>
      <c r="H745" s="90"/>
      <c r="I745" s="90"/>
      <c r="J745" s="90"/>
      <c r="K745" s="90"/>
      <c r="L745" s="90"/>
      <c r="M745" s="90"/>
      <c r="N745" s="90"/>
      <c r="O745" s="90"/>
    </row>
    <row r="746" spans="3:15">
      <c r="C746" s="90"/>
      <c r="D746" s="90"/>
      <c r="E746" s="90"/>
      <c r="F746" s="90"/>
      <c r="G746" s="90"/>
      <c r="H746" s="90"/>
      <c r="I746" s="90"/>
      <c r="J746" s="90"/>
      <c r="K746" s="90"/>
      <c r="L746" s="90"/>
      <c r="M746" s="90"/>
      <c r="N746" s="90"/>
      <c r="O746" s="90"/>
    </row>
    <row r="747" spans="3:15">
      <c r="C747" s="90"/>
      <c r="D747" s="90"/>
      <c r="E747" s="90"/>
      <c r="F747" s="90"/>
      <c r="G747" s="90"/>
      <c r="H747" s="90"/>
      <c r="I747" s="90"/>
      <c r="J747" s="90"/>
      <c r="K747" s="90"/>
      <c r="L747" s="90"/>
      <c r="M747" s="90"/>
      <c r="N747" s="90"/>
      <c r="O747" s="90"/>
    </row>
    <row r="748" spans="3:15">
      <c r="C748" s="90"/>
      <c r="D748" s="90"/>
      <c r="E748" s="90"/>
      <c r="F748" s="90"/>
      <c r="G748" s="90"/>
      <c r="H748" s="90"/>
      <c r="I748" s="90"/>
      <c r="J748" s="90"/>
      <c r="K748" s="90"/>
      <c r="L748" s="90"/>
      <c r="M748" s="90"/>
      <c r="N748" s="90"/>
      <c r="O748" s="90"/>
    </row>
    <row r="749" spans="3:15">
      <c r="C749" s="90"/>
      <c r="D749" s="90"/>
      <c r="E749" s="90"/>
      <c r="F749" s="90"/>
      <c r="G749" s="90"/>
      <c r="H749" s="90"/>
      <c r="I749" s="90"/>
      <c r="J749" s="90"/>
      <c r="K749" s="90"/>
      <c r="L749" s="90"/>
      <c r="M749" s="90"/>
      <c r="N749" s="90"/>
      <c r="O749" s="90"/>
    </row>
    <row r="750" spans="3:15">
      <c r="C750" s="90"/>
      <c r="D750" s="90"/>
      <c r="E750" s="90"/>
      <c r="F750" s="90"/>
      <c r="G750" s="90"/>
      <c r="H750" s="90"/>
      <c r="I750" s="90"/>
      <c r="J750" s="90"/>
      <c r="K750" s="90"/>
      <c r="L750" s="90"/>
      <c r="M750" s="90"/>
      <c r="N750" s="90"/>
      <c r="O750" s="90"/>
    </row>
    <row r="751" spans="3:15">
      <c r="C751" s="90"/>
      <c r="D751" s="90"/>
      <c r="E751" s="90"/>
      <c r="F751" s="90"/>
      <c r="G751" s="90"/>
      <c r="H751" s="90"/>
      <c r="I751" s="90"/>
      <c r="J751" s="90"/>
      <c r="K751" s="90"/>
      <c r="L751" s="90"/>
      <c r="M751" s="90"/>
      <c r="N751" s="90"/>
      <c r="O751" s="90"/>
    </row>
    <row r="752" spans="3:15">
      <c r="C752" s="90"/>
      <c r="D752" s="90"/>
      <c r="E752" s="90"/>
      <c r="F752" s="90"/>
      <c r="G752" s="90"/>
      <c r="H752" s="90"/>
      <c r="I752" s="90"/>
      <c r="J752" s="90"/>
      <c r="K752" s="90"/>
      <c r="L752" s="90"/>
      <c r="M752" s="90"/>
      <c r="N752" s="90"/>
      <c r="O752" s="90"/>
    </row>
    <row r="753" spans="3:15">
      <c r="C753" s="90"/>
      <c r="D753" s="90"/>
      <c r="E753" s="90"/>
      <c r="F753" s="90"/>
      <c r="G753" s="90"/>
      <c r="H753" s="90"/>
      <c r="I753" s="90"/>
      <c r="J753" s="90"/>
      <c r="K753" s="90"/>
      <c r="L753" s="90"/>
      <c r="M753" s="90"/>
      <c r="N753" s="90"/>
      <c r="O753" s="90"/>
    </row>
    <row r="754" spans="3:15">
      <c r="C754" s="90"/>
      <c r="D754" s="90"/>
      <c r="E754" s="90"/>
      <c r="F754" s="90"/>
      <c r="G754" s="90"/>
      <c r="H754" s="90"/>
      <c r="I754" s="90"/>
      <c r="J754" s="90"/>
      <c r="K754" s="90"/>
      <c r="L754" s="90"/>
      <c r="M754" s="90"/>
      <c r="N754" s="90"/>
      <c r="O754" s="90"/>
    </row>
    <row r="755" spans="3:15">
      <c r="C755" s="90"/>
      <c r="D755" s="90"/>
      <c r="E755" s="90"/>
      <c r="F755" s="90"/>
      <c r="G755" s="90"/>
      <c r="H755" s="90"/>
      <c r="I755" s="90"/>
      <c r="J755" s="90"/>
      <c r="K755" s="90"/>
      <c r="L755" s="90"/>
      <c r="M755" s="90"/>
      <c r="N755" s="90"/>
      <c r="O755" s="90"/>
    </row>
    <row r="756" spans="3:15">
      <c r="C756" s="90"/>
      <c r="D756" s="90"/>
      <c r="E756" s="90"/>
      <c r="F756" s="90"/>
      <c r="G756" s="90"/>
      <c r="H756" s="90"/>
      <c r="I756" s="90"/>
      <c r="J756" s="90"/>
      <c r="K756" s="90"/>
      <c r="L756" s="90"/>
      <c r="M756" s="90"/>
      <c r="N756" s="90"/>
      <c r="O756" s="90"/>
    </row>
    <row r="757" spans="3:15">
      <c r="C757" s="90"/>
      <c r="D757" s="90"/>
      <c r="E757" s="90"/>
      <c r="F757" s="90"/>
      <c r="G757" s="90"/>
      <c r="H757" s="90"/>
      <c r="I757" s="90"/>
      <c r="J757" s="90"/>
      <c r="K757" s="90"/>
      <c r="L757" s="90"/>
      <c r="M757" s="90"/>
      <c r="N757" s="90"/>
      <c r="O757" s="90"/>
    </row>
    <row r="758" spans="3:15">
      <c r="C758" s="90"/>
      <c r="D758" s="90"/>
      <c r="E758" s="90"/>
      <c r="F758" s="90"/>
      <c r="G758" s="90"/>
      <c r="H758" s="90"/>
      <c r="I758" s="90"/>
      <c r="J758" s="90"/>
      <c r="K758" s="90"/>
      <c r="L758" s="90"/>
      <c r="M758" s="90"/>
      <c r="N758" s="90"/>
      <c r="O758" s="90"/>
    </row>
    <row r="759" spans="3:15">
      <c r="C759" s="90"/>
      <c r="D759" s="90"/>
      <c r="E759" s="90"/>
      <c r="F759" s="90"/>
      <c r="G759" s="90"/>
      <c r="H759" s="90"/>
      <c r="I759" s="90"/>
      <c r="J759" s="90"/>
      <c r="K759" s="90"/>
      <c r="L759" s="90"/>
      <c r="M759" s="90"/>
      <c r="N759" s="90"/>
      <c r="O759" s="90"/>
    </row>
    <row r="760" spans="3:15">
      <c r="C760" s="90"/>
      <c r="D760" s="90"/>
      <c r="E760" s="90"/>
      <c r="F760" s="90"/>
      <c r="G760" s="90"/>
      <c r="H760" s="90"/>
      <c r="I760" s="90"/>
      <c r="J760" s="90"/>
      <c r="K760" s="90"/>
      <c r="L760" s="90"/>
      <c r="M760" s="90"/>
      <c r="N760" s="90"/>
      <c r="O760" s="90"/>
    </row>
    <row r="761" spans="3:15">
      <c r="C761" s="90"/>
      <c r="D761" s="90"/>
      <c r="E761" s="90"/>
      <c r="F761" s="90"/>
      <c r="G761" s="90"/>
      <c r="H761" s="90"/>
      <c r="I761" s="90"/>
      <c r="J761" s="90"/>
      <c r="K761" s="90"/>
      <c r="L761" s="90"/>
      <c r="M761" s="90"/>
      <c r="N761" s="90"/>
      <c r="O761" s="90"/>
    </row>
    <row r="762" spans="3:15">
      <c r="C762" s="90"/>
      <c r="D762" s="90"/>
      <c r="E762" s="90"/>
      <c r="F762" s="90"/>
      <c r="G762" s="90"/>
      <c r="H762" s="90"/>
      <c r="I762" s="90"/>
      <c r="J762" s="90"/>
      <c r="K762" s="90"/>
      <c r="L762" s="90"/>
      <c r="M762" s="90"/>
      <c r="N762" s="90"/>
      <c r="O762" s="90"/>
    </row>
    <row r="763" spans="3:15">
      <c r="C763" s="90"/>
      <c r="D763" s="90"/>
      <c r="E763" s="90"/>
      <c r="F763" s="90"/>
      <c r="G763" s="90"/>
      <c r="H763" s="90"/>
      <c r="I763" s="90"/>
      <c r="J763" s="90"/>
      <c r="K763" s="90"/>
      <c r="L763" s="90"/>
      <c r="M763" s="90"/>
      <c r="N763" s="90"/>
      <c r="O763" s="90"/>
    </row>
    <row r="764" spans="3:15">
      <c r="C764" s="90"/>
      <c r="D764" s="90"/>
      <c r="E764" s="90"/>
      <c r="F764" s="90"/>
      <c r="G764" s="90"/>
      <c r="H764" s="90"/>
      <c r="I764" s="90"/>
      <c r="J764" s="90"/>
      <c r="K764" s="90"/>
      <c r="L764" s="90"/>
      <c r="M764" s="90"/>
      <c r="N764" s="90"/>
      <c r="O764" s="90"/>
    </row>
    <row r="765" spans="3:15">
      <c r="C765" s="90"/>
      <c r="D765" s="90"/>
      <c r="E765" s="90"/>
      <c r="F765" s="90"/>
      <c r="G765" s="90"/>
      <c r="H765" s="90"/>
      <c r="I765" s="90"/>
      <c r="J765" s="90"/>
      <c r="K765" s="90"/>
      <c r="L765" s="90"/>
      <c r="M765" s="90"/>
      <c r="N765" s="90"/>
      <c r="O765" s="90"/>
    </row>
    <row r="766" spans="3:15">
      <c r="C766" s="90"/>
      <c r="D766" s="90"/>
      <c r="E766" s="90"/>
      <c r="F766" s="90"/>
      <c r="G766" s="90"/>
      <c r="H766" s="90"/>
      <c r="I766" s="90"/>
      <c r="J766" s="90"/>
      <c r="K766" s="90"/>
      <c r="L766" s="90"/>
      <c r="M766" s="90"/>
      <c r="N766" s="90"/>
      <c r="O766" s="90"/>
    </row>
    <row r="767" spans="3:15">
      <c r="C767" s="90"/>
      <c r="D767" s="90"/>
      <c r="E767" s="90"/>
      <c r="F767" s="90"/>
      <c r="G767" s="90"/>
      <c r="H767" s="90"/>
      <c r="I767" s="90"/>
      <c r="J767" s="90"/>
      <c r="K767" s="90"/>
      <c r="L767" s="90"/>
      <c r="M767" s="90"/>
      <c r="N767" s="90"/>
      <c r="O767" s="90"/>
    </row>
    <row r="768" spans="3:15">
      <c r="C768" s="90"/>
      <c r="D768" s="90"/>
      <c r="E768" s="90"/>
      <c r="F768" s="90"/>
      <c r="G768" s="90"/>
      <c r="H768" s="90"/>
      <c r="I768" s="90"/>
      <c r="J768" s="90"/>
      <c r="K768" s="90"/>
      <c r="L768" s="90"/>
      <c r="M768" s="90"/>
      <c r="N768" s="90"/>
      <c r="O768" s="90"/>
    </row>
    <row r="769" spans="3:15">
      <c r="C769" s="90"/>
      <c r="D769" s="90"/>
      <c r="E769" s="90"/>
      <c r="F769" s="90"/>
      <c r="G769" s="90"/>
      <c r="H769" s="90"/>
      <c r="I769" s="90"/>
      <c r="J769" s="90"/>
      <c r="K769" s="90"/>
      <c r="L769" s="90"/>
      <c r="M769" s="90"/>
      <c r="N769" s="90"/>
      <c r="O769" s="90"/>
    </row>
    <row r="770" spans="3:15">
      <c r="C770" s="90"/>
      <c r="D770" s="90"/>
      <c r="E770" s="90"/>
      <c r="F770" s="90"/>
      <c r="G770" s="90"/>
      <c r="H770" s="90"/>
      <c r="I770" s="90"/>
      <c r="J770" s="90"/>
      <c r="K770" s="90"/>
      <c r="L770" s="90"/>
      <c r="M770" s="90"/>
      <c r="N770" s="90"/>
      <c r="O770" s="90"/>
    </row>
    <row r="771" spans="3:15">
      <c r="C771" s="90"/>
      <c r="D771" s="90"/>
      <c r="E771" s="90"/>
      <c r="F771" s="90"/>
      <c r="G771" s="90"/>
      <c r="H771" s="90"/>
      <c r="I771" s="90"/>
      <c r="J771" s="90"/>
      <c r="K771" s="90"/>
      <c r="L771" s="90"/>
      <c r="M771" s="90"/>
      <c r="N771" s="90"/>
      <c r="O771" s="90"/>
    </row>
    <row r="772" spans="3:15">
      <c r="C772" s="90"/>
      <c r="D772" s="90"/>
      <c r="E772" s="90"/>
      <c r="F772" s="90"/>
      <c r="G772" s="90"/>
      <c r="H772" s="90"/>
      <c r="I772" s="90"/>
      <c r="J772" s="90"/>
      <c r="K772" s="90"/>
      <c r="L772" s="90"/>
      <c r="M772" s="90"/>
      <c r="N772" s="90"/>
      <c r="O772" s="90"/>
    </row>
    <row r="773" spans="3:15">
      <c r="C773" s="90"/>
      <c r="D773" s="90"/>
      <c r="E773" s="90"/>
      <c r="F773" s="90"/>
      <c r="G773" s="90"/>
      <c r="H773" s="90"/>
      <c r="I773" s="90"/>
      <c r="J773" s="90"/>
      <c r="K773" s="90"/>
      <c r="L773" s="90"/>
      <c r="M773" s="90"/>
      <c r="N773" s="90"/>
      <c r="O773" s="90"/>
    </row>
    <row r="774" spans="3:15">
      <c r="C774" s="90"/>
      <c r="D774" s="90"/>
      <c r="E774" s="90"/>
      <c r="F774" s="90"/>
      <c r="G774" s="90"/>
      <c r="H774" s="90"/>
      <c r="I774" s="90"/>
      <c r="J774" s="90"/>
      <c r="K774" s="90"/>
      <c r="L774" s="90"/>
      <c r="M774" s="90"/>
      <c r="N774" s="90"/>
      <c r="O774" s="90"/>
    </row>
    <row r="775" spans="3:15">
      <c r="C775" s="90"/>
      <c r="D775" s="90"/>
      <c r="E775" s="90"/>
      <c r="F775" s="90"/>
      <c r="G775" s="90"/>
      <c r="H775" s="90"/>
      <c r="I775" s="90"/>
      <c r="J775" s="90"/>
      <c r="K775" s="90"/>
      <c r="L775" s="90"/>
      <c r="M775" s="90"/>
      <c r="N775" s="90"/>
      <c r="O775" s="90"/>
    </row>
    <row r="776" spans="3:15">
      <c r="C776" s="90"/>
      <c r="D776" s="90"/>
      <c r="E776" s="90"/>
      <c r="F776" s="90"/>
      <c r="G776" s="90"/>
      <c r="H776" s="90"/>
      <c r="I776" s="90"/>
      <c r="J776" s="90"/>
      <c r="K776" s="90"/>
      <c r="L776" s="90"/>
      <c r="M776" s="90"/>
      <c r="N776" s="90"/>
      <c r="O776" s="90"/>
    </row>
    <row r="777" spans="3:15">
      <c r="C777" s="90"/>
      <c r="D777" s="90"/>
      <c r="E777" s="90"/>
      <c r="F777" s="90"/>
      <c r="G777" s="90"/>
      <c r="H777" s="90"/>
      <c r="I777" s="90"/>
      <c r="J777" s="90"/>
      <c r="K777" s="90"/>
      <c r="L777" s="90"/>
      <c r="M777" s="90"/>
      <c r="N777" s="90"/>
      <c r="O777" s="90"/>
    </row>
    <row r="778" spans="3:15">
      <c r="C778" s="90"/>
      <c r="D778" s="90"/>
      <c r="E778" s="90"/>
      <c r="F778" s="90"/>
      <c r="G778" s="90"/>
      <c r="H778" s="90"/>
      <c r="I778" s="90"/>
      <c r="J778" s="90"/>
      <c r="K778" s="90"/>
      <c r="L778" s="90"/>
      <c r="M778" s="90"/>
      <c r="N778" s="90"/>
      <c r="O778" s="90"/>
    </row>
    <row r="779" spans="3:15">
      <c r="C779" s="90"/>
      <c r="D779" s="90"/>
      <c r="E779" s="90"/>
      <c r="F779" s="90"/>
      <c r="G779" s="90"/>
      <c r="H779" s="90"/>
      <c r="I779" s="90"/>
      <c r="J779" s="90"/>
      <c r="K779" s="90"/>
      <c r="L779" s="90"/>
      <c r="M779" s="90"/>
      <c r="N779" s="90"/>
      <c r="O779" s="90"/>
    </row>
    <row r="780" spans="3:15">
      <c r="C780" s="90"/>
      <c r="D780" s="90"/>
      <c r="E780" s="90"/>
      <c r="F780" s="90"/>
      <c r="G780" s="90"/>
      <c r="H780" s="90"/>
      <c r="I780" s="90"/>
      <c r="J780" s="90"/>
      <c r="K780" s="90"/>
      <c r="L780" s="90"/>
      <c r="M780" s="90"/>
      <c r="N780" s="90"/>
      <c r="O780" s="90"/>
    </row>
    <row r="781" spans="3:15">
      <c r="C781" s="90"/>
      <c r="D781" s="90"/>
      <c r="E781" s="90"/>
      <c r="F781" s="90"/>
      <c r="G781" s="90"/>
      <c r="H781" s="90"/>
      <c r="I781" s="90"/>
      <c r="J781" s="90"/>
      <c r="K781" s="90"/>
      <c r="L781" s="90"/>
      <c r="M781" s="90"/>
      <c r="N781" s="90"/>
      <c r="O781" s="90"/>
    </row>
    <row r="782" spans="3:15">
      <c r="C782" s="90"/>
      <c r="D782" s="90"/>
      <c r="E782" s="90"/>
      <c r="F782" s="90"/>
      <c r="G782" s="90"/>
      <c r="H782" s="90"/>
      <c r="I782" s="90"/>
      <c r="J782" s="90"/>
      <c r="K782" s="90"/>
      <c r="L782" s="90"/>
      <c r="M782" s="90"/>
      <c r="N782" s="90"/>
      <c r="O782" s="90"/>
    </row>
    <row r="783" spans="3:15">
      <c r="C783" s="90"/>
      <c r="D783" s="90"/>
      <c r="E783" s="90"/>
      <c r="F783" s="90"/>
      <c r="G783" s="90"/>
      <c r="H783" s="90"/>
      <c r="I783" s="90"/>
      <c r="J783" s="90"/>
      <c r="K783" s="90"/>
      <c r="L783" s="90"/>
      <c r="M783" s="90"/>
      <c r="N783" s="90"/>
      <c r="O783" s="90"/>
    </row>
    <row r="784" spans="3:15">
      <c r="C784" s="90"/>
      <c r="D784" s="90"/>
      <c r="E784" s="90"/>
      <c r="F784" s="90"/>
      <c r="G784" s="90"/>
      <c r="H784" s="90"/>
      <c r="I784" s="90"/>
      <c r="J784" s="90"/>
      <c r="K784" s="90"/>
      <c r="L784" s="90"/>
      <c r="M784" s="90"/>
      <c r="N784" s="90"/>
      <c r="O784" s="90"/>
    </row>
    <row r="785" spans="3:15">
      <c r="C785" s="90"/>
      <c r="D785" s="90"/>
      <c r="E785" s="90"/>
      <c r="F785" s="90"/>
      <c r="G785" s="90"/>
      <c r="H785" s="90"/>
      <c r="I785" s="90"/>
      <c r="J785" s="90"/>
      <c r="K785" s="90"/>
      <c r="L785" s="90"/>
      <c r="M785" s="90"/>
      <c r="N785" s="90"/>
      <c r="O785" s="90"/>
    </row>
    <row r="786" spans="3:15">
      <c r="C786" s="90"/>
      <c r="D786" s="90"/>
      <c r="E786" s="90"/>
      <c r="F786" s="90"/>
      <c r="G786" s="90"/>
      <c r="H786" s="90"/>
      <c r="I786" s="90"/>
      <c r="J786" s="90"/>
      <c r="K786" s="90"/>
      <c r="L786" s="90"/>
      <c r="M786" s="90"/>
      <c r="N786" s="90"/>
      <c r="O786" s="90"/>
    </row>
    <row r="787" spans="3:15">
      <c r="C787" s="90"/>
      <c r="D787" s="90"/>
      <c r="E787" s="90"/>
      <c r="F787" s="90"/>
      <c r="G787" s="90"/>
      <c r="H787" s="90"/>
      <c r="I787" s="90"/>
      <c r="J787" s="90"/>
      <c r="K787" s="90"/>
      <c r="L787" s="90"/>
      <c r="M787" s="90"/>
      <c r="N787" s="90"/>
      <c r="O787" s="90"/>
    </row>
    <row r="788" spans="3:15">
      <c r="C788" s="90"/>
      <c r="D788" s="90"/>
      <c r="E788" s="90"/>
      <c r="F788" s="90"/>
      <c r="G788" s="90"/>
      <c r="H788" s="90"/>
      <c r="I788" s="90"/>
      <c r="J788" s="90"/>
      <c r="K788" s="90"/>
      <c r="L788" s="90"/>
      <c r="M788" s="90"/>
      <c r="N788" s="90"/>
      <c r="O788" s="90"/>
    </row>
    <row r="789" spans="3:15">
      <c r="C789" s="90"/>
      <c r="D789" s="90"/>
      <c r="E789" s="90"/>
      <c r="F789" s="90"/>
      <c r="G789" s="90"/>
      <c r="H789" s="90"/>
      <c r="I789" s="90"/>
      <c r="J789" s="90"/>
      <c r="K789" s="90"/>
      <c r="L789" s="90"/>
      <c r="M789" s="90"/>
      <c r="N789" s="90"/>
      <c r="O789" s="90"/>
    </row>
    <row r="790" spans="3:15">
      <c r="C790" s="90"/>
      <c r="D790" s="90"/>
      <c r="E790" s="90"/>
      <c r="F790" s="90"/>
      <c r="G790" s="90"/>
      <c r="H790" s="90"/>
      <c r="I790" s="90"/>
      <c r="J790" s="90"/>
      <c r="K790" s="90"/>
      <c r="L790" s="90"/>
      <c r="M790" s="90"/>
      <c r="N790" s="90"/>
      <c r="O790" s="90"/>
    </row>
    <row r="791" spans="3:15">
      <c r="C791" s="90"/>
      <c r="D791" s="90"/>
      <c r="E791" s="90"/>
      <c r="F791" s="90"/>
      <c r="G791" s="90"/>
      <c r="H791" s="90"/>
      <c r="I791" s="90"/>
      <c r="J791" s="90"/>
      <c r="K791" s="90"/>
      <c r="L791" s="90"/>
      <c r="M791" s="90"/>
      <c r="N791" s="90"/>
      <c r="O791" s="90"/>
    </row>
    <row r="792" spans="3:15">
      <c r="C792" s="90"/>
      <c r="D792" s="90"/>
      <c r="E792" s="90"/>
      <c r="F792" s="90"/>
      <c r="G792" s="90"/>
      <c r="H792" s="90"/>
      <c r="I792" s="90"/>
      <c r="J792" s="90"/>
      <c r="K792" s="90"/>
      <c r="L792" s="90"/>
      <c r="M792" s="90"/>
      <c r="N792" s="90"/>
      <c r="O792" s="90"/>
    </row>
    <row r="793" spans="3:15">
      <c r="C793" s="90"/>
      <c r="D793" s="90"/>
      <c r="E793" s="90"/>
      <c r="F793" s="90"/>
      <c r="G793" s="90"/>
      <c r="H793" s="90"/>
      <c r="I793" s="90"/>
      <c r="J793" s="90"/>
      <c r="K793" s="90"/>
      <c r="L793" s="90"/>
      <c r="M793" s="90"/>
      <c r="N793" s="90"/>
      <c r="O793" s="90"/>
    </row>
    <row r="794" spans="3:15">
      <c r="C794" s="90"/>
      <c r="D794" s="90"/>
      <c r="E794" s="90"/>
      <c r="F794" s="90"/>
      <c r="G794" s="90"/>
      <c r="H794" s="90"/>
      <c r="I794" s="90"/>
      <c r="J794" s="90"/>
      <c r="K794" s="90"/>
      <c r="L794" s="90"/>
      <c r="M794" s="90"/>
      <c r="N794" s="90"/>
      <c r="O794" s="90"/>
    </row>
    <row r="795" spans="3:15">
      <c r="C795" s="90"/>
      <c r="D795" s="90"/>
      <c r="E795" s="90"/>
      <c r="F795" s="90"/>
      <c r="G795" s="90"/>
      <c r="H795" s="90"/>
      <c r="I795" s="90"/>
      <c r="J795" s="90"/>
      <c r="K795" s="90"/>
      <c r="L795" s="90"/>
      <c r="M795" s="90"/>
      <c r="N795" s="90"/>
      <c r="O795" s="90"/>
    </row>
    <row r="796" spans="3:15">
      <c r="C796" s="90"/>
      <c r="D796" s="90"/>
      <c r="E796" s="90"/>
      <c r="F796" s="90"/>
      <c r="G796" s="90"/>
      <c r="H796" s="90"/>
      <c r="I796" s="90"/>
      <c r="J796" s="90"/>
      <c r="K796" s="90"/>
      <c r="L796" s="90"/>
      <c r="M796" s="90"/>
      <c r="N796" s="90"/>
      <c r="O796" s="90"/>
    </row>
    <row r="797" spans="3:15">
      <c r="C797" s="90"/>
      <c r="D797" s="90"/>
      <c r="E797" s="90"/>
      <c r="F797" s="90"/>
      <c r="G797" s="90"/>
      <c r="H797" s="90"/>
      <c r="I797" s="90"/>
      <c r="J797" s="90"/>
      <c r="K797" s="90"/>
      <c r="L797" s="90"/>
      <c r="M797" s="90"/>
      <c r="N797" s="90"/>
      <c r="O797" s="90"/>
    </row>
    <row r="798" spans="3:15">
      <c r="C798" s="90"/>
      <c r="D798" s="90"/>
      <c r="E798" s="90"/>
      <c r="F798" s="90"/>
      <c r="G798" s="90"/>
      <c r="H798" s="90"/>
      <c r="I798" s="90"/>
      <c r="J798" s="90"/>
      <c r="K798" s="90"/>
      <c r="L798" s="90"/>
      <c r="M798" s="90"/>
      <c r="N798" s="90"/>
      <c r="O798" s="90"/>
    </row>
    <row r="799" spans="3:15">
      <c r="C799" s="90"/>
      <c r="D799" s="90"/>
      <c r="E799" s="90"/>
      <c r="F799" s="90"/>
      <c r="G799" s="90"/>
      <c r="H799" s="90"/>
      <c r="I799" s="90"/>
      <c r="J799" s="90"/>
      <c r="K799" s="90"/>
      <c r="L799" s="90"/>
      <c r="M799" s="90"/>
      <c r="N799" s="90"/>
      <c r="O799" s="90"/>
    </row>
    <row r="800" spans="3:15">
      <c r="C800" s="90"/>
      <c r="D800" s="90"/>
      <c r="E800" s="90"/>
      <c r="F800" s="90"/>
      <c r="G800" s="90"/>
      <c r="H800" s="90"/>
      <c r="I800" s="90"/>
      <c r="J800" s="90"/>
      <c r="K800" s="90"/>
      <c r="L800" s="90"/>
      <c r="M800" s="90"/>
      <c r="N800" s="90"/>
      <c r="O800" s="90"/>
    </row>
    <row r="801" spans="3:15">
      <c r="C801" s="90"/>
      <c r="D801" s="90"/>
      <c r="E801" s="90"/>
      <c r="F801" s="90"/>
      <c r="G801" s="90"/>
      <c r="H801" s="90"/>
      <c r="I801" s="90"/>
      <c r="J801" s="90"/>
      <c r="K801" s="90"/>
      <c r="L801" s="90"/>
      <c r="M801" s="90"/>
      <c r="N801" s="90"/>
      <c r="O801" s="90"/>
    </row>
    <row r="802" spans="3:15">
      <c r="C802" s="90"/>
      <c r="D802" s="90"/>
      <c r="E802" s="90"/>
      <c r="F802" s="90"/>
      <c r="G802" s="90"/>
      <c r="H802" s="90"/>
      <c r="I802" s="90"/>
      <c r="J802" s="90"/>
      <c r="K802" s="90"/>
      <c r="L802" s="90"/>
      <c r="M802" s="90"/>
      <c r="N802" s="90"/>
      <c r="O802" s="90"/>
    </row>
    <row r="803" spans="3:15">
      <c r="C803" s="90"/>
      <c r="D803" s="90"/>
      <c r="E803" s="90"/>
      <c r="F803" s="90"/>
      <c r="G803" s="90"/>
      <c r="H803" s="90"/>
      <c r="I803" s="90"/>
      <c r="J803" s="90"/>
      <c r="K803" s="90"/>
      <c r="L803" s="90"/>
      <c r="M803" s="90"/>
      <c r="N803" s="90"/>
      <c r="O803" s="90"/>
    </row>
    <row r="804" spans="3:15">
      <c r="C804" s="90"/>
      <c r="D804" s="90"/>
      <c r="E804" s="90"/>
      <c r="F804" s="90"/>
      <c r="G804" s="90"/>
      <c r="H804" s="90"/>
      <c r="I804" s="90"/>
      <c r="J804" s="90"/>
      <c r="K804" s="90"/>
      <c r="L804" s="90"/>
      <c r="M804" s="90"/>
      <c r="N804" s="90"/>
      <c r="O804" s="90"/>
    </row>
    <row r="805" spans="3:15">
      <c r="C805" s="90"/>
      <c r="D805" s="90"/>
      <c r="E805" s="90"/>
      <c r="F805" s="90"/>
      <c r="G805" s="90"/>
      <c r="H805" s="90"/>
      <c r="I805" s="90"/>
      <c r="J805" s="90"/>
      <c r="K805" s="90"/>
      <c r="L805" s="90"/>
      <c r="M805" s="90"/>
      <c r="N805" s="90"/>
      <c r="O805" s="90"/>
    </row>
    <row r="806" spans="3:15">
      <c r="C806" s="90"/>
      <c r="D806" s="90"/>
      <c r="E806" s="90"/>
      <c r="F806" s="90"/>
      <c r="G806" s="90"/>
      <c r="H806" s="90"/>
      <c r="I806" s="90"/>
      <c r="J806" s="90"/>
      <c r="K806" s="90"/>
      <c r="L806" s="90"/>
      <c r="M806" s="90"/>
      <c r="N806" s="90"/>
      <c r="O806" s="90"/>
    </row>
    <row r="807" spans="3:15">
      <c r="C807" s="90"/>
      <c r="D807" s="90"/>
      <c r="E807" s="90"/>
      <c r="F807" s="90"/>
      <c r="G807" s="90"/>
      <c r="H807" s="90"/>
      <c r="I807" s="90"/>
      <c r="J807" s="90"/>
      <c r="K807" s="90"/>
      <c r="L807" s="90"/>
      <c r="M807" s="90"/>
      <c r="N807" s="90"/>
      <c r="O807" s="90"/>
    </row>
    <row r="808" spans="3:15">
      <c r="C808" s="90"/>
      <c r="D808" s="90"/>
      <c r="E808" s="90"/>
      <c r="F808" s="90"/>
      <c r="G808" s="90"/>
      <c r="H808" s="90"/>
      <c r="I808" s="90"/>
      <c r="J808" s="90"/>
      <c r="K808" s="90"/>
      <c r="L808" s="90"/>
      <c r="M808" s="90"/>
      <c r="N808" s="90"/>
      <c r="O808" s="90"/>
    </row>
    <row r="809" spans="3:15">
      <c r="C809" s="90"/>
      <c r="D809" s="90"/>
      <c r="E809" s="90"/>
      <c r="F809" s="90"/>
      <c r="G809" s="90"/>
      <c r="H809" s="90"/>
      <c r="I809" s="90"/>
      <c r="J809" s="90"/>
      <c r="K809" s="90"/>
      <c r="L809" s="90"/>
      <c r="M809" s="90"/>
      <c r="N809" s="90"/>
      <c r="O809" s="90"/>
    </row>
    <row r="810" spans="3:15">
      <c r="C810" s="90"/>
      <c r="D810" s="90"/>
      <c r="E810" s="90"/>
      <c r="F810" s="90"/>
      <c r="G810" s="90"/>
      <c r="H810" s="90"/>
      <c r="I810" s="90"/>
      <c r="J810" s="90"/>
      <c r="K810" s="90"/>
      <c r="L810" s="90"/>
      <c r="M810" s="90"/>
      <c r="N810" s="90"/>
      <c r="O810" s="90"/>
    </row>
    <row r="811" spans="3:15">
      <c r="C811" s="90"/>
      <c r="D811" s="90"/>
      <c r="E811" s="90"/>
      <c r="F811" s="90"/>
      <c r="G811" s="90"/>
      <c r="H811" s="90"/>
      <c r="I811" s="90"/>
      <c r="J811" s="90"/>
      <c r="K811" s="90"/>
      <c r="L811" s="90"/>
      <c r="M811" s="90"/>
      <c r="N811" s="90"/>
      <c r="O811" s="90"/>
    </row>
    <row r="812" spans="3:15">
      <c r="C812" s="90"/>
      <c r="D812" s="90"/>
      <c r="E812" s="90"/>
      <c r="F812" s="90"/>
      <c r="G812" s="90"/>
      <c r="H812" s="90"/>
      <c r="I812" s="90"/>
      <c r="J812" s="90"/>
      <c r="K812" s="90"/>
      <c r="L812" s="90"/>
      <c r="M812" s="90"/>
      <c r="N812" s="90"/>
      <c r="O812" s="90"/>
    </row>
    <row r="813" spans="3:15">
      <c r="C813" s="90"/>
      <c r="D813" s="90"/>
      <c r="E813" s="90"/>
      <c r="F813" s="90"/>
      <c r="G813" s="90"/>
      <c r="H813" s="90"/>
      <c r="I813" s="90"/>
      <c r="J813" s="90"/>
      <c r="K813" s="90"/>
      <c r="L813" s="90"/>
      <c r="M813" s="90"/>
      <c r="N813" s="90"/>
      <c r="O813" s="90"/>
    </row>
    <row r="814" spans="3:15">
      <c r="C814" s="90"/>
      <c r="D814" s="90"/>
      <c r="E814" s="90"/>
      <c r="F814" s="90"/>
      <c r="G814" s="90"/>
      <c r="H814" s="90"/>
      <c r="I814" s="90"/>
      <c r="J814" s="90"/>
      <c r="K814" s="90"/>
      <c r="L814" s="90"/>
      <c r="M814" s="90"/>
      <c r="N814" s="90"/>
      <c r="O814" s="90"/>
    </row>
    <row r="815" spans="3:15">
      <c r="C815" s="90"/>
      <c r="D815" s="90"/>
      <c r="E815" s="90"/>
      <c r="F815" s="90"/>
      <c r="G815" s="90"/>
      <c r="H815" s="90"/>
      <c r="I815" s="90"/>
      <c r="J815" s="90"/>
      <c r="K815" s="90"/>
      <c r="L815" s="90"/>
      <c r="M815" s="90"/>
      <c r="N815" s="90"/>
      <c r="O815" s="90"/>
    </row>
    <row r="816" spans="3:15">
      <c r="C816" s="90"/>
      <c r="D816" s="90"/>
      <c r="E816" s="90"/>
      <c r="F816" s="90"/>
      <c r="G816" s="90"/>
      <c r="H816" s="90"/>
      <c r="I816" s="90"/>
      <c r="J816" s="90"/>
      <c r="K816" s="90"/>
      <c r="L816" s="90"/>
      <c r="M816" s="90"/>
      <c r="N816" s="90"/>
      <c r="O816" s="90"/>
    </row>
    <row r="817" spans="3:15">
      <c r="C817" s="90"/>
      <c r="D817" s="90"/>
      <c r="E817" s="90"/>
      <c r="F817" s="90"/>
      <c r="G817" s="90"/>
      <c r="H817" s="90"/>
      <c r="I817" s="90"/>
      <c r="J817" s="90"/>
      <c r="K817" s="90"/>
      <c r="L817" s="90"/>
      <c r="M817" s="90"/>
      <c r="N817" s="90"/>
      <c r="O817" s="90"/>
    </row>
    <row r="818" spans="3:15">
      <c r="C818" s="90"/>
      <c r="D818" s="90"/>
      <c r="E818" s="90"/>
      <c r="F818" s="90"/>
      <c r="G818" s="90"/>
      <c r="H818" s="90"/>
      <c r="I818" s="90"/>
      <c r="J818" s="90"/>
      <c r="K818" s="90"/>
      <c r="L818" s="90"/>
      <c r="M818" s="90"/>
      <c r="N818" s="90"/>
      <c r="O818" s="90"/>
    </row>
    <row r="819" spans="3:15">
      <c r="C819" s="90"/>
      <c r="D819" s="90"/>
      <c r="E819" s="90"/>
      <c r="F819" s="90"/>
      <c r="G819" s="90"/>
      <c r="H819" s="90"/>
      <c r="I819" s="90"/>
      <c r="J819" s="90"/>
      <c r="K819" s="90"/>
      <c r="L819" s="90"/>
      <c r="M819" s="90"/>
      <c r="N819" s="90"/>
      <c r="O819" s="90"/>
    </row>
    <row r="820" spans="3:15">
      <c r="C820" s="90"/>
      <c r="D820" s="90"/>
      <c r="E820" s="90"/>
      <c r="F820" s="90"/>
      <c r="G820" s="90"/>
      <c r="H820" s="90"/>
      <c r="I820" s="90"/>
      <c r="J820" s="90"/>
      <c r="K820" s="90"/>
      <c r="L820" s="90"/>
      <c r="M820" s="90"/>
      <c r="N820" s="90"/>
      <c r="O820" s="90"/>
    </row>
    <row r="821" spans="3:15">
      <c r="C821" s="90"/>
      <c r="D821" s="90"/>
      <c r="E821" s="90"/>
      <c r="F821" s="90"/>
      <c r="G821" s="90"/>
      <c r="H821" s="90"/>
      <c r="I821" s="90"/>
      <c r="J821" s="90"/>
      <c r="K821" s="90"/>
      <c r="L821" s="90"/>
      <c r="M821" s="90"/>
      <c r="N821" s="90"/>
      <c r="O821" s="90"/>
    </row>
  </sheetData>
  <sortState ref="A22:M37">
    <sortCondition ref="A22"/>
  </sortState>
  <hyperlinks>
    <hyperlink ref="A1" location="'Table of Contents'!A1" display="Table of Contents"/>
  </hyperlinks>
  <pageMargins left="0.25" right="0.25" top="0.75" bottom="0.75" header="0.3" footer="0.3"/>
  <pageSetup orientation="landscape" r:id="rId1"/>
  <headerFooter>
    <oddFooter>&amp;L&amp;5&amp;Z&amp;F
Created: 9/29/2006 10:44:00 PM
Last Saved: 2/5/2008 9:15:17 PM
Last Printed: 2/5/2008 6:12:16 PM&amp;R&amp;5&amp;P - &amp;N
Title :&lt;Not Set&gt;
Subject: &lt;Not Set&gt;</oddFooter>
  </headerFooter>
</worksheet>
</file>

<file path=xl/worksheets/sheet28.xml><?xml version="1.0" encoding="utf-8"?>
<worksheet xmlns="http://schemas.openxmlformats.org/spreadsheetml/2006/main" xmlns:r="http://schemas.openxmlformats.org/officeDocument/2006/relationships">
  <sheetPr codeName="Sheet24"/>
  <dimension ref="A1:N37"/>
  <sheetViews>
    <sheetView topLeftCell="A10" workbookViewId="0"/>
  </sheetViews>
  <sheetFormatPr defaultRowHeight="12.75"/>
  <cols>
    <col min="1" max="1" width="18.5703125" customWidth="1"/>
    <col min="2" max="10" width="7.140625" customWidth="1"/>
    <col min="11" max="11" width="2.85546875" style="36" customWidth="1"/>
    <col min="12" max="14" width="7.140625" customWidth="1"/>
  </cols>
  <sheetData>
    <row r="1" spans="1:14">
      <c r="A1" s="5" t="s">
        <v>30</v>
      </c>
    </row>
    <row r="4" spans="1:14" ht="13.5" thickBot="1"/>
    <row r="5" spans="1:14" ht="13.5" thickBot="1">
      <c r="B5" s="683" t="s">
        <v>1057</v>
      </c>
      <c r="C5" s="684"/>
      <c r="D5" s="685"/>
      <c r="E5" s="683" t="s">
        <v>1058</v>
      </c>
      <c r="F5" s="684"/>
      <c r="G5" s="685"/>
      <c r="H5" s="683" t="s">
        <v>1059</v>
      </c>
      <c r="I5" s="684"/>
      <c r="J5" s="685"/>
      <c r="L5" s="686" t="s">
        <v>1060</v>
      </c>
      <c r="M5" s="684"/>
      <c r="N5" s="685"/>
    </row>
    <row r="6" spans="1:14" ht="37.5" customHeight="1" thickBot="1">
      <c r="B6" s="299" t="s">
        <v>1046</v>
      </c>
      <c r="C6" s="300" t="s">
        <v>1047</v>
      </c>
      <c r="D6" s="301" t="s">
        <v>1048</v>
      </c>
      <c r="E6" s="299" t="s">
        <v>1046</v>
      </c>
      <c r="F6" s="300" t="s">
        <v>1047</v>
      </c>
      <c r="G6" s="301" t="s">
        <v>1048</v>
      </c>
      <c r="H6" s="299" t="s">
        <v>1046</v>
      </c>
      <c r="I6" s="300" t="s">
        <v>1047</v>
      </c>
      <c r="J6" s="301" t="s">
        <v>1048</v>
      </c>
      <c r="K6" s="297"/>
      <c r="L6" s="299" t="s">
        <v>1046</v>
      </c>
      <c r="M6" s="300" t="s">
        <v>1047</v>
      </c>
      <c r="N6" s="301" t="s">
        <v>1048</v>
      </c>
    </row>
    <row r="7" spans="1:14">
      <c r="A7" s="275" t="s">
        <v>693</v>
      </c>
      <c r="B7" s="302">
        <v>0</v>
      </c>
      <c r="C7" s="303">
        <v>3</v>
      </c>
      <c r="D7" s="304">
        <v>6</v>
      </c>
      <c r="E7" s="302">
        <v>15</v>
      </c>
      <c r="F7" s="303">
        <v>22</v>
      </c>
      <c r="G7" s="304">
        <v>20</v>
      </c>
      <c r="H7" s="302">
        <v>30</v>
      </c>
      <c r="I7" s="303">
        <v>46</v>
      </c>
      <c r="J7" s="304">
        <v>14</v>
      </c>
      <c r="L7" s="302">
        <f t="shared" ref="L7:L19" si="0">SUM(B7,E7,H7)</f>
        <v>45</v>
      </c>
      <c r="M7" s="303">
        <f t="shared" ref="M7:N7" si="1">SUM(C7,F7,I7)</f>
        <v>71</v>
      </c>
      <c r="N7" s="304">
        <f t="shared" si="1"/>
        <v>40</v>
      </c>
    </row>
    <row r="8" spans="1:14">
      <c r="A8" s="306" t="s">
        <v>24</v>
      </c>
      <c r="B8" s="307">
        <v>24</v>
      </c>
      <c r="C8" s="308">
        <v>16</v>
      </c>
      <c r="D8" s="309">
        <v>69</v>
      </c>
      <c r="E8" s="307">
        <v>31</v>
      </c>
      <c r="F8" s="308">
        <v>39</v>
      </c>
      <c r="G8" s="309">
        <v>176</v>
      </c>
      <c r="H8" s="307">
        <v>111</v>
      </c>
      <c r="I8" s="308">
        <v>143</v>
      </c>
      <c r="J8" s="309">
        <v>93</v>
      </c>
      <c r="K8" s="310"/>
      <c r="L8" s="307">
        <f t="shared" si="0"/>
        <v>166</v>
      </c>
      <c r="M8" s="308">
        <f t="shared" ref="M8:M19" si="2">SUM(C8,F8,I8)</f>
        <v>198</v>
      </c>
      <c r="N8" s="309">
        <f t="shared" ref="N8:N19" si="3">SUM(D8,G8,J8)</f>
        <v>338</v>
      </c>
    </row>
    <row r="9" spans="1:14">
      <c r="A9" s="275" t="s">
        <v>25</v>
      </c>
      <c r="B9" s="305">
        <v>0</v>
      </c>
      <c r="C9" s="303">
        <v>0</v>
      </c>
      <c r="D9" s="304">
        <v>3</v>
      </c>
      <c r="E9" s="305">
        <v>0</v>
      </c>
      <c r="F9" s="303">
        <v>1</v>
      </c>
      <c r="G9" s="304">
        <v>32</v>
      </c>
      <c r="H9" s="305">
        <v>1</v>
      </c>
      <c r="I9" s="303">
        <v>1</v>
      </c>
      <c r="J9" s="304">
        <v>36</v>
      </c>
      <c r="L9" s="305">
        <f t="shared" si="0"/>
        <v>1</v>
      </c>
      <c r="M9" s="303">
        <f t="shared" si="2"/>
        <v>2</v>
      </c>
      <c r="N9" s="304">
        <f t="shared" si="3"/>
        <v>71</v>
      </c>
    </row>
    <row r="10" spans="1:14">
      <c r="A10" s="306" t="s">
        <v>482</v>
      </c>
      <c r="B10" s="307">
        <v>2</v>
      </c>
      <c r="C10" s="308">
        <v>8</v>
      </c>
      <c r="D10" s="309">
        <v>8</v>
      </c>
      <c r="E10" s="307">
        <v>158</v>
      </c>
      <c r="F10" s="308">
        <v>166</v>
      </c>
      <c r="G10" s="309">
        <v>168</v>
      </c>
      <c r="H10" s="307">
        <v>123</v>
      </c>
      <c r="I10" s="308">
        <v>140</v>
      </c>
      <c r="J10" s="309">
        <v>45</v>
      </c>
      <c r="K10" s="310"/>
      <c r="L10" s="307">
        <f t="shared" si="0"/>
        <v>283</v>
      </c>
      <c r="M10" s="308">
        <f t="shared" si="2"/>
        <v>314</v>
      </c>
      <c r="N10" s="309">
        <f t="shared" si="3"/>
        <v>221</v>
      </c>
    </row>
    <row r="11" spans="1:14">
      <c r="A11" s="275" t="s">
        <v>1049</v>
      </c>
      <c r="B11" s="305">
        <v>16</v>
      </c>
      <c r="C11" s="303">
        <v>14</v>
      </c>
      <c r="D11" s="304">
        <v>9</v>
      </c>
      <c r="E11" s="305">
        <v>23</v>
      </c>
      <c r="F11" s="303">
        <v>24</v>
      </c>
      <c r="G11" s="304">
        <v>12</v>
      </c>
      <c r="H11" s="305">
        <v>17</v>
      </c>
      <c r="I11" s="303">
        <v>15</v>
      </c>
      <c r="J11" s="304">
        <v>10</v>
      </c>
      <c r="L11" s="305">
        <f t="shared" si="0"/>
        <v>56</v>
      </c>
      <c r="M11" s="303">
        <f t="shared" si="2"/>
        <v>53</v>
      </c>
      <c r="N11" s="304">
        <f t="shared" si="3"/>
        <v>31</v>
      </c>
    </row>
    <row r="12" spans="1:14">
      <c r="A12" s="306" t="s">
        <v>1050</v>
      </c>
      <c r="B12" s="307">
        <v>6</v>
      </c>
      <c r="C12" s="308">
        <v>2</v>
      </c>
      <c r="D12" s="309">
        <v>7</v>
      </c>
      <c r="E12" s="307">
        <v>52</v>
      </c>
      <c r="F12" s="308">
        <v>105</v>
      </c>
      <c r="G12" s="309">
        <v>70</v>
      </c>
      <c r="H12" s="307">
        <v>16</v>
      </c>
      <c r="I12" s="308">
        <v>27</v>
      </c>
      <c r="J12" s="309">
        <v>28</v>
      </c>
      <c r="K12" s="310"/>
      <c r="L12" s="307">
        <f t="shared" si="0"/>
        <v>74</v>
      </c>
      <c r="M12" s="308">
        <f t="shared" si="2"/>
        <v>134</v>
      </c>
      <c r="N12" s="309">
        <f t="shared" si="3"/>
        <v>105</v>
      </c>
    </row>
    <row r="13" spans="1:14">
      <c r="A13" s="275" t="s">
        <v>1051</v>
      </c>
      <c r="B13" s="305">
        <v>3</v>
      </c>
      <c r="C13" s="303">
        <v>6</v>
      </c>
      <c r="D13" s="304">
        <v>6</v>
      </c>
      <c r="E13" s="305">
        <v>66</v>
      </c>
      <c r="F13" s="303">
        <v>59</v>
      </c>
      <c r="G13" s="304">
        <v>142</v>
      </c>
      <c r="H13" s="305">
        <v>59</v>
      </c>
      <c r="I13" s="303">
        <v>111</v>
      </c>
      <c r="J13" s="304">
        <v>13</v>
      </c>
      <c r="L13" s="305">
        <f t="shared" si="0"/>
        <v>128</v>
      </c>
      <c r="M13" s="303">
        <f t="shared" si="2"/>
        <v>176</v>
      </c>
      <c r="N13" s="304">
        <f t="shared" si="3"/>
        <v>161</v>
      </c>
    </row>
    <row r="14" spans="1:14">
      <c r="A14" s="306" t="s">
        <v>1052</v>
      </c>
      <c r="B14" s="307">
        <v>30</v>
      </c>
      <c r="C14" s="308">
        <v>42</v>
      </c>
      <c r="D14" s="309">
        <v>35</v>
      </c>
      <c r="E14" s="307">
        <v>32</v>
      </c>
      <c r="F14" s="308">
        <v>28</v>
      </c>
      <c r="G14" s="309">
        <v>89</v>
      </c>
      <c r="H14" s="307">
        <v>73</v>
      </c>
      <c r="I14" s="308">
        <v>76</v>
      </c>
      <c r="J14" s="309">
        <v>14</v>
      </c>
      <c r="K14" s="310"/>
      <c r="L14" s="307">
        <f t="shared" si="0"/>
        <v>135</v>
      </c>
      <c r="M14" s="308">
        <f t="shared" si="2"/>
        <v>146</v>
      </c>
      <c r="N14" s="309">
        <f t="shared" si="3"/>
        <v>138</v>
      </c>
    </row>
    <row r="15" spans="1:14">
      <c r="A15" s="275" t="s">
        <v>1053</v>
      </c>
      <c r="B15" s="305">
        <v>16</v>
      </c>
      <c r="C15" s="303">
        <v>13</v>
      </c>
      <c r="D15" s="304">
        <v>82</v>
      </c>
      <c r="E15" s="305">
        <v>213</v>
      </c>
      <c r="F15" s="303">
        <v>147</v>
      </c>
      <c r="G15" s="304">
        <v>409</v>
      </c>
      <c r="H15" s="305">
        <v>48</v>
      </c>
      <c r="I15" s="303">
        <v>49</v>
      </c>
      <c r="J15" s="304">
        <v>3</v>
      </c>
      <c r="L15" s="305">
        <f t="shared" si="0"/>
        <v>277</v>
      </c>
      <c r="M15" s="303">
        <f t="shared" si="2"/>
        <v>209</v>
      </c>
      <c r="N15" s="304">
        <f t="shared" si="3"/>
        <v>494</v>
      </c>
    </row>
    <row r="16" spans="1:14">
      <c r="A16" s="306" t="s">
        <v>1054</v>
      </c>
      <c r="B16" s="307">
        <v>69</v>
      </c>
      <c r="C16" s="308">
        <v>90</v>
      </c>
      <c r="D16" s="309">
        <v>101</v>
      </c>
      <c r="E16" s="307">
        <v>152</v>
      </c>
      <c r="F16" s="308">
        <v>171</v>
      </c>
      <c r="G16" s="309">
        <v>514</v>
      </c>
      <c r="H16" s="307">
        <v>644</v>
      </c>
      <c r="I16" s="308">
        <v>714</v>
      </c>
      <c r="J16" s="309">
        <v>160</v>
      </c>
      <c r="K16" s="310"/>
      <c r="L16" s="307">
        <f t="shared" si="0"/>
        <v>865</v>
      </c>
      <c r="M16" s="308">
        <f t="shared" si="2"/>
        <v>975</v>
      </c>
      <c r="N16" s="309">
        <f t="shared" si="3"/>
        <v>775</v>
      </c>
    </row>
    <row r="17" spans="1:14">
      <c r="A17" s="275" t="s">
        <v>1056</v>
      </c>
      <c r="B17" s="305">
        <v>0</v>
      </c>
      <c r="C17" s="303">
        <v>0</v>
      </c>
      <c r="D17" s="304">
        <v>0</v>
      </c>
      <c r="E17" s="305">
        <v>0</v>
      </c>
      <c r="F17" s="303">
        <v>4</v>
      </c>
      <c r="G17" s="304">
        <v>10</v>
      </c>
      <c r="H17" s="305">
        <v>28</v>
      </c>
      <c r="I17" s="303">
        <v>27</v>
      </c>
      <c r="J17" s="304">
        <v>4</v>
      </c>
      <c r="L17" s="305">
        <f t="shared" si="0"/>
        <v>28</v>
      </c>
      <c r="M17" s="303">
        <f t="shared" si="2"/>
        <v>31</v>
      </c>
      <c r="N17" s="304">
        <f t="shared" si="3"/>
        <v>14</v>
      </c>
    </row>
    <row r="18" spans="1:14" ht="13.5" thickBot="1">
      <c r="A18" s="306" t="s">
        <v>11</v>
      </c>
      <c r="B18" s="311">
        <v>4</v>
      </c>
      <c r="C18" s="312">
        <v>3</v>
      </c>
      <c r="D18" s="313">
        <v>15</v>
      </c>
      <c r="E18" s="311">
        <v>70</v>
      </c>
      <c r="F18" s="312">
        <v>49</v>
      </c>
      <c r="G18" s="313">
        <v>276</v>
      </c>
      <c r="H18" s="311">
        <v>205</v>
      </c>
      <c r="I18" s="312">
        <v>208</v>
      </c>
      <c r="J18" s="313">
        <v>80</v>
      </c>
      <c r="K18" s="310"/>
      <c r="L18" s="311">
        <f t="shared" si="0"/>
        <v>279</v>
      </c>
      <c r="M18" s="312">
        <f t="shared" si="2"/>
        <v>260</v>
      </c>
      <c r="N18" s="313">
        <f t="shared" si="3"/>
        <v>371</v>
      </c>
    </row>
    <row r="19" spans="1:14" ht="16.5" thickBot="1">
      <c r="A19" s="290" t="s">
        <v>1055</v>
      </c>
      <c r="B19" s="291">
        <v>170</v>
      </c>
      <c r="C19" s="292">
        <v>197</v>
      </c>
      <c r="D19" s="293">
        <v>341</v>
      </c>
      <c r="E19" s="294">
        <v>812</v>
      </c>
      <c r="F19" s="295">
        <v>815</v>
      </c>
      <c r="G19" s="296">
        <v>1918</v>
      </c>
      <c r="H19" s="294">
        <v>1355</v>
      </c>
      <c r="I19" s="295">
        <v>1557</v>
      </c>
      <c r="J19" s="296">
        <v>500</v>
      </c>
      <c r="K19" s="298"/>
      <c r="L19" s="294">
        <f t="shared" si="0"/>
        <v>2337</v>
      </c>
      <c r="M19" s="295">
        <f t="shared" si="2"/>
        <v>2569</v>
      </c>
      <c r="N19" s="296">
        <f t="shared" si="3"/>
        <v>2759</v>
      </c>
    </row>
    <row r="21" spans="1:14" ht="13.5" thickBot="1">
      <c r="A21" s="317" t="s">
        <v>1172</v>
      </c>
    </row>
    <row r="22" spans="1:14" ht="13.5" thickBot="1">
      <c r="A22" s="275"/>
      <c r="B22" s="683" t="s">
        <v>1057</v>
      </c>
      <c r="C22" s="684"/>
      <c r="D22" s="685"/>
      <c r="E22" s="683" t="s">
        <v>1058</v>
      </c>
      <c r="F22" s="684"/>
      <c r="G22" s="685"/>
      <c r="H22" s="683" t="s">
        <v>1059</v>
      </c>
      <c r="I22" s="684"/>
      <c r="J22" s="685"/>
      <c r="L22" s="686" t="s">
        <v>1060</v>
      </c>
      <c r="M22" s="684"/>
      <c r="N22" s="685"/>
    </row>
    <row r="23" spans="1:14" ht="37.5" customHeight="1" thickBot="1">
      <c r="A23" s="275"/>
      <c r="B23" s="319" t="s">
        <v>1046</v>
      </c>
      <c r="C23" s="320" t="s">
        <v>1047</v>
      </c>
      <c r="D23" s="321" t="s">
        <v>1048</v>
      </c>
      <c r="E23" s="319" t="s">
        <v>1046</v>
      </c>
      <c r="F23" s="320" t="s">
        <v>1047</v>
      </c>
      <c r="G23" s="321" t="s">
        <v>1048</v>
      </c>
      <c r="H23" s="319" t="s">
        <v>1046</v>
      </c>
      <c r="I23" s="320" t="s">
        <v>1047</v>
      </c>
      <c r="J23" s="321" t="s">
        <v>1048</v>
      </c>
      <c r="K23" s="297"/>
      <c r="L23" s="319" t="s">
        <v>1046</v>
      </c>
      <c r="M23" s="320" t="s">
        <v>1047</v>
      </c>
      <c r="N23" s="321" t="s">
        <v>1048</v>
      </c>
    </row>
    <row r="24" spans="1:14" ht="16.5" thickBot="1">
      <c r="A24" s="290" t="s">
        <v>57</v>
      </c>
      <c r="B24" s="322">
        <v>170</v>
      </c>
      <c r="C24" s="323">
        <v>197</v>
      </c>
      <c r="D24" s="324">
        <v>341</v>
      </c>
      <c r="E24" s="325">
        <v>812</v>
      </c>
      <c r="F24" s="326">
        <v>815</v>
      </c>
      <c r="G24" s="327">
        <v>1918</v>
      </c>
      <c r="H24" s="325">
        <v>1355</v>
      </c>
      <c r="I24" s="326">
        <v>1557</v>
      </c>
      <c r="J24" s="327">
        <v>500</v>
      </c>
      <c r="K24" s="310"/>
      <c r="L24" s="322">
        <f t="shared" ref="L24:L37" si="4">SUM(B24,E24,H24)</f>
        <v>2337</v>
      </c>
      <c r="M24" s="323">
        <f t="shared" ref="M24:M37" si="5">SUM(C24,F24,I24)</f>
        <v>2569</v>
      </c>
      <c r="N24" s="324">
        <f t="shared" ref="N24:N37" si="6">SUM(D24,G24,J24)</f>
        <v>2759</v>
      </c>
    </row>
    <row r="25" spans="1:14">
      <c r="A25" s="317" t="s">
        <v>693</v>
      </c>
      <c r="B25" s="328">
        <f>B7+B17</f>
        <v>0</v>
      </c>
      <c r="C25" s="329">
        <f t="shared" ref="C25:J25" si="7">C7+C17</f>
        <v>3</v>
      </c>
      <c r="D25" s="329">
        <f t="shared" si="7"/>
        <v>6</v>
      </c>
      <c r="E25" s="329">
        <f t="shared" si="7"/>
        <v>15</v>
      </c>
      <c r="F25" s="329">
        <f t="shared" si="7"/>
        <v>26</v>
      </c>
      <c r="G25" s="329">
        <f t="shared" si="7"/>
        <v>30</v>
      </c>
      <c r="H25" s="329">
        <f t="shared" si="7"/>
        <v>58</v>
      </c>
      <c r="I25" s="329">
        <f t="shared" si="7"/>
        <v>73</v>
      </c>
      <c r="J25" s="329">
        <f t="shared" si="7"/>
        <v>18</v>
      </c>
      <c r="L25" s="328">
        <f t="shared" si="4"/>
        <v>73</v>
      </c>
      <c r="M25" s="329">
        <f t="shared" si="5"/>
        <v>102</v>
      </c>
      <c r="N25" s="338">
        <f t="shared" si="6"/>
        <v>54</v>
      </c>
    </row>
    <row r="26" spans="1:14">
      <c r="A26" s="306" t="s">
        <v>24</v>
      </c>
      <c r="B26" s="330">
        <v>24</v>
      </c>
      <c r="C26" s="331">
        <v>16</v>
      </c>
      <c r="D26" s="332">
        <v>69</v>
      </c>
      <c r="E26" s="331">
        <v>31</v>
      </c>
      <c r="F26" s="331">
        <v>39</v>
      </c>
      <c r="G26" s="332">
        <v>176</v>
      </c>
      <c r="H26" s="331">
        <v>111</v>
      </c>
      <c r="I26" s="331">
        <v>143</v>
      </c>
      <c r="J26" s="333">
        <v>93</v>
      </c>
      <c r="K26" s="310"/>
      <c r="L26" s="330">
        <f t="shared" si="4"/>
        <v>166</v>
      </c>
      <c r="M26" s="331">
        <f t="shared" si="5"/>
        <v>198</v>
      </c>
      <c r="N26" s="333">
        <f t="shared" si="6"/>
        <v>338</v>
      </c>
    </row>
    <row r="27" spans="1:14">
      <c r="A27" s="289" t="s">
        <v>25</v>
      </c>
      <c r="B27" s="334">
        <v>0</v>
      </c>
      <c r="C27" s="335">
        <v>0</v>
      </c>
      <c r="D27" s="336">
        <v>3</v>
      </c>
      <c r="E27" s="335">
        <v>0</v>
      </c>
      <c r="F27" s="335">
        <v>1</v>
      </c>
      <c r="G27" s="336">
        <v>32</v>
      </c>
      <c r="H27" s="335">
        <v>1</v>
      </c>
      <c r="I27" s="335">
        <v>1</v>
      </c>
      <c r="J27" s="337">
        <v>36</v>
      </c>
      <c r="L27" s="334">
        <f t="shared" si="4"/>
        <v>1</v>
      </c>
      <c r="M27" s="335">
        <f t="shared" si="5"/>
        <v>2</v>
      </c>
      <c r="N27" s="337">
        <f t="shared" si="6"/>
        <v>71</v>
      </c>
    </row>
    <row r="28" spans="1:14">
      <c r="A28" s="318" t="s">
        <v>26</v>
      </c>
      <c r="B28" s="330">
        <v>2</v>
      </c>
      <c r="C28" s="331">
        <v>8</v>
      </c>
      <c r="D28" s="332">
        <v>8</v>
      </c>
      <c r="E28" s="331">
        <v>158</v>
      </c>
      <c r="F28" s="331">
        <v>166</v>
      </c>
      <c r="G28" s="332">
        <v>168</v>
      </c>
      <c r="H28" s="331">
        <v>123</v>
      </c>
      <c r="I28" s="331">
        <v>140</v>
      </c>
      <c r="J28" s="333">
        <v>45</v>
      </c>
      <c r="K28" s="310"/>
      <c r="L28" s="330">
        <f t="shared" si="4"/>
        <v>283</v>
      </c>
      <c r="M28" s="331">
        <f t="shared" si="5"/>
        <v>314</v>
      </c>
      <c r="N28" s="333">
        <f t="shared" si="6"/>
        <v>221</v>
      </c>
    </row>
    <row r="29" spans="1:14">
      <c r="A29" s="317" t="s">
        <v>7</v>
      </c>
      <c r="B29" s="334">
        <v>16</v>
      </c>
      <c r="C29" s="335">
        <v>14</v>
      </c>
      <c r="D29" s="336">
        <v>9</v>
      </c>
      <c r="E29" s="335">
        <v>23</v>
      </c>
      <c r="F29" s="335">
        <v>24</v>
      </c>
      <c r="G29" s="336">
        <v>12</v>
      </c>
      <c r="H29" s="335">
        <v>17</v>
      </c>
      <c r="I29" s="335">
        <v>15</v>
      </c>
      <c r="J29" s="337">
        <v>10</v>
      </c>
      <c r="L29" s="334">
        <f t="shared" si="4"/>
        <v>56</v>
      </c>
      <c r="M29" s="335">
        <f t="shared" si="5"/>
        <v>53</v>
      </c>
      <c r="N29" s="337">
        <f t="shared" si="6"/>
        <v>31</v>
      </c>
    </row>
    <row r="30" spans="1:14">
      <c r="A30" s="318" t="s">
        <v>541</v>
      </c>
      <c r="B30" s="330">
        <v>6</v>
      </c>
      <c r="C30" s="331">
        <v>2</v>
      </c>
      <c r="D30" s="332">
        <v>7</v>
      </c>
      <c r="E30" s="331">
        <v>52</v>
      </c>
      <c r="F30" s="331">
        <v>105</v>
      </c>
      <c r="G30" s="332">
        <v>70</v>
      </c>
      <c r="H30" s="331">
        <v>16</v>
      </c>
      <c r="I30" s="331">
        <v>27</v>
      </c>
      <c r="J30" s="333">
        <v>28</v>
      </c>
      <c r="K30" s="310"/>
      <c r="L30" s="330">
        <f t="shared" si="4"/>
        <v>74</v>
      </c>
      <c r="M30" s="331">
        <f t="shared" si="5"/>
        <v>134</v>
      </c>
      <c r="N30" s="333">
        <f t="shared" si="6"/>
        <v>105</v>
      </c>
    </row>
    <row r="31" spans="1:14">
      <c r="A31" s="317" t="s">
        <v>8</v>
      </c>
      <c r="B31" s="334">
        <v>16</v>
      </c>
      <c r="C31" s="335">
        <v>13</v>
      </c>
      <c r="D31" s="336">
        <v>82</v>
      </c>
      <c r="E31" s="335">
        <v>213</v>
      </c>
      <c r="F31" s="335">
        <v>147</v>
      </c>
      <c r="G31" s="336">
        <v>409</v>
      </c>
      <c r="H31" s="335">
        <v>48</v>
      </c>
      <c r="I31" s="335">
        <v>49</v>
      </c>
      <c r="J31" s="337">
        <v>3</v>
      </c>
      <c r="L31" s="334">
        <f t="shared" si="4"/>
        <v>277</v>
      </c>
      <c r="M31" s="335">
        <f t="shared" si="5"/>
        <v>209</v>
      </c>
      <c r="N31" s="337">
        <f t="shared" si="6"/>
        <v>494</v>
      </c>
    </row>
    <row r="32" spans="1:14">
      <c r="A32" s="318" t="s">
        <v>9</v>
      </c>
      <c r="B32" s="330">
        <v>69</v>
      </c>
      <c r="C32" s="331">
        <v>90</v>
      </c>
      <c r="D32" s="332">
        <v>101</v>
      </c>
      <c r="E32" s="331">
        <v>152</v>
      </c>
      <c r="F32" s="331">
        <v>171</v>
      </c>
      <c r="G32" s="332">
        <v>514</v>
      </c>
      <c r="H32" s="331">
        <v>644</v>
      </c>
      <c r="I32" s="331">
        <v>714</v>
      </c>
      <c r="J32" s="333">
        <v>160</v>
      </c>
      <c r="K32" s="310"/>
      <c r="L32" s="330">
        <f t="shared" si="4"/>
        <v>865</v>
      </c>
      <c r="M32" s="331">
        <f t="shared" si="5"/>
        <v>975</v>
      </c>
      <c r="N32" s="333">
        <f t="shared" si="6"/>
        <v>775</v>
      </c>
    </row>
    <row r="33" spans="1:14" s="569" customFormat="1">
      <c r="A33" s="317" t="s">
        <v>12</v>
      </c>
      <c r="B33" s="334"/>
      <c r="C33" s="335"/>
      <c r="D33" s="336"/>
      <c r="E33" s="335"/>
      <c r="F33" s="335"/>
      <c r="G33" s="336"/>
      <c r="H33" s="335"/>
      <c r="I33" s="335"/>
      <c r="J33" s="337"/>
      <c r="K33" s="36"/>
      <c r="L33" s="334"/>
      <c r="M33" s="335"/>
      <c r="N33" s="337"/>
    </row>
    <row r="34" spans="1:14">
      <c r="A34" s="318" t="s">
        <v>10</v>
      </c>
      <c r="B34" s="330">
        <v>30</v>
      </c>
      <c r="C34" s="331">
        <v>42</v>
      </c>
      <c r="D34" s="332">
        <v>35</v>
      </c>
      <c r="E34" s="331">
        <v>32</v>
      </c>
      <c r="F34" s="331">
        <v>28</v>
      </c>
      <c r="G34" s="332">
        <v>89</v>
      </c>
      <c r="H34" s="331">
        <v>73</v>
      </c>
      <c r="I34" s="331">
        <v>76</v>
      </c>
      <c r="J34" s="333">
        <v>14</v>
      </c>
      <c r="K34" s="310"/>
      <c r="L34" s="330">
        <f t="shared" si="4"/>
        <v>135</v>
      </c>
      <c r="M34" s="331">
        <f t="shared" si="5"/>
        <v>146</v>
      </c>
      <c r="N34" s="333">
        <f t="shared" si="6"/>
        <v>138</v>
      </c>
    </row>
    <row r="35" spans="1:14" s="569" customFormat="1">
      <c r="A35" s="317" t="s">
        <v>1110</v>
      </c>
      <c r="B35" s="334"/>
      <c r="C35" s="335"/>
      <c r="D35" s="336"/>
      <c r="E35" s="335"/>
      <c r="F35" s="335"/>
      <c r="G35" s="336"/>
      <c r="H35" s="335"/>
      <c r="I35" s="335"/>
      <c r="J35" s="337"/>
      <c r="K35" s="36"/>
      <c r="L35" s="334"/>
      <c r="M35" s="335"/>
      <c r="N35" s="337"/>
    </row>
    <row r="36" spans="1:14">
      <c r="A36" s="318" t="s">
        <v>68</v>
      </c>
      <c r="B36" s="330">
        <v>3</v>
      </c>
      <c r="C36" s="331">
        <v>6</v>
      </c>
      <c r="D36" s="332">
        <v>6</v>
      </c>
      <c r="E36" s="331">
        <v>66</v>
      </c>
      <c r="F36" s="331">
        <v>59</v>
      </c>
      <c r="G36" s="332">
        <v>142</v>
      </c>
      <c r="H36" s="331">
        <v>59</v>
      </c>
      <c r="I36" s="331">
        <v>111</v>
      </c>
      <c r="J36" s="333">
        <v>13</v>
      </c>
      <c r="K36" s="310"/>
      <c r="L36" s="330">
        <f t="shared" si="4"/>
        <v>128</v>
      </c>
      <c r="M36" s="331">
        <f t="shared" si="5"/>
        <v>176</v>
      </c>
      <c r="N36" s="333">
        <f t="shared" si="6"/>
        <v>161</v>
      </c>
    </row>
    <row r="37" spans="1:14">
      <c r="A37" s="317" t="s">
        <v>11</v>
      </c>
      <c r="B37" s="334">
        <v>4</v>
      </c>
      <c r="C37" s="335">
        <v>3</v>
      </c>
      <c r="D37" s="336">
        <v>15</v>
      </c>
      <c r="E37" s="335">
        <v>70</v>
      </c>
      <c r="F37" s="335">
        <v>49</v>
      </c>
      <c r="G37" s="336">
        <v>276</v>
      </c>
      <c r="H37" s="335">
        <v>205</v>
      </c>
      <c r="I37" s="335">
        <v>208</v>
      </c>
      <c r="J37" s="337">
        <v>80</v>
      </c>
      <c r="L37" s="334">
        <f t="shared" si="4"/>
        <v>279</v>
      </c>
      <c r="M37" s="335">
        <f t="shared" si="5"/>
        <v>260</v>
      </c>
      <c r="N37" s="337">
        <f t="shared" si="6"/>
        <v>371</v>
      </c>
    </row>
  </sheetData>
  <sortState ref="A24:J35">
    <sortCondition ref="A24"/>
  </sortState>
  <mergeCells count="8">
    <mergeCell ref="B22:D22"/>
    <mergeCell ref="E22:G22"/>
    <mergeCell ref="H22:J22"/>
    <mergeCell ref="L22:N22"/>
    <mergeCell ref="B5:D5"/>
    <mergeCell ref="E5:G5"/>
    <mergeCell ref="H5:J5"/>
    <mergeCell ref="L5:N5"/>
  </mergeCells>
  <hyperlinks>
    <hyperlink ref="A1" location="'Table of Contents'!A1" display="Table of Contents"/>
  </hyperlinks>
  <pageMargins left="0.25" right="0.25" top="0.75" bottom="0.75" header="0.3" footer="0.3"/>
  <pageSetup orientation="landscape" r:id="rId1"/>
  <headerFooter>
    <oddFooter>&amp;L&amp;5&amp;Z&amp;F
Created: 9/29/2006 10:44:00 PM
Last Saved: 2/5/2008 9:15:17 PM
Last Printed: 2/5/2008 6:12:16 PM&amp;R&amp;5&amp;P - &amp;N
Title :&lt;Not Set&gt;
Subject: &lt;Not Set&gt;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15</vt:i4>
      </vt:variant>
    </vt:vector>
  </HeadingPairs>
  <TitlesOfParts>
    <vt:vector size="43" baseType="lpstr">
      <vt:lpstr>Table of Contents</vt:lpstr>
      <vt:lpstr>Scorecard - Individual Team</vt:lpstr>
      <vt:lpstr>Scorecard - All Teams</vt:lpstr>
      <vt:lpstr>Budget Rollup</vt:lpstr>
      <vt:lpstr>Survey Rollup</vt:lpstr>
      <vt:lpstr>Survey Mapping</vt:lpstr>
      <vt:lpstr>IT Survey - All Teams</vt:lpstr>
      <vt:lpstr>Business Survey - All Teams</vt:lpstr>
      <vt:lpstr>Partner Survey - All Teams</vt:lpstr>
      <vt:lpstr>Lookups</vt:lpstr>
      <vt:lpstr>Partner Survey Questions</vt:lpstr>
      <vt:lpstr>Partner Survey Data</vt:lpstr>
      <vt:lpstr>Partner Survey Data (1)</vt:lpstr>
      <vt:lpstr>Business Survey Questions</vt:lpstr>
      <vt:lpstr>Business Survey Data</vt:lpstr>
      <vt:lpstr>IT Survey Questions</vt:lpstr>
      <vt:lpstr>IT Survey Data</vt:lpstr>
      <vt:lpstr>IT Sales On-Time Data</vt:lpstr>
      <vt:lpstr>eBusiness On-Time Data</vt:lpstr>
      <vt:lpstr>IT Finance On-Time Data</vt:lpstr>
      <vt:lpstr>IT Producer On-Time Delivery</vt:lpstr>
      <vt:lpstr>Product Admin On-Time Delivery</vt:lpstr>
      <vt:lpstr>Workflow On-Time Data</vt:lpstr>
      <vt:lpstr>Viewpoint On-Time Delivery</vt:lpstr>
      <vt:lpstr>IT Service On-Time Delivery</vt:lpstr>
      <vt:lpstr>On-Time Delivery Data</vt:lpstr>
      <vt:lpstr>Budget Variance Data</vt:lpstr>
      <vt:lpstr>ITR Data</vt:lpstr>
      <vt:lpstr>FollowUp_Questions_Location</vt:lpstr>
      <vt:lpstr>Primary_Questions_Location</vt:lpstr>
      <vt:lpstr>'Scorecard - All Teams'!Print_Area</vt:lpstr>
      <vt:lpstr>'Scorecard - Individual Team'!Print_Area</vt:lpstr>
      <vt:lpstr>Questions_Location</vt:lpstr>
      <vt:lpstr>Row_Width_Location</vt:lpstr>
      <vt:lpstr>Statistics_Location</vt:lpstr>
      <vt:lpstr>Survey_Period</vt:lpstr>
      <vt:lpstr>Team_Manager_Lookup</vt:lpstr>
      <vt:lpstr>Team_Managers</vt:lpstr>
      <vt:lpstr>Team_Managers_Extensions</vt:lpstr>
      <vt:lpstr>Team_Name</vt:lpstr>
      <vt:lpstr>Team_Name_Lookup</vt:lpstr>
      <vt:lpstr>Team_Names</vt:lpstr>
      <vt:lpstr>Yes_No_Lookup</vt:lpstr>
    </vt:vector>
  </TitlesOfParts>
  <Company>VNC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crhodes</dc:creator>
  <cp:lastModifiedBy>crhodes</cp:lastModifiedBy>
  <cp:lastPrinted>2008-02-26T18:06:30Z</cp:lastPrinted>
  <dcterms:created xsi:type="dcterms:W3CDTF">2006-09-30T06:44:00Z</dcterms:created>
  <dcterms:modified xsi:type="dcterms:W3CDTF">2008-02-26T18:14:29Z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asCustomFooter">
    <vt:bool>true</vt:bool>
  </property>
</Properties>
</file>