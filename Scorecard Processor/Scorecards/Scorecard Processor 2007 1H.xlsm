
<file path=[Content_Types].xml><?xml version="1.0" encoding="utf-8"?>
<Types xmlns="http://schemas.openxmlformats.org/package/2006/content-types">
  <Override PartName="/xl/worksheets/sheet24.xml" ContentType="application/vnd.openxmlformats-officedocument.spreadsheetml.worksheet+xml"/>
  <Override PartName="/xl/worksheets/sheet13.xml" ContentType="application/vnd.openxmlformats-officedocument.spreadsheetml.worksheet+xml"/>
  <Override PartName="/xl/styles.xml" ContentType="application/vnd.openxmlformats-officedocument.spreadsheetml.styles+xml"/>
  <Override PartName="/xl/comments8.xml" ContentType="application/vnd.openxmlformats-officedocument.spreadsheetml.comments+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comments6.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Default Extension="rels" ContentType="application/vnd.openxmlformats-package.relationships+xml"/>
  <Default Extension="xml" ContentType="application/xml"/>
  <Override PartName="/xl/worksheets/sheet5.xml" ContentType="application/vnd.openxmlformats-officedocument.spreadsheetml.worksheet+xml"/>
  <Override PartName="/xl/comments4.xml" ContentType="application/vnd.openxmlformats-officedocument.spreadsheetml.comments+xml"/>
  <Override PartName="/xl/drawings/drawing2.xml" ContentType="application/vnd.openxmlformats-officedocument.drawing+xml"/>
  <Override PartName="/xl/charts/chart29.xml" ContentType="application/vnd.openxmlformats-officedocument.drawingml.chart+xml"/>
  <Override PartName="/xl/worksheets/sheet3.xml" ContentType="application/vnd.openxmlformats-officedocument.spreadsheetml.worksheet+xml"/>
  <Override PartName="/xl/connections.xml" ContentType="application/vnd.openxmlformats-officedocument.spreadsheetml.connections+xml"/>
  <Override PartName="/xl/comments2.xml" ContentType="application/vnd.openxmlformats-officedocument.spreadsheetml.comments+xml"/>
  <Override PartName="/xl/charts/chart18.xml" ContentType="application/vnd.openxmlformats-officedocument.drawingml.chart+xml"/>
  <Override PartName="/xl/charts/chart27.xml" ContentType="application/vnd.openxmlformats-officedocument.drawingml.chart+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harts/chart16.xml" ContentType="application/vnd.openxmlformats-officedocument.drawingml.chart+xml"/>
  <Override PartName="/xl/charts/chart25.xml" ContentType="application/vnd.openxmlformats-officedocument.drawingml.chart+xml"/>
  <Override PartName="/xl/charts/chart34.xml" ContentType="application/vnd.openxmlformats-officedocument.drawingml.chart+xml"/>
  <Override PartName="/xl/worksheets/sheet29.xml" ContentType="application/vnd.openxmlformats-officedocument.spreadsheetml.worksheet+xml"/>
  <Override PartName="/xl/sharedStrings.xml" ContentType="application/vnd.openxmlformats-officedocument.spreadsheetml.sharedStrings+xml"/>
  <Override PartName="/xl/charts/chart14.xml" ContentType="application/vnd.openxmlformats-officedocument.drawingml.chart+xml"/>
  <Override PartName="/xl/charts/chart23.xml" ContentType="application/vnd.openxmlformats-officedocument.drawingml.chart+xml"/>
  <Override PartName="/xl/charts/chart32.xml" ContentType="application/vnd.openxmlformats-officedocument.drawingml.chart+xml"/>
  <Override PartName="/xl/comments12.xml" ContentType="application/vnd.openxmlformats-officedocument.spreadsheetml.comments+xml"/>
  <Override PartName="/xl/worksheets/sheet18.xml" ContentType="application/vnd.openxmlformats-officedocument.spreadsheetml.worksheet+xml"/>
  <Override PartName="/xl/worksheets/sheet27.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hart21.xml" ContentType="application/vnd.openxmlformats-officedocument.drawingml.chart+xml"/>
  <Override PartName="/xl/charts/chart30.xml" ContentType="application/vnd.openxmlformats-officedocument.drawingml.chart+xml"/>
  <Override PartName="/xl/comments10.xml" ContentType="application/vnd.openxmlformats-officedocument.spreadsheetml.comments+xml"/>
  <Override PartName="/xl/worksheets/sheet16.xml" ContentType="application/vnd.openxmlformats-officedocument.spreadsheetml.worksheet+xml"/>
  <Override PartName="/xl/worksheets/sheet25.xml" ContentType="application/vnd.openxmlformats-officedocument.spreadsheetml.worksheet+xml"/>
  <Default Extension="bin" ContentType="application/vnd.openxmlformats-officedocument.spreadsheetml.printerSettings"/>
  <Override PartName="/xl/queryTables/queryTable2.xml" ContentType="application/vnd.openxmlformats-officedocument.spreadsheetml.queryTable+xml"/>
  <Override PartName="/xl/charts/chart7.xml" ContentType="application/vnd.openxmlformats-officedocument.drawingml.chart+xml"/>
  <Override PartName="/xl/charts/chart10.xml" ContentType="application/vnd.openxmlformats-officedocument.drawingml.chart+xml"/>
  <Override PartName="/xl/tables/table3.xml" ContentType="application/vnd.openxmlformats-officedocument.spreadsheetml.table+xml"/>
  <Override PartName="/xl/worksheets/sheet14.xml" ContentType="application/vnd.openxmlformats-officedocument.spreadsheetml.worksheet+xml"/>
  <Override PartName="/xl/worksheets/sheet23.xml" ContentType="application/vnd.openxmlformats-officedocument.spreadsheetml.worksheet+xml"/>
  <Override PartName="/xl/tables/table1.xml" ContentType="application/vnd.openxmlformats-officedocument.spreadsheetml.table+xml"/>
  <Override PartName="/xl/charts/chart5.xml" ContentType="application/vnd.openxmlformats-officedocument.drawingml.chart+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comments7.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comments5.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drawings/drawing1.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8.xml" ContentType="application/vnd.openxmlformats-officedocument.drawingml.chart+xml"/>
  <Default Extension="vml" ContentType="application/vnd.openxmlformats-officedocument.vmlDrawing"/>
  <Override PartName="/xl/comments1.xml" ContentType="application/vnd.openxmlformats-officedocument.spreadsheetml.comments+xml"/>
  <Override PartName="/xl/charts/chart17.xml" ContentType="application/vnd.openxmlformats-officedocument.drawingml.chart+xml"/>
  <Override PartName="/xl/charts/chart26.xml" ContentType="application/vnd.openxmlformats-officedocument.drawingml.chart+xml"/>
  <Override PartName="/xl/charts/chart35.xml" ContentType="application/vnd.openxmlformats-officedocument.drawingml.chart+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hart24.xml" ContentType="application/vnd.openxmlformats-officedocument.drawingml.chart+xml"/>
  <Override PartName="/xl/charts/chart33.xml" ContentType="application/vnd.openxmlformats-officedocument.drawingml.chart+xml"/>
  <Override PartName="/xl/comments13.xml" ContentType="application/vnd.openxmlformats-officedocument.spreadsheetml.comments+xml"/>
  <Override PartName="/xl/worksheets/sheet17.xml" ContentType="application/vnd.openxmlformats-officedocument.spreadsheetml.worksheet+xml"/>
  <Override PartName="/xl/worksheets/sheet26.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queryTables/queryTable3.xml" ContentType="application/vnd.openxmlformats-officedocument.spreadsheetml.queryTable+xml"/>
  <Override PartName="/xl/charts/chart22.xml" ContentType="application/vnd.openxmlformats-officedocument.drawingml.chart+xml"/>
  <Override PartName="/xl/charts/chart31.xml" ContentType="application/vnd.openxmlformats-officedocument.drawingml.chart+xml"/>
  <Override PartName="/xl/comments11.xml" ContentType="application/vnd.openxmlformats-officedocument.spreadsheetml.comments+xml"/>
  <Override PartName="/docProps/core.xml" ContentType="application/vnd.openxmlformats-package.core-properties+xml"/>
  <Override PartName="/xl/worksheets/sheet15.xml" ContentType="application/vnd.openxmlformats-officedocument.spreadsheetml.worksheet+xml"/>
  <Override PartName="/xl/queryTables/queryTable1.xml" ContentType="application/vnd.openxmlformats-officedocument.spreadsheetml.queryTable+xml"/>
  <Override PartName="/xl/charts/chart6.xml" ContentType="application/vnd.openxmlformats-officedocument.drawingml.chart+xml"/>
  <Override PartName="/xl/charts/chart20.xml" ContentType="application/vnd.openxmlformats-officedocument.drawingml.chart+xml"/>
  <Override PartName="/xl/attachedToolbars.bin" ContentType="application/vnd.ms-excel.attachedToolbars"/>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tables/table2.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defaultThemeVersion="124226"/>
  <bookViews>
    <workbookView xWindow="-15" yWindow="-15" windowWidth="18360" windowHeight="11265" firstSheet="16" activeTab="17"/>
  </bookViews>
  <sheets>
    <sheet name="Table of Contents" sheetId="18" r:id="rId1"/>
    <sheet name="Scorecard - Individual Team" sheetId="720" r:id="rId2"/>
    <sheet name="Scorecard - All Teams" sheetId="757" r:id="rId3"/>
    <sheet name="Scorecard - Previous Period" sheetId="775" r:id="rId4"/>
    <sheet name="Budget Rollup" sheetId="721" r:id="rId5"/>
    <sheet name="Survey Rollup" sheetId="713" r:id="rId6"/>
    <sheet name="Survey Mapping" sheetId="712" r:id="rId7"/>
    <sheet name="Partner Survey - All Teams" sheetId="764" r:id="rId8"/>
    <sheet name="Business Survey - All Teams" sheetId="763" r:id="rId9"/>
    <sheet name="IT Survey - All Teams" sheetId="762" r:id="rId10"/>
    <sheet name="Organization" sheetId="724" r:id="rId11"/>
    <sheet name="Lookups" sheetId="10" r:id="rId12"/>
    <sheet name="Teams" sheetId="726" r:id="rId13"/>
    <sheet name="Defined Names" sheetId="725" r:id="rId14"/>
    <sheet name="Partner Survey Questions" sheetId="738" r:id="rId15"/>
    <sheet name="Partner Survey Data" sheetId="739" r:id="rId16"/>
    <sheet name="Business Survey Questions" sheetId="741" r:id="rId17"/>
    <sheet name="Business Survey Data" sheetId="761" r:id="rId18"/>
    <sheet name="IT Survey Questions" sheetId="744" r:id="rId19"/>
    <sheet name="IT Survey Data" sheetId="759" r:id="rId20"/>
    <sheet name="eBusiness OT Data" sheetId="768" r:id="rId21"/>
    <sheet name="New Business Workflow OT Data" sheetId="769" r:id="rId22"/>
    <sheet name="Producer Admin OT Data" sheetId="770" r:id="rId23"/>
    <sheet name="Producer CRM OT Data" sheetId="771" r:id="rId24"/>
    <sheet name="Product Admin OT Data" sheetId="772" r:id="rId25"/>
    <sheet name="Sales OT Data" sheetId="773" r:id="rId26"/>
    <sheet name="Service OT Data" sheetId="774" r:id="rId27"/>
    <sheet name="On-Time Delivery Data" sheetId="240" r:id="rId28"/>
    <sheet name="Budget Variance Data" sheetId="714" r:id="rId29"/>
    <sheet name="ITR_Data" sheetId="718" r:id="rId30"/>
  </sheets>
  <externalReferences>
    <externalReference r:id="rId31"/>
    <externalReference r:id="rId32"/>
  </externalReferences>
  <definedNames>
    <definedName name="_xlnm._FilterDatabase" localSheetId="27" hidden="1">'On-Time Delivery Data'!$A$30:$L$44</definedName>
    <definedName name="_xlnm._FilterDatabase" localSheetId="12" hidden="1">Teams!$A$29:$H$29</definedName>
    <definedName name="ExternalData_1" localSheetId="17" hidden="1">'Business Survey Data'!$A$30:$AI$44</definedName>
    <definedName name="ExternalData_1" localSheetId="19" hidden="1">'IT Survey Data'!$A$30:$AT$147</definedName>
    <definedName name="ExternalData_1" localSheetId="15" hidden="1">'Partner Survey Data'!$A$30:$W$31</definedName>
    <definedName name="FollowUp_Questions_Location" localSheetId="3">[1]Lookups!$B$26</definedName>
    <definedName name="FollowUp_Questions_Location">Lookups!$B$12</definedName>
    <definedName name="ITR_Data_Backlog_Location">Lookups!$B$35</definedName>
    <definedName name="ITR_Data_Closed_Location">Lookups!$B$34</definedName>
    <definedName name="ITR_Data_Open_Location">Lookups!$B$33</definedName>
    <definedName name="ITR_Data_Team_Location">Lookups!$B$32</definedName>
    <definedName name="Previous_Period_Lookup">Lookups!$B$4</definedName>
    <definedName name="Previous_Period_Team_Vector">Lookups!$B$4</definedName>
    <definedName name="Previous_Period_Value_Vector">Lookups!$B$5</definedName>
    <definedName name="Primary_Questions_Location" localSheetId="3">[1]Lookups!$B$25</definedName>
    <definedName name="Primary_Questions_Location">Lookups!$B$11</definedName>
    <definedName name="_xlnm.Print_Area" localSheetId="8">'Business Survey - All Teams'!$A$2:$S$25</definedName>
    <definedName name="_xlnm.Print_Area" localSheetId="9">'IT Survey - All Teams'!$A$2:$S$25</definedName>
    <definedName name="_xlnm.Print_Area" localSheetId="7">'Partner Survey - All Teams'!$A$2:$S$25</definedName>
    <definedName name="_xlnm.Print_Area" localSheetId="2">'Scorecard - All Teams'!$A$2:$S$36</definedName>
    <definedName name="_xlnm.Print_Area" localSheetId="1">'Scorecard - Individual Team'!$A$2:$L$42</definedName>
    <definedName name="_xlnm.Print_Area" localSheetId="3">'Scorecard - Previous Period'!$A$2:$T$36</definedName>
    <definedName name="Questions_Location" localSheetId="3">[1]Lookups!$B$22</definedName>
    <definedName name="Questions_Location">Lookups!$B$8</definedName>
    <definedName name="Row_Width_Location" localSheetId="3">[1]Lookups!$B$23</definedName>
    <definedName name="Row_Width_Location">Lookups!$B$9</definedName>
    <definedName name="Statistics_Location" localSheetId="3">[1]Lookups!$B$24</definedName>
    <definedName name="Statistics_Location">Lookups!$B$10</definedName>
    <definedName name="Survey_Period" localSheetId="3">'Scorecard - Previous Period'!#REF!</definedName>
    <definedName name="Survey_Period">'Scorecard - Individual Team'!$E$2</definedName>
    <definedName name="Team_Manager_Lookup">Lookups!$B$14</definedName>
    <definedName name="Team_Managers" localSheetId="12">Teams!$C$5:$C$17</definedName>
    <definedName name="Team_Managers">[1]Lookups!$C$5:$C$17</definedName>
    <definedName name="Team_Managers_Extensions" localSheetId="12">Teams!$D$5:$D$17</definedName>
    <definedName name="Team_Name" localSheetId="3">'Scorecard - Previous Period'!#REF!</definedName>
    <definedName name="Team_Name">'Scorecard - Individual Team'!$B$2</definedName>
    <definedName name="Team_Name_Lookup" localSheetId="3">[1]Lookups!$B$21</definedName>
    <definedName name="Team_Name_Lookup">Lookups!$B$7</definedName>
    <definedName name="Team_Names" localSheetId="3">[1]Lookups!$B$5:$B$18</definedName>
    <definedName name="Team_Names">Teams!$B$5:$B$20</definedName>
    <definedName name="TeamName_To_Cell_Array">Lookups!$A$70:$B$90</definedName>
    <definedName name="TeamName_To_Column_Array">Lookups!$A$43:$B$63</definedName>
    <definedName name="Yes_No_Lookup">Lookups!$A$29:$B$30</definedName>
  </definedNames>
  <calcPr calcId="125725"/>
</workbook>
</file>

<file path=xl/calcChain.xml><?xml version="1.0" encoding="utf-8"?>
<calcChain xmlns="http://schemas.openxmlformats.org/spreadsheetml/2006/main">
  <c r="C2" i="762"/>
  <c r="C2" i="763"/>
  <c r="C2" i="764"/>
  <c r="W24" i="739" a="1"/>
  <c r="W24" s="1"/>
  <c r="T24" a="1"/>
  <c r="T24" s="1"/>
  <c r="R24" a="1"/>
  <c r="R24" s="1"/>
  <c r="P24" a="1"/>
  <c r="P24" s="1"/>
  <c r="N24" a="1"/>
  <c r="N24" s="1"/>
  <c r="L24" a="1"/>
  <c r="L24" s="1"/>
  <c r="J24" a="1"/>
  <c r="J24" s="1"/>
  <c r="H24" a="1"/>
  <c r="H24" s="1"/>
  <c r="F24" a="1"/>
  <c r="F24" s="1"/>
  <c r="E2" i="775"/>
  <c r="AF24" i="761" a="1"/>
  <c r="AF24" s="1"/>
  <c r="AD24" a="1"/>
  <c r="AD24" s="1"/>
  <c r="AB24" a="1"/>
  <c r="AB24" s="1"/>
  <c r="Z24" a="1"/>
  <c r="Z24" s="1"/>
  <c r="X24" a="1"/>
  <c r="X24" s="1"/>
  <c r="V24" a="1"/>
  <c r="V24" s="1"/>
  <c r="T24" a="1"/>
  <c r="T24" s="1"/>
  <c r="R24" a="1"/>
  <c r="R24" s="1"/>
  <c r="P24" a="1"/>
  <c r="P24" s="1"/>
  <c r="N24" a="1"/>
  <c r="N24" s="1"/>
  <c r="L24" a="1"/>
  <c r="L24" s="1"/>
  <c r="J24" a="1"/>
  <c r="J24" s="1"/>
  <c r="H24" a="1"/>
  <c r="H24" s="1"/>
  <c r="F24" a="1"/>
  <c r="F24" s="1"/>
  <c r="AR24" i="759" a="1"/>
  <c r="AR24" s="1"/>
  <c r="AP24" a="1"/>
  <c r="AP24" s="1"/>
  <c r="AN24" a="1"/>
  <c r="AN24" s="1"/>
  <c r="AL24" a="1"/>
  <c r="AL24" s="1"/>
  <c r="AJ24" a="1"/>
  <c r="AJ24" s="1"/>
  <c r="AH24" a="1"/>
  <c r="AH24" s="1"/>
  <c r="AF24" a="1"/>
  <c r="AF24" s="1"/>
  <c r="AD24" a="1"/>
  <c r="AD24" s="1"/>
  <c r="AB24" a="1"/>
  <c r="AB24" s="1"/>
  <c r="Z24" a="1"/>
  <c r="Z24" s="1"/>
  <c r="X24" a="1"/>
  <c r="X24" s="1"/>
  <c r="V24" a="1"/>
  <c r="V24" s="1"/>
  <c r="T24" a="1"/>
  <c r="T24" s="1"/>
  <c r="R24" a="1"/>
  <c r="R24" s="1"/>
  <c r="P24" a="1"/>
  <c r="P24" s="1"/>
  <c r="N24" a="1"/>
  <c r="N24" s="1"/>
  <c r="L24" a="1"/>
  <c r="L24" s="1"/>
  <c r="J24" a="1"/>
  <c r="J24" s="1"/>
  <c r="H24" a="1"/>
  <c r="H24" s="1"/>
  <c r="F24" a="1"/>
  <c r="F24" s="1"/>
  <c r="A2" i="712"/>
  <c r="D27" i="773"/>
  <c r="S7" i="720"/>
  <c r="S6"/>
  <c r="L15" i="718"/>
  <c r="M15"/>
  <c r="N15"/>
  <c r="L16"/>
  <c r="M16"/>
  <c r="N16"/>
  <c r="L17"/>
  <c r="M17"/>
  <c r="N17"/>
  <c r="L18"/>
  <c r="M18"/>
  <c r="N18"/>
  <c r="L19"/>
  <c r="M19"/>
  <c r="N19"/>
  <c r="L20"/>
  <c r="M20"/>
  <c r="N20"/>
  <c r="L21"/>
  <c r="M21"/>
  <c r="N21"/>
  <c r="L22"/>
  <c r="M22"/>
  <c r="N22"/>
  <c r="L23"/>
  <c r="M23"/>
  <c r="N23"/>
  <c r="L24"/>
  <c r="M24"/>
  <c r="N24"/>
  <c r="L25"/>
  <c r="M25"/>
  <c r="N25"/>
  <c r="L26"/>
  <c r="M26"/>
  <c r="N26"/>
  <c r="L27"/>
  <c r="M27"/>
  <c r="N27"/>
  <c r="L28"/>
  <c r="M28"/>
  <c r="N28"/>
  <c r="L29"/>
  <c r="M29"/>
  <c r="N29"/>
  <c r="L30"/>
  <c r="M30"/>
  <c r="N30"/>
  <c r="L31"/>
  <c r="M31"/>
  <c r="N31"/>
  <c r="L32"/>
  <c r="M32"/>
  <c r="N32"/>
  <c r="L33"/>
  <c r="M33"/>
  <c r="N33"/>
  <c r="L34"/>
  <c r="M34"/>
  <c r="N34"/>
  <c r="C14"/>
  <c r="D14"/>
  <c r="E14"/>
  <c r="F14"/>
  <c r="G14"/>
  <c r="H14"/>
  <c r="I14"/>
  <c r="J14"/>
  <c r="B14"/>
  <c r="D26" i="726"/>
  <c r="A28"/>
  <c r="A3"/>
  <c r="H51"/>
  <c r="G51"/>
  <c r="K31" i="774"/>
  <c r="K32"/>
  <c r="K33"/>
  <c r="K34"/>
  <c r="K35"/>
  <c r="K36"/>
  <c r="K37"/>
  <c r="K38"/>
  <c r="K39"/>
  <c r="K40"/>
  <c r="K41"/>
  <c r="K42"/>
  <c r="K43"/>
  <c r="K44"/>
  <c r="K45"/>
  <c r="K46"/>
  <c r="K47"/>
  <c r="K48"/>
  <c r="K49"/>
  <c r="K50"/>
  <c r="K51"/>
  <c r="K52"/>
  <c r="K53"/>
  <c r="K54"/>
  <c r="K55"/>
  <c r="K56"/>
  <c r="K57"/>
  <c r="K58"/>
  <c r="K59"/>
  <c r="K60"/>
  <c r="K61"/>
  <c r="H31"/>
  <c r="H32"/>
  <c r="H33"/>
  <c r="H34"/>
  <c r="H35"/>
  <c r="H36"/>
  <c r="H37"/>
  <c r="H38"/>
  <c r="H39"/>
  <c r="H40"/>
  <c r="H41"/>
  <c r="H42"/>
  <c r="H43"/>
  <c r="H44"/>
  <c r="H45"/>
  <c r="H46"/>
  <c r="H47"/>
  <c r="H48"/>
  <c r="I48" s="1"/>
  <c r="H49"/>
  <c r="H50"/>
  <c r="H51"/>
  <c r="H52"/>
  <c r="H53"/>
  <c r="H54"/>
  <c r="H55"/>
  <c r="H56"/>
  <c r="H57"/>
  <c r="H58"/>
  <c r="H59"/>
  <c r="H60"/>
  <c r="H61"/>
  <c r="G31"/>
  <c r="G32"/>
  <c r="G33"/>
  <c r="G34"/>
  <c r="G35"/>
  <c r="G36"/>
  <c r="G37"/>
  <c r="G38"/>
  <c r="G39"/>
  <c r="G40"/>
  <c r="G41"/>
  <c r="G42"/>
  <c r="G43"/>
  <c r="G44"/>
  <c r="G45"/>
  <c r="G46"/>
  <c r="G47"/>
  <c r="G48"/>
  <c r="M48" s="1"/>
  <c r="G49"/>
  <c r="G50"/>
  <c r="G51"/>
  <c r="G52"/>
  <c r="G53"/>
  <c r="G54"/>
  <c r="G55"/>
  <c r="G56"/>
  <c r="G57"/>
  <c r="G58"/>
  <c r="G59"/>
  <c r="G60"/>
  <c r="G61"/>
  <c r="C27"/>
  <c r="F44" i="240" s="1"/>
  <c r="C5" i="774"/>
  <c r="K34" i="773"/>
  <c r="L34" s="1"/>
  <c r="K35"/>
  <c r="L35" s="1"/>
  <c r="K36"/>
  <c r="K37"/>
  <c r="K38"/>
  <c r="K39"/>
  <c r="K40"/>
  <c r="K41"/>
  <c r="K42"/>
  <c r="K43"/>
  <c r="L43" s="1"/>
  <c r="K44"/>
  <c r="L44" s="1"/>
  <c r="K45"/>
  <c r="L45" s="1"/>
  <c r="K46"/>
  <c r="K47"/>
  <c r="K48"/>
  <c r="K49"/>
  <c r="H34"/>
  <c r="I34" s="1"/>
  <c r="H35"/>
  <c r="I35" s="1"/>
  <c r="H36"/>
  <c r="H37"/>
  <c r="H38"/>
  <c r="H39"/>
  <c r="H40"/>
  <c r="H41"/>
  <c r="H42"/>
  <c r="H43"/>
  <c r="I43" s="1"/>
  <c r="H44"/>
  <c r="I44" s="1"/>
  <c r="H45"/>
  <c r="I45" s="1"/>
  <c r="H46"/>
  <c r="H47"/>
  <c r="H48"/>
  <c r="H49"/>
  <c r="G34"/>
  <c r="M34" s="1"/>
  <c r="G35"/>
  <c r="M35" s="1"/>
  <c r="G36"/>
  <c r="G37"/>
  <c r="G38"/>
  <c r="G39"/>
  <c r="G40"/>
  <c r="G41"/>
  <c r="G42"/>
  <c r="G43"/>
  <c r="M43" s="1"/>
  <c r="G44"/>
  <c r="M44" s="1"/>
  <c r="G45"/>
  <c r="M45" s="1"/>
  <c r="G46"/>
  <c r="G47"/>
  <c r="G48"/>
  <c r="G49"/>
  <c r="F42" i="240"/>
  <c r="C5" i="773"/>
  <c r="K34" i="772"/>
  <c r="K35"/>
  <c r="K36"/>
  <c r="K37"/>
  <c r="K38"/>
  <c r="K39"/>
  <c r="K40"/>
  <c r="K41"/>
  <c r="K42"/>
  <c r="K43"/>
  <c r="K44"/>
  <c r="K45"/>
  <c r="K46"/>
  <c r="K47"/>
  <c r="K48"/>
  <c r="K49"/>
  <c r="K50"/>
  <c r="K51"/>
  <c r="K52"/>
  <c r="L52" s="1"/>
  <c r="K53"/>
  <c r="L53" s="1"/>
  <c r="K54"/>
  <c r="L54" s="1"/>
  <c r="K55"/>
  <c r="L55" s="1"/>
  <c r="K56"/>
  <c r="L56" s="1"/>
  <c r="K57"/>
  <c r="L57" s="1"/>
  <c r="K58"/>
  <c r="L58" s="1"/>
  <c r="H34"/>
  <c r="H35"/>
  <c r="H36"/>
  <c r="H37"/>
  <c r="H38"/>
  <c r="H39"/>
  <c r="H40"/>
  <c r="H41"/>
  <c r="H42"/>
  <c r="H43"/>
  <c r="H44"/>
  <c r="H45"/>
  <c r="H46"/>
  <c r="H47"/>
  <c r="H48"/>
  <c r="H49"/>
  <c r="H50"/>
  <c r="H51"/>
  <c r="H52"/>
  <c r="I52" s="1"/>
  <c r="H53"/>
  <c r="I53" s="1"/>
  <c r="H54"/>
  <c r="I54" s="1"/>
  <c r="H55"/>
  <c r="I55" s="1"/>
  <c r="H56"/>
  <c r="I56" s="1"/>
  <c r="H57"/>
  <c r="I57" s="1"/>
  <c r="H58"/>
  <c r="I58" s="1"/>
  <c r="G34"/>
  <c r="G35"/>
  <c r="G36"/>
  <c r="G37"/>
  <c r="G38"/>
  <c r="G39"/>
  <c r="G40"/>
  <c r="G41"/>
  <c r="G42"/>
  <c r="G43"/>
  <c r="G44"/>
  <c r="G45"/>
  <c r="G46"/>
  <c r="G47"/>
  <c r="G48"/>
  <c r="G49"/>
  <c r="G50"/>
  <c r="G51"/>
  <c r="G52"/>
  <c r="J52" s="1"/>
  <c r="G53"/>
  <c r="M53" s="1"/>
  <c r="G54"/>
  <c r="J54" s="1"/>
  <c r="G55"/>
  <c r="M55" s="1"/>
  <c r="G56"/>
  <c r="J56" s="1"/>
  <c r="G57"/>
  <c r="M57" s="1"/>
  <c r="G58"/>
  <c r="J58" s="1"/>
  <c r="C27"/>
  <c r="F41" i="240" s="1"/>
  <c r="C5" i="772"/>
  <c r="K34" i="771"/>
  <c r="L34" s="1"/>
  <c r="K35"/>
  <c r="K36"/>
  <c r="K37"/>
  <c r="K38"/>
  <c r="K39"/>
  <c r="K40"/>
  <c r="K41"/>
  <c r="K42"/>
  <c r="H34"/>
  <c r="I34" s="1"/>
  <c r="H35"/>
  <c r="H36"/>
  <c r="H37"/>
  <c r="H38"/>
  <c r="H39"/>
  <c r="H40"/>
  <c r="H41"/>
  <c r="H42"/>
  <c r="G34"/>
  <c r="M34" s="1"/>
  <c r="G35"/>
  <c r="G36"/>
  <c r="G37"/>
  <c r="G38"/>
  <c r="G39"/>
  <c r="G40"/>
  <c r="G41"/>
  <c r="G42"/>
  <c r="C27"/>
  <c r="F40" i="240" s="1"/>
  <c r="C5" i="771"/>
  <c r="D116" i="759"/>
  <c r="D108"/>
  <c r="D89"/>
  <c r="D38"/>
  <c r="G33" i="240"/>
  <c r="D41" i="761"/>
  <c r="D40" i="759"/>
  <c r="J3" i="720"/>
  <c r="D60" i="759"/>
  <c r="D41"/>
  <c r="D31" i="739"/>
  <c r="D35" i="759"/>
  <c r="D109"/>
  <c r="D130"/>
  <c r="D57"/>
  <c r="G38" i="240"/>
  <c r="D54" i="759"/>
  <c r="D137"/>
  <c r="J17" i="720"/>
  <c r="D56" i="759"/>
  <c r="D43" i="761"/>
  <c r="D125" i="759"/>
  <c r="J26" i="720"/>
  <c r="D43" i="759"/>
  <c r="D121"/>
  <c r="G41" i="240"/>
  <c r="J31" i="720"/>
  <c r="J18"/>
  <c r="J12"/>
  <c r="D146" i="759"/>
  <c r="J33" i="720"/>
  <c r="D32" i="759"/>
  <c r="J21" i="720"/>
  <c r="D122" i="759"/>
  <c r="D114"/>
  <c r="D39" i="761"/>
  <c r="C29" i="774"/>
  <c r="D106" i="759"/>
  <c r="D136"/>
  <c r="D129"/>
  <c r="D132"/>
  <c r="J9" i="720"/>
  <c r="G42" i="240"/>
  <c r="D134" i="759"/>
  <c r="J15" i="720"/>
  <c r="D63" i="759"/>
  <c r="D55"/>
  <c r="D96"/>
  <c r="D127"/>
  <c r="D120"/>
  <c r="D135"/>
  <c r="D53"/>
  <c r="D113"/>
  <c r="G37" i="240"/>
  <c r="D42" i="761"/>
  <c r="D61" i="759"/>
  <c r="G40" i="240"/>
  <c r="D79" i="759"/>
  <c r="D93"/>
  <c r="J23" i="720"/>
  <c r="D139" i="759"/>
  <c r="D69"/>
  <c r="D104"/>
  <c r="D62"/>
  <c r="J14" i="720"/>
  <c r="D46" i="759"/>
  <c r="D82"/>
  <c r="G34" i="240"/>
  <c r="D115" i="759"/>
  <c r="D103"/>
  <c r="C26" i="772"/>
  <c r="C28" i="774"/>
  <c r="D87" i="759"/>
  <c r="D83"/>
  <c r="D80"/>
  <c r="C26" i="773"/>
  <c r="D141" i="759"/>
  <c r="D52"/>
  <c r="D95"/>
  <c r="C28" i="773"/>
  <c r="J30" i="720"/>
  <c r="J20"/>
  <c r="D76" i="759"/>
  <c r="D92"/>
  <c r="A35" i="771"/>
  <c r="D110" i="759"/>
  <c r="D74"/>
  <c r="D65"/>
  <c r="C29" i="772"/>
  <c r="D31" i="759"/>
  <c r="J7" i="720"/>
  <c r="D143" i="759"/>
  <c r="D91"/>
  <c r="D123"/>
  <c r="D71"/>
  <c r="D128"/>
  <c r="C28" i="772"/>
  <c r="D124" i="759"/>
  <c r="D36" i="761"/>
  <c r="D67" i="759"/>
  <c r="D81"/>
  <c r="D51"/>
  <c r="D88"/>
  <c r="D117"/>
  <c r="J27" i="720"/>
  <c r="D147" i="759"/>
  <c r="D101"/>
  <c r="G39" i="240"/>
  <c r="D145" i="759"/>
  <c r="C29" i="771"/>
  <c r="D36" i="759"/>
  <c r="D131"/>
  <c r="D31" i="761"/>
  <c r="D84" i="759"/>
  <c r="J13" i="720"/>
  <c r="D40" i="761"/>
  <c r="D45" i="759"/>
  <c r="G35" i="240"/>
  <c r="D85" i="759"/>
  <c r="D64"/>
  <c r="D105"/>
  <c r="J29" i="720"/>
  <c r="D48" i="759"/>
  <c r="D111"/>
  <c r="D33"/>
  <c r="J8" i="720"/>
  <c r="J6"/>
  <c r="D42" i="759"/>
  <c r="D78"/>
  <c r="D126"/>
  <c r="D86"/>
  <c r="G43" i="240"/>
  <c r="C29" i="773"/>
  <c r="J19" i="720"/>
  <c r="D144" i="759"/>
  <c r="D68"/>
  <c r="D100"/>
  <c r="D32" i="761"/>
  <c r="J5" i="720"/>
  <c r="D47" i="759"/>
  <c r="D33" i="761"/>
  <c r="D112" i="759"/>
  <c r="D98"/>
  <c r="J10" i="720"/>
  <c r="D37" i="759"/>
  <c r="D44"/>
  <c r="D70"/>
  <c r="D35" i="761"/>
  <c r="D118" i="759"/>
  <c r="D37" i="761"/>
  <c r="D72" i="759"/>
  <c r="D133"/>
  <c r="J25" i="720"/>
  <c r="G45" i="240"/>
  <c r="D119" i="759"/>
  <c r="D77"/>
  <c r="D50"/>
  <c r="D34" i="761"/>
  <c r="D140" i="759"/>
  <c r="D39"/>
  <c r="D94"/>
  <c r="J32" i="720"/>
  <c r="D75" i="759"/>
  <c r="J28" i="720"/>
  <c r="C26" i="771"/>
  <c r="D90" i="759"/>
  <c r="D66"/>
  <c r="G36" i="240"/>
  <c r="D97" i="759"/>
  <c r="C28" i="771"/>
  <c r="J16" i="720"/>
  <c r="D107" i="759"/>
  <c r="D49"/>
  <c r="D142"/>
  <c r="J22" i="720"/>
  <c r="D102" i="759"/>
  <c r="D34"/>
  <c r="J11" i="720"/>
  <c r="D44" i="761"/>
  <c r="J4" i="720"/>
  <c r="D7" i="10"/>
  <c r="C26" i="774"/>
  <c r="D73" i="759"/>
  <c r="D58"/>
  <c r="D38" i="761"/>
  <c r="D138" i="759"/>
  <c r="G44" i="240"/>
  <c r="J24" i="720"/>
  <c r="D59" i="759"/>
  <c r="D99"/>
  <c r="C24" i="739" l="1"/>
  <c r="C24" i="761"/>
  <c r="C24" i="759"/>
  <c r="L14" i="718"/>
  <c r="N14"/>
  <c r="I49" i="773"/>
  <c r="J49" s="1"/>
  <c r="I47"/>
  <c r="J47" s="1"/>
  <c r="L48"/>
  <c r="M48" s="1"/>
  <c r="L46"/>
  <c r="M46" s="1"/>
  <c r="I48"/>
  <c r="J48" s="1"/>
  <c r="I46"/>
  <c r="J46" s="1"/>
  <c r="L49"/>
  <c r="M49" s="1"/>
  <c r="L47"/>
  <c r="M47" s="1"/>
  <c r="M14" i="718"/>
  <c r="J45" i="773"/>
  <c r="J43"/>
  <c r="J34"/>
  <c r="J44"/>
  <c r="J35"/>
  <c r="J48" i="774"/>
  <c r="E44" i="240"/>
  <c r="L31" i="774"/>
  <c r="M31" s="1"/>
  <c r="L33"/>
  <c r="M33" s="1"/>
  <c r="L35"/>
  <c r="M35" s="1"/>
  <c r="L37"/>
  <c r="M37" s="1"/>
  <c r="L39"/>
  <c r="M39" s="1"/>
  <c r="L41"/>
  <c r="M41" s="1"/>
  <c r="L43"/>
  <c r="M43" s="1"/>
  <c r="L45"/>
  <c r="M45" s="1"/>
  <c r="L47"/>
  <c r="M47" s="1"/>
  <c r="L49"/>
  <c r="M49" s="1"/>
  <c r="L51"/>
  <c r="M51" s="1"/>
  <c r="L54"/>
  <c r="M54" s="1"/>
  <c r="L56"/>
  <c r="M56" s="1"/>
  <c r="L58"/>
  <c r="M58" s="1"/>
  <c r="L60"/>
  <c r="M60" s="1"/>
  <c r="L32"/>
  <c r="M32" s="1"/>
  <c r="L34"/>
  <c r="M34" s="1"/>
  <c r="L36"/>
  <c r="M36" s="1"/>
  <c r="L38"/>
  <c r="M38" s="1"/>
  <c r="L40"/>
  <c r="M40" s="1"/>
  <c r="L42"/>
  <c r="M42" s="1"/>
  <c r="L44"/>
  <c r="M44" s="1"/>
  <c r="L46"/>
  <c r="M46" s="1"/>
  <c r="L48"/>
  <c r="L50"/>
  <c r="M50" s="1"/>
  <c r="L52"/>
  <c r="M52" s="1"/>
  <c r="L53"/>
  <c r="M53" s="1"/>
  <c r="L55"/>
  <c r="M55" s="1"/>
  <c r="L57"/>
  <c r="M57" s="1"/>
  <c r="L59"/>
  <c r="M59" s="1"/>
  <c r="L61"/>
  <c r="M61" s="1"/>
  <c r="I31"/>
  <c r="J31" s="1"/>
  <c r="I33"/>
  <c r="J33" s="1"/>
  <c r="I35"/>
  <c r="J35" s="1"/>
  <c r="I37"/>
  <c r="J37" s="1"/>
  <c r="I39"/>
  <c r="J39" s="1"/>
  <c r="I41"/>
  <c r="J41" s="1"/>
  <c r="I43"/>
  <c r="J43" s="1"/>
  <c r="I45"/>
  <c r="J45" s="1"/>
  <c r="I47"/>
  <c r="J47" s="1"/>
  <c r="I49"/>
  <c r="J49" s="1"/>
  <c r="I51"/>
  <c r="J51" s="1"/>
  <c r="I54"/>
  <c r="J54" s="1"/>
  <c r="I56"/>
  <c r="J56" s="1"/>
  <c r="I58"/>
  <c r="J58" s="1"/>
  <c r="I60"/>
  <c r="J60" s="1"/>
  <c r="I32"/>
  <c r="J32" s="1"/>
  <c r="I34"/>
  <c r="J34" s="1"/>
  <c r="I36"/>
  <c r="J36" s="1"/>
  <c r="I38"/>
  <c r="J38" s="1"/>
  <c r="I40"/>
  <c r="J40" s="1"/>
  <c r="I42"/>
  <c r="J42" s="1"/>
  <c r="I44"/>
  <c r="J44" s="1"/>
  <c r="I46"/>
  <c r="J46" s="1"/>
  <c r="I50"/>
  <c r="J50" s="1"/>
  <c r="I52"/>
  <c r="J52" s="1"/>
  <c r="I53"/>
  <c r="J53" s="1"/>
  <c r="I55"/>
  <c r="J55" s="1"/>
  <c r="I57"/>
  <c r="J57" s="1"/>
  <c r="I59"/>
  <c r="J59" s="1"/>
  <c r="I61"/>
  <c r="J61" s="1"/>
  <c r="E42" i="240"/>
  <c r="L37" i="773"/>
  <c r="M37" s="1"/>
  <c r="L39"/>
  <c r="M39" s="1"/>
  <c r="L41"/>
  <c r="M41" s="1"/>
  <c r="L36"/>
  <c r="M36" s="1"/>
  <c r="L38"/>
  <c r="M38" s="1"/>
  <c r="L40"/>
  <c r="M40" s="1"/>
  <c r="L42"/>
  <c r="M42" s="1"/>
  <c r="I37"/>
  <c r="J37" s="1"/>
  <c r="I39"/>
  <c r="J39" s="1"/>
  <c r="I41"/>
  <c r="J41" s="1"/>
  <c r="I36"/>
  <c r="J36" s="1"/>
  <c r="I38"/>
  <c r="J38" s="1"/>
  <c r="I40"/>
  <c r="J40" s="1"/>
  <c r="I42"/>
  <c r="J42" s="1"/>
  <c r="J34" i="771"/>
  <c r="J57" i="772"/>
  <c r="J55"/>
  <c r="J53"/>
  <c r="M58"/>
  <c r="M56"/>
  <c r="M54"/>
  <c r="M52"/>
  <c r="L38"/>
  <c r="M38" s="1"/>
  <c r="L37"/>
  <c r="M37" s="1"/>
  <c r="L36"/>
  <c r="M36" s="1"/>
  <c r="E41" i="240"/>
  <c r="L35" i="772"/>
  <c r="M35" s="1"/>
  <c r="L39"/>
  <c r="M39" s="1"/>
  <c r="L41"/>
  <c r="M41" s="1"/>
  <c r="L43"/>
  <c r="M43" s="1"/>
  <c r="L45"/>
  <c r="M45" s="1"/>
  <c r="L47"/>
  <c r="M47" s="1"/>
  <c r="L49"/>
  <c r="M49" s="1"/>
  <c r="L51"/>
  <c r="M51" s="1"/>
  <c r="L34"/>
  <c r="M34" s="1"/>
  <c r="L40"/>
  <c r="M40" s="1"/>
  <c r="L42"/>
  <c r="M42" s="1"/>
  <c r="L44"/>
  <c r="M44" s="1"/>
  <c r="L46"/>
  <c r="M46" s="1"/>
  <c r="L48"/>
  <c r="M48" s="1"/>
  <c r="L50"/>
  <c r="M50" s="1"/>
  <c r="I35"/>
  <c r="J35" s="1"/>
  <c r="I37"/>
  <c r="J37" s="1"/>
  <c r="I39"/>
  <c r="J39" s="1"/>
  <c r="I41"/>
  <c r="J41" s="1"/>
  <c r="I43"/>
  <c r="J43" s="1"/>
  <c r="I45"/>
  <c r="J45" s="1"/>
  <c r="I47"/>
  <c r="J47" s="1"/>
  <c r="I49"/>
  <c r="J49" s="1"/>
  <c r="I51"/>
  <c r="J51" s="1"/>
  <c r="I34"/>
  <c r="J34" s="1"/>
  <c r="I36"/>
  <c r="J36" s="1"/>
  <c r="I38"/>
  <c r="J38" s="1"/>
  <c r="I40"/>
  <c r="J40" s="1"/>
  <c r="I42"/>
  <c r="J42" s="1"/>
  <c r="I44"/>
  <c r="J44" s="1"/>
  <c r="I46"/>
  <c r="J46" s="1"/>
  <c r="I48"/>
  <c r="J48" s="1"/>
  <c r="I50"/>
  <c r="J50" s="1"/>
  <c r="E40" i="240"/>
  <c r="L35" i="771"/>
  <c r="M35" s="1"/>
  <c r="L37"/>
  <c r="M37" s="1"/>
  <c r="L39"/>
  <c r="M39" s="1"/>
  <c r="L41"/>
  <c r="M41" s="1"/>
  <c r="L36"/>
  <c r="M36" s="1"/>
  <c r="L38"/>
  <c r="M38" s="1"/>
  <c r="L40"/>
  <c r="M40" s="1"/>
  <c r="L42"/>
  <c r="M42" s="1"/>
  <c r="I35"/>
  <c r="J35" s="1"/>
  <c r="I37"/>
  <c r="J37" s="1"/>
  <c r="I39"/>
  <c r="J39" s="1"/>
  <c r="I41"/>
  <c r="J41" s="1"/>
  <c r="I36"/>
  <c r="J36" s="1"/>
  <c r="I38"/>
  <c r="J38" s="1"/>
  <c r="I40"/>
  <c r="J40" s="1"/>
  <c r="I42"/>
  <c r="J42" s="1"/>
  <c r="K34" i="770"/>
  <c r="K35"/>
  <c r="K36"/>
  <c r="K37"/>
  <c r="K38"/>
  <c r="K39"/>
  <c r="K40"/>
  <c r="K41"/>
  <c r="K42"/>
  <c r="K43"/>
  <c r="K44"/>
  <c r="K45"/>
  <c r="K46"/>
  <c r="K47"/>
  <c r="K48"/>
  <c r="K49"/>
  <c r="K50"/>
  <c r="K51"/>
  <c r="K52"/>
  <c r="K53"/>
  <c r="K54"/>
  <c r="K55"/>
  <c r="K56"/>
  <c r="K57"/>
  <c r="H34"/>
  <c r="H35"/>
  <c r="H36"/>
  <c r="H37"/>
  <c r="H38"/>
  <c r="H39"/>
  <c r="H40"/>
  <c r="H41"/>
  <c r="H42"/>
  <c r="H43"/>
  <c r="H44"/>
  <c r="H45"/>
  <c r="H46"/>
  <c r="H47"/>
  <c r="H48"/>
  <c r="H49"/>
  <c r="H50"/>
  <c r="H51"/>
  <c r="H52"/>
  <c r="H53"/>
  <c r="H54"/>
  <c r="H55"/>
  <c r="H56"/>
  <c r="H57"/>
  <c r="G34"/>
  <c r="G35"/>
  <c r="G36"/>
  <c r="G37"/>
  <c r="G38"/>
  <c r="G39"/>
  <c r="G40"/>
  <c r="G41"/>
  <c r="G42"/>
  <c r="G43"/>
  <c r="G44"/>
  <c r="G45"/>
  <c r="G46"/>
  <c r="G47"/>
  <c r="G48"/>
  <c r="G49"/>
  <c r="G50"/>
  <c r="G51"/>
  <c r="G52"/>
  <c r="G53"/>
  <c r="G54"/>
  <c r="G55"/>
  <c r="G56"/>
  <c r="G57"/>
  <c r="C27"/>
  <c r="F39" i="240" s="1"/>
  <c r="C5" i="770"/>
  <c r="C25" i="774"/>
  <c r="C24"/>
  <c r="C24" i="773"/>
  <c r="A42" i="770"/>
  <c r="C25" i="773"/>
  <c r="A36" i="771"/>
  <c r="C24" i="772"/>
  <c r="C24" i="771"/>
  <c r="C26" i="770"/>
  <c r="C28"/>
  <c r="C25" i="771"/>
  <c r="B42" i="720"/>
  <c r="A42"/>
  <c r="C29" i="770"/>
  <c r="C42" i="720"/>
  <c r="C25" i="772"/>
  <c r="D44" i="240" l="1"/>
  <c r="C44"/>
  <c r="D42"/>
  <c r="C42"/>
  <c r="D41"/>
  <c r="C41"/>
  <c r="D40"/>
  <c r="C40"/>
  <c r="E39"/>
  <c r="L34" i="770"/>
  <c r="M34" s="1"/>
  <c r="L37"/>
  <c r="M37" s="1"/>
  <c r="L39"/>
  <c r="M39" s="1"/>
  <c r="L41"/>
  <c r="M41" s="1"/>
  <c r="L42"/>
  <c r="M42" s="1"/>
  <c r="L43"/>
  <c r="M43" s="1"/>
  <c r="L44"/>
  <c r="M44" s="1"/>
  <c r="L46"/>
  <c r="M46" s="1"/>
  <c r="L48"/>
  <c r="M48" s="1"/>
  <c r="L50"/>
  <c r="M50" s="1"/>
  <c r="L52"/>
  <c r="M52" s="1"/>
  <c r="L55"/>
  <c r="M55" s="1"/>
  <c r="L57"/>
  <c r="M57" s="1"/>
  <c r="L35"/>
  <c r="M35" s="1"/>
  <c r="L36"/>
  <c r="M36" s="1"/>
  <c r="L38"/>
  <c r="M38" s="1"/>
  <c r="L40"/>
  <c r="M40" s="1"/>
  <c r="L45"/>
  <c r="M45" s="1"/>
  <c r="L47"/>
  <c r="M47" s="1"/>
  <c r="L49"/>
  <c r="M49" s="1"/>
  <c r="L51"/>
  <c r="M51" s="1"/>
  <c r="L53"/>
  <c r="M53" s="1"/>
  <c r="L54"/>
  <c r="M54" s="1"/>
  <c r="L56"/>
  <c r="M56" s="1"/>
  <c r="I34"/>
  <c r="J34" s="1"/>
  <c r="I37"/>
  <c r="J37" s="1"/>
  <c r="I39"/>
  <c r="J39" s="1"/>
  <c r="I41"/>
  <c r="J41" s="1"/>
  <c r="I42"/>
  <c r="J42" s="1"/>
  <c r="I43"/>
  <c r="J43" s="1"/>
  <c r="I44"/>
  <c r="J44" s="1"/>
  <c r="I46"/>
  <c r="J46" s="1"/>
  <c r="I48"/>
  <c r="J48" s="1"/>
  <c r="I50"/>
  <c r="J50" s="1"/>
  <c r="I52"/>
  <c r="J52" s="1"/>
  <c r="I55"/>
  <c r="J55" s="1"/>
  <c r="I57"/>
  <c r="J57" s="1"/>
  <c r="I35"/>
  <c r="J35" s="1"/>
  <c r="I36"/>
  <c r="J36" s="1"/>
  <c r="I38"/>
  <c r="J38" s="1"/>
  <c r="I40"/>
  <c r="J40" s="1"/>
  <c r="I45"/>
  <c r="J45" s="1"/>
  <c r="I47"/>
  <c r="J47" s="1"/>
  <c r="I49"/>
  <c r="J49" s="1"/>
  <c r="I51"/>
  <c r="J51" s="1"/>
  <c r="I53"/>
  <c r="J53" s="1"/>
  <c r="I54"/>
  <c r="J54" s="1"/>
  <c r="I56"/>
  <c r="J56" s="1"/>
  <c r="K33" i="769"/>
  <c r="K34"/>
  <c r="K35"/>
  <c r="K36"/>
  <c r="K37"/>
  <c r="H33"/>
  <c r="H34"/>
  <c r="H35"/>
  <c r="H36"/>
  <c r="H37"/>
  <c r="G33"/>
  <c r="G34"/>
  <c r="G35"/>
  <c r="G36"/>
  <c r="G37"/>
  <c r="C27"/>
  <c r="F37" i="240" s="1"/>
  <c r="C5" i="769"/>
  <c r="K34" i="768"/>
  <c r="K35"/>
  <c r="K36"/>
  <c r="K37"/>
  <c r="K38"/>
  <c r="K39"/>
  <c r="K40"/>
  <c r="K41"/>
  <c r="K42"/>
  <c r="K43"/>
  <c r="K44"/>
  <c r="K45"/>
  <c r="K46"/>
  <c r="H34"/>
  <c r="H35"/>
  <c r="H36"/>
  <c r="H37"/>
  <c r="H38"/>
  <c r="H39"/>
  <c r="H40"/>
  <c r="H41"/>
  <c r="H42"/>
  <c r="H43"/>
  <c r="H44"/>
  <c r="H45"/>
  <c r="H46"/>
  <c r="G34"/>
  <c r="G35"/>
  <c r="G36"/>
  <c r="G37"/>
  <c r="G38"/>
  <c r="G39"/>
  <c r="G40"/>
  <c r="G41"/>
  <c r="G42"/>
  <c r="G43"/>
  <c r="G44"/>
  <c r="G45"/>
  <c r="G46"/>
  <c r="C27"/>
  <c r="F32" i="240" s="1"/>
  <c r="C5" i="768"/>
  <c r="A37" i="771"/>
  <c r="C28" i="768"/>
  <c r="C29" i="769"/>
  <c r="C29" i="768"/>
  <c r="C26"/>
  <c r="C25" i="770"/>
  <c r="C26" i="769"/>
  <c r="C28"/>
  <c r="A43" i="770"/>
  <c r="C24"/>
  <c r="D39" i="240" l="1"/>
  <c r="C39"/>
  <c r="F31"/>
  <c r="L34" i="769"/>
  <c r="M34" s="1"/>
  <c r="E37" i="240"/>
  <c r="L33" i="769"/>
  <c r="M33" s="1"/>
  <c r="L35"/>
  <c r="M35" s="1"/>
  <c r="L37"/>
  <c r="M37" s="1"/>
  <c r="L36"/>
  <c r="M36" s="1"/>
  <c r="I33"/>
  <c r="J33" s="1"/>
  <c r="I35"/>
  <c r="J35" s="1"/>
  <c r="I37"/>
  <c r="J37" s="1"/>
  <c r="I34"/>
  <c r="J34" s="1"/>
  <c r="I36"/>
  <c r="J36" s="1"/>
  <c r="E32" i="240"/>
  <c r="E31" s="1"/>
  <c r="L35" i="768"/>
  <c r="M35" s="1"/>
  <c r="L37"/>
  <c r="M37" s="1"/>
  <c r="L39"/>
  <c r="M39" s="1"/>
  <c r="L41"/>
  <c r="M41" s="1"/>
  <c r="L43"/>
  <c r="M43" s="1"/>
  <c r="L45"/>
  <c r="M45" s="1"/>
  <c r="L34"/>
  <c r="M34" s="1"/>
  <c r="L36"/>
  <c r="M36" s="1"/>
  <c r="L38"/>
  <c r="M38" s="1"/>
  <c r="L40"/>
  <c r="M40" s="1"/>
  <c r="L42"/>
  <c r="M42" s="1"/>
  <c r="L44"/>
  <c r="M44" s="1"/>
  <c r="L46"/>
  <c r="M46" s="1"/>
  <c r="I35"/>
  <c r="J35" s="1"/>
  <c r="I37"/>
  <c r="J37" s="1"/>
  <c r="I39"/>
  <c r="J39" s="1"/>
  <c r="I41"/>
  <c r="J41" s="1"/>
  <c r="I43"/>
  <c r="J43" s="1"/>
  <c r="I45"/>
  <c r="J45" s="1"/>
  <c r="I34"/>
  <c r="J34" s="1"/>
  <c r="I36"/>
  <c r="J36" s="1"/>
  <c r="I38"/>
  <c r="J38" s="1"/>
  <c r="I40"/>
  <c r="J40" s="1"/>
  <c r="I42"/>
  <c r="J42" s="1"/>
  <c r="I44"/>
  <c r="J44" s="1"/>
  <c r="I46"/>
  <c r="J46" s="1"/>
  <c r="C12" i="761"/>
  <c r="C11"/>
  <c r="C10"/>
  <c r="C9"/>
  <c r="C8"/>
  <c r="C7"/>
  <c r="C6"/>
  <c r="C5"/>
  <c r="C12" i="759"/>
  <c r="C11"/>
  <c r="C10"/>
  <c r="C9"/>
  <c r="C8"/>
  <c r="C7"/>
  <c r="C6"/>
  <c r="C5"/>
  <c r="B33" i="240"/>
  <c r="B34"/>
  <c r="B42"/>
  <c r="B43"/>
  <c r="B45"/>
  <c r="B36"/>
  <c r="B35"/>
  <c r="B38"/>
  <c r="A44" i="770"/>
  <c r="A38" i="771"/>
  <c r="C25" i="768"/>
  <c r="C24"/>
  <c r="C24" i="769"/>
  <c r="C25"/>
  <c r="B39" i="240" l="1"/>
  <c r="AF21" i="761" a="1"/>
  <c r="AF21" s="1"/>
  <c r="AF19" a="1"/>
  <c r="AF19" s="1"/>
  <c r="AF17" a="1"/>
  <c r="AF17" s="1"/>
  <c r="AF26" a="1"/>
  <c r="AF26" s="1"/>
  <c r="AD22" a="1"/>
  <c r="AD22" s="1"/>
  <c r="AD20" a="1"/>
  <c r="AD20" s="1"/>
  <c r="AD18" a="1"/>
  <c r="AD18" s="1"/>
  <c r="AD16" a="1"/>
  <c r="AD16" s="1"/>
  <c r="AD25" a="1"/>
  <c r="AD25" s="1"/>
  <c r="AB21" a="1"/>
  <c r="AB21" s="1"/>
  <c r="AB19" a="1"/>
  <c r="AB19" s="1"/>
  <c r="AB17" a="1"/>
  <c r="AB17" s="1"/>
  <c r="AB26" a="1"/>
  <c r="AB26" s="1"/>
  <c r="Z22" a="1"/>
  <c r="Z22" s="1"/>
  <c r="Z20" a="1"/>
  <c r="Z20" s="1"/>
  <c r="Z18" a="1"/>
  <c r="Z18" s="1"/>
  <c r="Z16" a="1"/>
  <c r="Z16" s="1"/>
  <c r="Z25" a="1"/>
  <c r="Z25" s="1"/>
  <c r="X21" a="1"/>
  <c r="X21" s="1"/>
  <c r="X19" a="1"/>
  <c r="X19" s="1"/>
  <c r="X17" a="1"/>
  <c r="X17" s="1"/>
  <c r="X26" a="1"/>
  <c r="X26" s="1"/>
  <c r="V22" a="1"/>
  <c r="V22" s="1"/>
  <c r="V20" a="1"/>
  <c r="V20" s="1"/>
  <c r="V18" a="1"/>
  <c r="V18" s="1"/>
  <c r="V16" a="1"/>
  <c r="V16" s="1"/>
  <c r="V25" a="1"/>
  <c r="V25" s="1"/>
  <c r="T21" a="1"/>
  <c r="T21" s="1"/>
  <c r="T19" a="1"/>
  <c r="T19" s="1"/>
  <c r="T17" a="1"/>
  <c r="T17" s="1"/>
  <c r="T26" a="1"/>
  <c r="T26" s="1"/>
  <c r="R22" a="1"/>
  <c r="R22" s="1"/>
  <c r="R20" a="1"/>
  <c r="R20" s="1"/>
  <c r="R18" a="1"/>
  <c r="R18" s="1"/>
  <c r="R16" a="1"/>
  <c r="R16" s="1"/>
  <c r="R25" a="1"/>
  <c r="R25" s="1"/>
  <c r="P21" a="1"/>
  <c r="P21" s="1"/>
  <c r="P19" a="1"/>
  <c r="P19" s="1"/>
  <c r="P17" a="1"/>
  <c r="P17" s="1"/>
  <c r="P26" a="1"/>
  <c r="P26" s="1"/>
  <c r="N22" a="1"/>
  <c r="N22" s="1"/>
  <c r="N20" a="1"/>
  <c r="N20" s="1"/>
  <c r="N18" a="1"/>
  <c r="N18" s="1"/>
  <c r="N16" a="1"/>
  <c r="N16" s="1"/>
  <c r="N25" a="1"/>
  <c r="N25" s="1"/>
  <c r="L21" a="1"/>
  <c r="L21" s="1"/>
  <c r="L19" a="1"/>
  <c r="L19" s="1"/>
  <c r="L17" a="1"/>
  <c r="L17" s="1"/>
  <c r="L26" a="1"/>
  <c r="L26" s="1"/>
  <c r="J22" a="1"/>
  <c r="J22" s="1"/>
  <c r="J20" a="1"/>
  <c r="J20" s="1"/>
  <c r="J18" a="1"/>
  <c r="J18" s="1"/>
  <c r="J16" a="1"/>
  <c r="J16" s="1"/>
  <c r="J25" a="1"/>
  <c r="J25" s="1"/>
  <c r="H21" a="1"/>
  <c r="H21" s="1"/>
  <c r="H19" a="1"/>
  <c r="H19" s="1"/>
  <c r="H17" a="1"/>
  <c r="H17" s="1"/>
  <c r="H26" a="1"/>
  <c r="H26" s="1"/>
  <c r="F22" a="1"/>
  <c r="F22" s="1"/>
  <c r="F20" a="1"/>
  <c r="F20" s="1"/>
  <c r="F18" a="1"/>
  <c r="F18" s="1"/>
  <c r="F16" a="1"/>
  <c r="F16" s="1"/>
  <c r="F25" a="1"/>
  <c r="F25" s="1"/>
  <c r="AF22" a="1"/>
  <c r="AF22" s="1"/>
  <c r="AF20" a="1"/>
  <c r="AF20" s="1"/>
  <c r="AF18" a="1"/>
  <c r="AF18" s="1"/>
  <c r="AF16" a="1"/>
  <c r="AF16" s="1"/>
  <c r="AF25" a="1"/>
  <c r="AF25" s="1"/>
  <c r="AD21" a="1"/>
  <c r="AD21" s="1"/>
  <c r="AD19" a="1"/>
  <c r="AD19" s="1"/>
  <c r="AD17" a="1"/>
  <c r="AD17" s="1"/>
  <c r="AD26" a="1"/>
  <c r="AD26" s="1"/>
  <c r="AB22" a="1"/>
  <c r="AB22" s="1"/>
  <c r="AB20" a="1"/>
  <c r="AB20" s="1"/>
  <c r="AB18" a="1"/>
  <c r="AB18" s="1"/>
  <c r="AB16" a="1"/>
  <c r="AB16" s="1"/>
  <c r="AB25" a="1"/>
  <c r="AB25" s="1"/>
  <c r="Z21" a="1"/>
  <c r="Z21" s="1"/>
  <c r="Z19" a="1"/>
  <c r="Z19" s="1"/>
  <c r="Z17" a="1"/>
  <c r="Z17" s="1"/>
  <c r="Z26" a="1"/>
  <c r="Z26" s="1"/>
  <c r="X22" a="1"/>
  <c r="X22" s="1"/>
  <c r="X20" a="1"/>
  <c r="X20" s="1"/>
  <c r="X18" a="1"/>
  <c r="X18" s="1"/>
  <c r="X16" a="1"/>
  <c r="X16" s="1"/>
  <c r="X25" a="1"/>
  <c r="X25" s="1"/>
  <c r="V21" a="1"/>
  <c r="V21" s="1"/>
  <c r="V19" a="1"/>
  <c r="V19" s="1"/>
  <c r="V17" a="1"/>
  <c r="V17" s="1"/>
  <c r="V26" a="1"/>
  <c r="V26" s="1"/>
  <c r="T22" a="1"/>
  <c r="T22" s="1"/>
  <c r="T20" a="1"/>
  <c r="T20" s="1"/>
  <c r="T18" a="1"/>
  <c r="T18" s="1"/>
  <c r="T16" a="1"/>
  <c r="T16" s="1"/>
  <c r="T25" a="1"/>
  <c r="T25" s="1"/>
  <c r="R21" a="1"/>
  <c r="R21" s="1"/>
  <c r="R19" a="1"/>
  <c r="R19" s="1"/>
  <c r="R17" a="1"/>
  <c r="R17" s="1"/>
  <c r="R26" a="1"/>
  <c r="R26" s="1"/>
  <c r="P22" a="1"/>
  <c r="P22" s="1"/>
  <c r="P20" a="1"/>
  <c r="P20" s="1"/>
  <c r="P18" a="1"/>
  <c r="P18" s="1"/>
  <c r="P16" a="1"/>
  <c r="P16" s="1"/>
  <c r="P25" a="1"/>
  <c r="P25" s="1"/>
  <c r="N21" a="1"/>
  <c r="N21" s="1"/>
  <c r="N19" a="1"/>
  <c r="N19" s="1"/>
  <c r="N17" a="1"/>
  <c r="N17" s="1"/>
  <c r="N26" a="1"/>
  <c r="N26" s="1"/>
  <c r="L22" a="1"/>
  <c r="L22" s="1"/>
  <c r="L20" a="1"/>
  <c r="L20" s="1"/>
  <c r="L18" a="1"/>
  <c r="L18" s="1"/>
  <c r="L16" a="1"/>
  <c r="L16" s="1"/>
  <c r="L25" a="1"/>
  <c r="L25" s="1"/>
  <c r="J21" a="1"/>
  <c r="J21" s="1"/>
  <c r="J19" a="1"/>
  <c r="J19" s="1"/>
  <c r="J17" a="1"/>
  <c r="J17" s="1"/>
  <c r="J26" a="1"/>
  <c r="J26" s="1"/>
  <c r="H22" a="1"/>
  <c r="H22" s="1"/>
  <c r="H20" a="1"/>
  <c r="H20" s="1"/>
  <c r="H18" a="1"/>
  <c r="H18" s="1"/>
  <c r="H16" a="1"/>
  <c r="H16" s="1"/>
  <c r="H25" a="1"/>
  <c r="H25" s="1"/>
  <c r="F21" a="1"/>
  <c r="F21" s="1"/>
  <c r="F19" a="1"/>
  <c r="F19" s="1"/>
  <c r="F17" a="1"/>
  <c r="F17" s="1"/>
  <c r="F26" a="1"/>
  <c r="F26" s="1"/>
  <c r="AR21" i="759" a="1"/>
  <c r="AR21" s="1"/>
  <c r="AR19" a="1"/>
  <c r="AR19" s="1"/>
  <c r="AR17" a="1"/>
  <c r="AR17" s="1"/>
  <c r="AR16" a="1"/>
  <c r="AR16" s="1"/>
  <c r="AR25" a="1"/>
  <c r="AR25" s="1"/>
  <c r="AP21" a="1"/>
  <c r="AP21" s="1"/>
  <c r="AP19" a="1"/>
  <c r="AP19" s="1"/>
  <c r="AP17" a="1"/>
  <c r="AP17" s="1"/>
  <c r="AP26" a="1"/>
  <c r="AP26" s="1"/>
  <c r="AN22" a="1"/>
  <c r="AN22" s="1"/>
  <c r="AN20" a="1"/>
  <c r="AN20" s="1"/>
  <c r="AN18" a="1"/>
  <c r="AN18" s="1"/>
  <c r="AN16" a="1"/>
  <c r="AN16" s="1"/>
  <c r="AN25" a="1"/>
  <c r="AN25" s="1"/>
  <c r="AL21" a="1"/>
  <c r="AL21" s="1"/>
  <c r="AL19" a="1"/>
  <c r="AL19" s="1"/>
  <c r="AL17" a="1"/>
  <c r="AL17" s="1"/>
  <c r="AL26" a="1"/>
  <c r="AL26" s="1"/>
  <c r="AJ22" a="1"/>
  <c r="AJ22" s="1"/>
  <c r="AJ21" a="1"/>
  <c r="AJ21" s="1"/>
  <c r="AJ19" a="1"/>
  <c r="AJ19" s="1"/>
  <c r="AJ17" a="1"/>
  <c r="AJ17" s="1"/>
  <c r="AJ26" a="1"/>
  <c r="AJ26" s="1"/>
  <c r="AH22" a="1"/>
  <c r="AH22" s="1"/>
  <c r="AH21" a="1"/>
  <c r="AH21" s="1"/>
  <c r="AH19" a="1"/>
  <c r="AH19" s="1"/>
  <c r="AH17" a="1"/>
  <c r="AH17" s="1"/>
  <c r="AH26" a="1"/>
  <c r="AH26" s="1"/>
  <c r="AF22" a="1"/>
  <c r="AF22" s="1"/>
  <c r="AF21" a="1"/>
  <c r="AF21" s="1"/>
  <c r="AF19" a="1"/>
  <c r="AF19" s="1"/>
  <c r="AF17" a="1"/>
  <c r="AF17" s="1"/>
  <c r="AF26" a="1"/>
  <c r="AF26" s="1"/>
  <c r="AD22" a="1"/>
  <c r="AD22" s="1"/>
  <c r="AD20" a="1"/>
  <c r="AD20" s="1"/>
  <c r="AD18" a="1"/>
  <c r="AD18" s="1"/>
  <c r="AD16" a="1"/>
  <c r="AD16" s="1"/>
  <c r="AD25" a="1"/>
  <c r="AD25" s="1"/>
  <c r="AB21" a="1"/>
  <c r="AB21" s="1"/>
  <c r="AB19" a="1"/>
  <c r="AB19" s="1"/>
  <c r="AB17" a="1"/>
  <c r="AB17" s="1"/>
  <c r="AB26" a="1"/>
  <c r="AB26" s="1"/>
  <c r="Z22" a="1"/>
  <c r="Z22" s="1"/>
  <c r="Z20" a="1"/>
  <c r="Z20" s="1"/>
  <c r="Z18" a="1"/>
  <c r="Z18" s="1"/>
  <c r="Z16" a="1"/>
  <c r="Z16" s="1"/>
  <c r="Z25" a="1"/>
  <c r="Z25" s="1"/>
  <c r="X21" a="1"/>
  <c r="X21" s="1"/>
  <c r="X19" a="1"/>
  <c r="X19" s="1"/>
  <c r="X17" a="1"/>
  <c r="X17" s="1"/>
  <c r="X26" a="1"/>
  <c r="X26" s="1"/>
  <c r="V22" a="1"/>
  <c r="V22" s="1"/>
  <c r="V20" a="1"/>
  <c r="V20" s="1"/>
  <c r="V18" a="1"/>
  <c r="V18" s="1"/>
  <c r="V16" a="1"/>
  <c r="V16" s="1"/>
  <c r="V25" a="1"/>
  <c r="V25" s="1"/>
  <c r="T21" a="1"/>
  <c r="T21" s="1"/>
  <c r="T19" a="1"/>
  <c r="T19" s="1"/>
  <c r="T17" a="1"/>
  <c r="T17" s="1"/>
  <c r="T26" a="1"/>
  <c r="T26" s="1"/>
  <c r="R22" a="1"/>
  <c r="R22" s="1"/>
  <c r="R20" a="1"/>
  <c r="R20" s="1"/>
  <c r="R18" a="1"/>
  <c r="R18" s="1"/>
  <c r="R16" a="1"/>
  <c r="R16" s="1"/>
  <c r="R25" a="1"/>
  <c r="R25" s="1"/>
  <c r="P21" a="1"/>
  <c r="P21" s="1"/>
  <c r="P19" a="1"/>
  <c r="P19" s="1"/>
  <c r="P17" a="1"/>
  <c r="P17" s="1"/>
  <c r="P25" a="1"/>
  <c r="P25" s="1"/>
  <c r="N21" a="1"/>
  <c r="N21" s="1"/>
  <c r="N19" a="1"/>
  <c r="N19" s="1"/>
  <c r="N17" a="1"/>
  <c r="N17" s="1"/>
  <c r="N26" a="1"/>
  <c r="N26" s="1"/>
  <c r="L22" a="1"/>
  <c r="L22" s="1"/>
  <c r="L20" a="1"/>
  <c r="L20" s="1"/>
  <c r="L18" a="1"/>
  <c r="L18" s="1"/>
  <c r="L16" a="1"/>
  <c r="L16" s="1"/>
  <c r="L25" a="1"/>
  <c r="L25" s="1"/>
  <c r="J21" a="1"/>
  <c r="J21" s="1"/>
  <c r="J17" a="1"/>
  <c r="J17" s="1"/>
  <c r="J26" a="1"/>
  <c r="J26" s="1"/>
  <c r="H22" a="1"/>
  <c r="H22" s="1"/>
  <c r="H20" a="1"/>
  <c r="H20" s="1"/>
  <c r="H18" a="1"/>
  <c r="H18" s="1"/>
  <c r="H16" a="1"/>
  <c r="H16" s="1"/>
  <c r="H25" a="1"/>
  <c r="H25" s="1"/>
  <c r="F21" a="1"/>
  <c r="F21" s="1"/>
  <c r="F19" a="1"/>
  <c r="F19" s="1"/>
  <c r="F17" a="1"/>
  <c r="F17" s="1"/>
  <c r="F26" a="1"/>
  <c r="F26" s="1"/>
  <c r="F25" a="1"/>
  <c r="F25" s="1"/>
  <c r="AR22" a="1"/>
  <c r="AR22" s="1"/>
  <c r="AR20" a="1"/>
  <c r="AR20" s="1"/>
  <c r="AR18" a="1"/>
  <c r="AR18" s="1"/>
  <c r="AR26" a="1"/>
  <c r="AR26" s="1"/>
  <c r="AP22" a="1"/>
  <c r="AP22" s="1"/>
  <c r="AP20" a="1"/>
  <c r="AP20" s="1"/>
  <c r="AP18" a="1"/>
  <c r="AP18" s="1"/>
  <c r="AP16" a="1"/>
  <c r="AP16" s="1"/>
  <c r="AP25" a="1"/>
  <c r="AP25" s="1"/>
  <c r="AN21" a="1"/>
  <c r="AN21" s="1"/>
  <c r="AN19" a="1"/>
  <c r="AN19" s="1"/>
  <c r="AN17" a="1"/>
  <c r="AN17" s="1"/>
  <c r="AN26" a="1"/>
  <c r="AN26" s="1"/>
  <c r="AL22" a="1"/>
  <c r="AL22" s="1"/>
  <c r="AL20" a="1"/>
  <c r="AL20" s="1"/>
  <c r="AL18" a="1"/>
  <c r="AL18" s="1"/>
  <c r="AL16" a="1"/>
  <c r="AL16" s="1"/>
  <c r="AL25" a="1"/>
  <c r="AL25" s="1"/>
  <c r="AJ20" a="1"/>
  <c r="AJ20" s="1"/>
  <c r="AJ18" a="1"/>
  <c r="AJ18" s="1"/>
  <c r="AJ16" a="1"/>
  <c r="AJ16" s="1"/>
  <c r="AJ25" a="1"/>
  <c r="AJ25" s="1"/>
  <c r="AH20" a="1"/>
  <c r="AH20" s="1"/>
  <c r="AH18" a="1"/>
  <c r="AH18" s="1"/>
  <c r="AH16" a="1"/>
  <c r="AH16" s="1"/>
  <c r="AH25" a="1"/>
  <c r="AH25" s="1"/>
  <c r="AF20" a="1"/>
  <c r="AF20" s="1"/>
  <c r="AF18" a="1"/>
  <c r="AF18" s="1"/>
  <c r="AF16" a="1"/>
  <c r="AF16" s="1"/>
  <c r="AF25" a="1"/>
  <c r="AF25" s="1"/>
  <c r="AD21" a="1"/>
  <c r="AD21" s="1"/>
  <c r="AD19" a="1"/>
  <c r="AD19" s="1"/>
  <c r="AD17" a="1"/>
  <c r="AD17" s="1"/>
  <c r="AD26" a="1"/>
  <c r="AD26" s="1"/>
  <c r="AB22" a="1"/>
  <c r="AB22" s="1"/>
  <c r="AB20" a="1"/>
  <c r="AB20" s="1"/>
  <c r="AB18" a="1"/>
  <c r="AB18" s="1"/>
  <c r="AB16" a="1"/>
  <c r="AB16" s="1"/>
  <c r="AB25" a="1"/>
  <c r="AB25" s="1"/>
  <c r="Z21" a="1"/>
  <c r="Z21" s="1"/>
  <c r="Z19" a="1"/>
  <c r="Z19" s="1"/>
  <c r="Z17" a="1"/>
  <c r="Z17" s="1"/>
  <c r="Z26" a="1"/>
  <c r="Z26" s="1"/>
  <c r="X22" a="1"/>
  <c r="X22" s="1"/>
  <c r="X20" a="1"/>
  <c r="X20" s="1"/>
  <c r="X18" a="1"/>
  <c r="X18" s="1"/>
  <c r="X16" a="1"/>
  <c r="X16" s="1"/>
  <c r="X25" a="1"/>
  <c r="X25" s="1"/>
  <c r="V21" a="1"/>
  <c r="V21" s="1"/>
  <c r="V19" a="1"/>
  <c r="V19" s="1"/>
  <c r="V17" a="1"/>
  <c r="V17" s="1"/>
  <c r="V26" a="1"/>
  <c r="V26" s="1"/>
  <c r="T22" a="1"/>
  <c r="T22" s="1"/>
  <c r="T20" a="1"/>
  <c r="T20" s="1"/>
  <c r="T18" a="1"/>
  <c r="T18" s="1"/>
  <c r="T16" a="1"/>
  <c r="T16" s="1"/>
  <c r="T25" a="1"/>
  <c r="T25" s="1"/>
  <c r="R21" a="1"/>
  <c r="R21" s="1"/>
  <c r="R19" a="1"/>
  <c r="R19" s="1"/>
  <c r="R17" a="1"/>
  <c r="R17" s="1"/>
  <c r="R26" a="1"/>
  <c r="R26" s="1"/>
  <c r="P22" a="1"/>
  <c r="P22" s="1"/>
  <c r="P20" a="1"/>
  <c r="P20" s="1"/>
  <c r="P18" a="1"/>
  <c r="P18" s="1"/>
  <c r="P16" a="1"/>
  <c r="P16" s="1"/>
  <c r="P26" a="1"/>
  <c r="P26" s="1"/>
  <c r="N22" a="1"/>
  <c r="N22" s="1"/>
  <c r="N20" a="1"/>
  <c r="N20" s="1"/>
  <c r="N18" a="1"/>
  <c r="N18" s="1"/>
  <c r="N16" a="1"/>
  <c r="N16" s="1"/>
  <c r="N25" a="1"/>
  <c r="N25" s="1"/>
  <c r="L21" a="1"/>
  <c r="L21" s="1"/>
  <c r="L19" a="1"/>
  <c r="L19" s="1"/>
  <c r="L17" a="1"/>
  <c r="L17" s="1"/>
  <c r="L26" a="1"/>
  <c r="L26" s="1"/>
  <c r="J22" a="1"/>
  <c r="J22" s="1"/>
  <c r="J20" a="1"/>
  <c r="J20" s="1"/>
  <c r="J19" a="1"/>
  <c r="J19" s="1"/>
  <c r="J18" a="1"/>
  <c r="J18" s="1"/>
  <c r="J16" a="1"/>
  <c r="J16" s="1"/>
  <c r="J25" a="1"/>
  <c r="J25" s="1"/>
  <c r="H21" a="1"/>
  <c r="H21" s="1"/>
  <c r="H19" a="1"/>
  <c r="H19" s="1"/>
  <c r="H17" a="1"/>
  <c r="H17" s="1"/>
  <c r="H26" a="1"/>
  <c r="H26" s="1"/>
  <c r="F22" a="1"/>
  <c r="F22" s="1"/>
  <c r="F20" a="1"/>
  <c r="F20" s="1"/>
  <c r="F18" a="1"/>
  <c r="F18" s="1"/>
  <c r="F16" a="1"/>
  <c r="F16" s="1"/>
  <c r="D37" i="240"/>
  <c r="C37"/>
  <c r="D32"/>
  <c r="D31" s="1"/>
  <c r="C32"/>
  <c r="C31" s="1"/>
  <c r="K7" i="712"/>
  <c r="K8"/>
  <c r="K13"/>
  <c r="K5"/>
  <c r="K11"/>
  <c r="C7"/>
  <c r="K6"/>
  <c r="C18"/>
  <c r="C21"/>
  <c r="C13"/>
  <c r="K16"/>
  <c r="C19"/>
  <c r="C23"/>
  <c r="K15"/>
  <c r="K10"/>
  <c r="C16"/>
  <c r="C10"/>
  <c r="C20"/>
  <c r="C8"/>
  <c r="K14"/>
  <c r="C5"/>
  <c r="C15"/>
  <c r="K12"/>
  <c r="K17"/>
  <c r="C6"/>
  <c r="C9"/>
  <c r="C12"/>
  <c r="K4"/>
  <c r="A39" i="771"/>
  <c r="C23" i="761" a="1"/>
  <c r="C22" i="712"/>
  <c r="C17"/>
  <c r="K9"/>
  <c r="C11"/>
  <c r="C4"/>
  <c r="C14"/>
  <c r="C26" i="761" l="1"/>
  <c r="C25"/>
  <c r="AF23"/>
  <c r="AB23"/>
  <c r="X23"/>
  <c r="T23"/>
  <c r="P23"/>
  <c r="L23"/>
  <c r="H23"/>
  <c r="AD23"/>
  <c r="Z23"/>
  <c r="V23"/>
  <c r="R23"/>
  <c r="N23"/>
  <c r="J23"/>
  <c r="F23"/>
  <c r="C25" i="759"/>
  <c r="AR23"/>
  <c r="AP23"/>
  <c r="AL23"/>
  <c r="AB23"/>
  <c r="X23"/>
  <c r="T23"/>
  <c r="P23"/>
  <c r="N23"/>
  <c r="J23"/>
  <c r="F23"/>
  <c r="AN23"/>
  <c r="AJ23"/>
  <c r="AH23"/>
  <c r="AF23"/>
  <c r="AD23"/>
  <c r="Z23"/>
  <c r="V23"/>
  <c r="R23"/>
  <c r="L23"/>
  <c r="H23"/>
  <c r="C26"/>
  <c r="C23" i="761"/>
  <c r="B44" i="240"/>
  <c r="B41"/>
  <c r="B40"/>
  <c r="I11" i="744"/>
  <c r="I12"/>
  <c r="I13"/>
  <c r="I14"/>
  <c r="I15"/>
  <c r="I16"/>
  <c r="I17"/>
  <c r="I18"/>
  <c r="I19"/>
  <c r="I20"/>
  <c r="I21"/>
  <c r="I22"/>
  <c r="I23"/>
  <c r="I24"/>
  <c r="I25"/>
  <c r="I26"/>
  <c r="I27"/>
  <c r="I28"/>
  <c r="I29"/>
  <c r="I30"/>
  <c r="I31"/>
  <c r="I32"/>
  <c r="I33"/>
  <c r="I34"/>
  <c r="I35"/>
  <c r="I36"/>
  <c r="I37"/>
  <c r="I38"/>
  <c r="I39"/>
  <c r="I40"/>
  <c r="I41"/>
  <c r="I42"/>
  <c r="I43"/>
  <c r="I44"/>
  <c r="I45"/>
  <c r="I46"/>
  <c r="I47"/>
  <c r="I48"/>
  <c r="I49"/>
  <c r="I50"/>
  <c r="I51"/>
  <c r="I52"/>
  <c r="I53"/>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H31"/>
  <c r="J31" s="1"/>
  <c r="H32"/>
  <c r="J32" s="1"/>
  <c r="H33"/>
  <c r="J33" s="1"/>
  <c r="H34"/>
  <c r="J34" s="1"/>
  <c r="H35"/>
  <c r="J35" s="1"/>
  <c r="H36"/>
  <c r="J36" s="1"/>
  <c r="H37"/>
  <c r="J37" s="1"/>
  <c r="H38"/>
  <c r="J38" s="1"/>
  <c r="H39"/>
  <c r="J39" s="1"/>
  <c r="H40"/>
  <c r="J40" s="1"/>
  <c r="H41"/>
  <c r="J41" s="1"/>
  <c r="H42"/>
  <c r="J42" s="1"/>
  <c r="H43"/>
  <c r="J43" s="1"/>
  <c r="H44"/>
  <c r="J44" s="1"/>
  <c r="H45"/>
  <c r="J45" s="1"/>
  <c r="H46"/>
  <c r="J46" s="1"/>
  <c r="H47"/>
  <c r="J47" s="1"/>
  <c r="H48"/>
  <c r="J48" s="1"/>
  <c r="H49"/>
  <c r="J49" s="1"/>
  <c r="H50"/>
  <c r="J50" s="1"/>
  <c r="H51"/>
  <c r="J51" s="1"/>
  <c r="H52"/>
  <c r="J52" s="1"/>
  <c r="H53"/>
  <c r="J53" s="1"/>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B7"/>
  <c r="F11"/>
  <c r="F12"/>
  <c r="F13"/>
  <c r="F14"/>
  <c r="F15"/>
  <c r="F16"/>
  <c r="F17"/>
  <c r="F18"/>
  <c r="F19"/>
  <c r="F20"/>
  <c r="F21"/>
  <c r="F22"/>
  <c r="F23"/>
  <c r="F24"/>
  <c r="F25"/>
  <c r="F26"/>
  <c r="F27"/>
  <c r="F28"/>
  <c r="F29"/>
  <c r="F30"/>
  <c r="F31"/>
  <c r="F32"/>
  <c r="F33"/>
  <c r="F34"/>
  <c r="F35"/>
  <c r="F37"/>
  <c r="F38"/>
  <c r="F39"/>
  <c r="F40"/>
  <c r="F41"/>
  <c r="F42"/>
  <c r="F43"/>
  <c r="F44"/>
  <c r="F45"/>
  <c r="F46"/>
  <c r="F47"/>
  <c r="F48"/>
  <c r="F49"/>
  <c r="F50"/>
  <c r="F51"/>
  <c r="F52"/>
  <c r="F53"/>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B6"/>
  <c r="D11"/>
  <c r="D12"/>
  <c r="D13"/>
  <c r="D14"/>
  <c r="D15"/>
  <c r="D16"/>
  <c r="D17"/>
  <c r="D18"/>
  <c r="D19"/>
  <c r="D20"/>
  <c r="D21"/>
  <c r="D22"/>
  <c r="D23"/>
  <c r="D24"/>
  <c r="D25"/>
  <c r="D26"/>
  <c r="D27"/>
  <c r="D28"/>
  <c r="D29"/>
  <c r="D30"/>
  <c r="D31"/>
  <c r="D32"/>
  <c r="D33"/>
  <c r="D34"/>
  <c r="D35"/>
  <c r="D37"/>
  <c r="D38"/>
  <c r="D39"/>
  <c r="D40"/>
  <c r="D41"/>
  <c r="D42"/>
  <c r="D43"/>
  <c r="D44"/>
  <c r="D45"/>
  <c r="D46"/>
  <c r="D47"/>
  <c r="D48"/>
  <c r="D49"/>
  <c r="D50"/>
  <c r="D51"/>
  <c r="D52"/>
  <c r="D53"/>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B5"/>
  <c r="B4"/>
  <c r="I11" i="741"/>
  <c r="I12"/>
  <c r="I13"/>
  <c r="I14"/>
  <c r="I15"/>
  <c r="I16"/>
  <c r="I17"/>
  <c r="I18"/>
  <c r="I19"/>
  <c r="I20"/>
  <c r="I21"/>
  <c r="I22"/>
  <c r="I23"/>
  <c r="I24"/>
  <c r="I25"/>
  <c r="I26"/>
  <c r="I27"/>
  <c r="I28"/>
  <c r="I29"/>
  <c r="I30"/>
  <c r="I31"/>
  <c r="I32"/>
  <c r="I33"/>
  <c r="I34"/>
  <c r="I35"/>
  <c r="I36"/>
  <c r="I37"/>
  <c r="I38"/>
  <c r="I39"/>
  <c r="I40"/>
  <c r="I41"/>
  <c r="I42"/>
  <c r="I43"/>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H31"/>
  <c r="J31" s="1"/>
  <c r="H32"/>
  <c r="J32" s="1"/>
  <c r="H33"/>
  <c r="J33" s="1"/>
  <c r="H34"/>
  <c r="J34" s="1"/>
  <c r="H35"/>
  <c r="J35" s="1"/>
  <c r="H36"/>
  <c r="J36" s="1"/>
  <c r="H37"/>
  <c r="J37" s="1"/>
  <c r="H38"/>
  <c r="J38" s="1"/>
  <c r="H39"/>
  <c r="J39" s="1"/>
  <c r="H40"/>
  <c r="J40" s="1"/>
  <c r="H41"/>
  <c r="J41" s="1"/>
  <c r="H42"/>
  <c r="J42" s="1"/>
  <c r="H43"/>
  <c r="J43" s="1"/>
  <c r="G11"/>
  <c r="G12"/>
  <c r="G13"/>
  <c r="G14"/>
  <c r="G15"/>
  <c r="G16"/>
  <c r="G17"/>
  <c r="G18"/>
  <c r="G19"/>
  <c r="G20"/>
  <c r="G21"/>
  <c r="G22"/>
  <c r="G23"/>
  <c r="G24"/>
  <c r="G25"/>
  <c r="G26"/>
  <c r="G27"/>
  <c r="G28"/>
  <c r="G29"/>
  <c r="G30"/>
  <c r="G31"/>
  <c r="G32"/>
  <c r="G33"/>
  <c r="G34"/>
  <c r="G35"/>
  <c r="G36"/>
  <c r="G37"/>
  <c r="G38"/>
  <c r="G39"/>
  <c r="G40"/>
  <c r="G41"/>
  <c r="G42"/>
  <c r="G43"/>
  <c r="B7"/>
  <c r="F11"/>
  <c r="F12"/>
  <c r="F13"/>
  <c r="F14"/>
  <c r="F15"/>
  <c r="F16"/>
  <c r="F17"/>
  <c r="F18"/>
  <c r="F19"/>
  <c r="F20"/>
  <c r="F21"/>
  <c r="F24"/>
  <c r="F25"/>
  <c r="F26"/>
  <c r="F27"/>
  <c r="F28"/>
  <c r="F29"/>
  <c r="F30"/>
  <c r="F31"/>
  <c r="F32"/>
  <c r="F33"/>
  <c r="F34"/>
  <c r="F35"/>
  <c r="F36"/>
  <c r="F37"/>
  <c r="F38"/>
  <c r="F39"/>
  <c r="F40"/>
  <c r="F41"/>
  <c r="F42"/>
  <c r="F43"/>
  <c r="E11"/>
  <c r="E12"/>
  <c r="E13"/>
  <c r="E14"/>
  <c r="E15"/>
  <c r="E16"/>
  <c r="E17"/>
  <c r="E18"/>
  <c r="E19"/>
  <c r="E20"/>
  <c r="E21"/>
  <c r="E22"/>
  <c r="E23"/>
  <c r="E24"/>
  <c r="E25"/>
  <c r="E26"/>
  <c r="E27"/>
  <c r="E28"/>
  <c r="E29"/>
  <c r="E30"/>
  <c r="E31"/>
  <c r="E32"/>
  <c r="E33"/>
  <c r="E34"/>
  <c r="E35"/>
  <c r="E36"/>
  <c r="E37"/>
  <c r="E38"/>
  <c r="E39"/>
  <c r="E40"/>
  <c r="E41"/>
  <c r="E42"/>
  <c r="E43"/>
  <c r="B6"/>
  <c r="D11"/>
  <c r="D12"/>
  <c r="D13"/>
  <c r="D14"/>
  <c r="D15"/>
  <c r="D16"/>
  <c r="D17"/>
  <c r="D18"/>
  <c r="D19"/>
  <c r="D20"/>
  <c r="D21"/>
  <c r="D24"/>
  <c r="D25"/>
  <c r="D26"/>
  <c r="D27"/>
  <c r="D28"/>
  <c r="D29"/>
  <c r="D30"/>
  <c r="D31"/>
  <c r="D32"/>
  <c r="D33"/>
  <c r="D34"/>
  <c r="D35"/>
  <c r="D36"/>
  <c r="D37"/>
  <c r="D38"/>
  <c r="D39"/>
  <c r="D40"/>
  <c r="D41"/>
  <c r="D42"/>
  <c r="D43"/>
  <c r="C11"/>
  <c r="C12"/>
  <c r="C13"/>
  <c r="C14"/>
  <c r="C15"/>
  <c r="C16"/>
  <c r="C17"/>
  <c r="C18"/>
  <c r="C19"/>
  <c r="C20"/>
  <c r="C21"/>
  <c r="C22"/>
  <c r="C23"/>
  <c r="C24"/>
  <c r="C25"/>
  <c r="C26"/>
  <c r="C27"/>
  <c r="C28"/>
  <c r="C29"/>
  <c r="C30"/>
  <c r="C31"/>
  <c r="C32"/>
  <c r="C33"/>
  <c r="C34"/>
  <c r="C35"/>
  <c r="C36"/>
  <c r="C37"/>
  <c r="C38"/>
  <c r="C39"/>
  <c r="C40"/>
  <c r="C41"/>
  <c r="C42"/>
  <c r="C43"/>
  <c r="B5"/>
  <c r="B4"/>
  <c r="C12" i="739"/>
  <c r="C11"/>
  <c r="C10"/>
  <c r="C9"/>
  <c r="C8"/>
  <c r="C7"/>
  <c r="C6"/>
  <c r="C5"/>
  <c r="I11" i="738"/>
  <c r="I12"/>
  <c r="I13"/>
  <c r="I14"/>
  <c r="I15"/>
  <c r="I16"/>
  <c r="I17"/>
  <c r="I18"/>
  <c r="I19"/>
  <c r="I20"/>
  <c r="I21"/>
  <c r="I22"/>
  <c r="I23"/>
  <c r="I24"/>
  <c r="I25"/>
  <c r="I26"/>
  <c r="I27"/>
  <c r="I28"/>
  <c r="I29"/>
  <c r="I30"/>
  <c r="B8"/>
  <c r="H11"/>
  <c r="J11" s="1"/>
  <c r="H12"/>
  <c r="J12" s="1"/>
  <c r="H13"/>
  <c r="J13" s="1"/>
  <c r="H14"/>
  <c r="J14" s="1"/>
  <c r="H15"/>
  <c r="J15" s="1"/>
  <c r="H16"/>
  <c r="J16" s="1"/>
  <c r="H17"/>
  <c r="J17" s="1"/>
  <c r="H18"/>
  <c r="J18" s="1"/>
  <c r="H19"/>
  <c r="J19" s="1"/>
  <c r="H20"/>
  <c r="J20" s="1"/>
  <c r="H21"/>
  <c r="J21" s="1"/>
  <c r="H22"/>
  <c r="J22" s="1"/>
  <c r="H23"/>
  <c r="J23" s="1"/>
  <c r="H24"/>
  <c r="J24" s="1"/>
  <c r="H25"/>
  <c r="J25" s="1"/>
  <c r="H26"/>
  <c r="J26" s="1"/>
  <c r="H27"/>
  <c r="J27" s="1"/>
  <c r="H28"/>
  <c r="J28" s="1"/>
  <c r="H29"/>
  <c r="J29" s="1"/>
  <c r="H30"/>
  <c r="J30" s="1"/>
  <c r="G11"/>
  <c r="G12"/>
  <c r="G13"/>
  <c r="G14"/>
  <c r="G15"/>
  <c r="G16"/>
  <c r="G17"/>
  <c r="G18"/>
  <c r="G19"/>
  <c r="G20"/>
  <c r="G21"/>
  <c r="G22"/>
  <c r="G23"/>
  <c r="G24"/>
  <c r="G25"/>
  <c r="G26"/>
  <c r="G27"/>
  <c r="G28"/>
  <c r="G29"/>
  <c r="G30"/>
  <c r="B7"/>
  <c r="F11"/>
  <c r="F12"/>
  <c r="F13"/>
  <c r="F14"/>
  <c r="F15"/>
  <c r="F16"/>
  <c r="F17"/>
  <c r="F18"/>
  <c r="F19"/>
  <c r="F20"/>
  <c r="F21"/>
  <c r="F22"/>
  <c r="F23"/>
  <c r="F24"/>
  <c r="F25"/>
  <c r="F26"/>
  <c r="F27"/>
  <c r="F29"/>
  <c r="F30"/>
  <c r="E11"/>
  <c r="E12"/>
  <c r="E13"/>
  <c r="E14"/>
  <c r="E15"/>
  <c r="E16"/>
  <c r="E17"/>
  <c r="E18"/>
  <c r="E19"/>
  <c r="E20"/>
  <c r="E21"/>
  <c r="E22"/>
  <c r="E23"/>
  <c r="E24"/>
  <c r="E25"/>
  <c r="E26"/>
  <c r="E27"/>
  <c r="E28"/>
  <c r="E29"/>
  <c r="E30"/>
  <c r="B6"/>
  <c r="D11"/>
  <c r="D12"/>
  <c r="D13"/>
  <c r="D14"/>
  <c r="D15"/>
  <c r="D16"/>
  <c r="D17"/>
  <c r="D18"/>
  <c r="D19"/>
  <c r="D20"/>
  <c r="D21"/>
  <c r="D22"/>
  <c r="D23"/>
  <c r="D24"/>
  <c r="D25"/>
  <c r="D26"/>
  <c r="D27"/>
  <c r="D29"/>
  <c r="D30"/>
  <c r="C11"/>
  <c r="C12"/>
  <c r="C13"/>
  <c r="C14"/>
  <c r="C15"/>
  <c r="C16"/>
  <c r="C17"/>
  <c r="C18"/>
  <c r="C19"/>
  <c r="C20"/>
  <c r="C21"/>
  <c r="C22"/>
  <c r="C23"/>
  <c r="C24"/>
  <c r="C25"/>
  <c r="C26"/>
  <c r="C27"/>
  <c r="C28"/>
  <c r="C29"/>
  <c r="C30"/>
  <c r="B5"/>
  <c r="B4"/>
  <c r="L28" i="739"/>
  <c r="AP28" i="759"/>
  <c r="Y29"/>
  <c r="F28"/>
  <c r="AN28"/>
  <c r="Q29"/>
  <c r="AH28" i="761"/>
  <c r="W28" i="739"/>
  <c r="AF28" i="759"/>
  <c r="AM29"/>
  <c r="AO29"/>
  <c r="I29" i="739"/>
  <c r="X28" i="759"/>
  <c r="T28" i="739"/>
  <c r="Q29" i="761"/>
  <c r="V28" i="739"/>
  <c r="AA29" i="759"/>
  <c r="AD28" i="761"/>
  <c r="M29" i="759"/>
  <c r="R28"/>
  <c r="N28" i="739"/>
  <c r="P28" i="759"/>
  <c r="U29" i="761"/>
  <c r="U29" i="739"/>
  <c r="J28" i="761"/>
  <c r="G29" i="739"/>
  <c r="AH28" i="759"/>
  <c r="V28" i="761"/>
  <c r="V28" i="759"/>
  <c r="AS29"/>
  <c r="H28" i="739"/>
  <c r="F28" i="761"/>
  <c r="K29" i="739"/>
  <c r="O29" i="759"/>
  <c r="M29" i="739"/>
  <c r="AL28" i="759"/>
  <c r="N28" i="761"/>
  <c r="AG29"/>
  <c r="Q29" i="739"/>
  <c r="AE29" i="761"/>
  <c r="AC29" i="759"/>
  <c r="Y29" i="761"/>
  <c r="O29"/>
  <c r="S29"/>
  <c r="S29" i="759"/>
  <c r="AG29"/>
  <c r="U29"/>
  <c r="R28" i="739"/>
  <c r="L28" i="759"/>
  <c r="J28"/>
  <c r="R28" i="761"/>
  <c r="K29"/>
  <c r="AQ29" i="759"/>
  <c r="AJ28"/>
  <c r="O29" i="739"/>
  <c r="M29" i="761"/>
  <c r="AB28" i="759"/>
  <c r="K29"/>
  <c r="Z28" i="761"/>
  <c r="AA29"/>
  <c r="S29" i="739"/>
  <c r="W29" i="759"/>
  <c r="H28" i="761"/>
  <c r="AE29" i="759"/>
  <c r="H28"/>
  <c r="I29"/>
  <c r="AC29" i="761"/>
  <c r="G29"/>
  <c r="AB28"/>
  <c r="T28"/>
  <c r="N28" i="759"/>
  <c r="AD28"/>
  <c r="G29"/>
  <c r="L28" i="761"/>
  <c r="X28"/>
  <c r="P28"/>
  <c r="AF28"/>
  <c r="AI28"/>
  <c r="P28" i="739"/>
  <c r="T28" i="759"/>
  <c r="I29" i="761"/>
  <c r="AR28" i="759"/>
  <c r="Z28"/>
  <c r="F28" i="739"/>
  <c r="AI29" i="759"/>
  <c r="J28" i="739"/>
  <c r="AK29" i="759"/>
  <c r="AT28"/>
  <c r="W29" i="761"/>
  <c r="M2" i="712" l="1"/>
  <c r="L2" s="1"/>
  <c r="W21" i="739" a="1"/>
  <c r="W21" s="1"/>
  <c r="W19" a="1"/>
  <c r="W19" s="1"/>
  <c r="W17" a="1"/>
  <c r="W17" s="1"/>
  <c r="W26" a="1"/>
  <c r="W26" s="1"/>
  <c r="T22" a="1"/>
  <c r="T22" s="1"/>
  <c r="T20" a="1"/>
  <c r="T20" s="1"/>
  <c r="T18" a="1"/>
  <c r="T18" s="1"/>
  <c r="T16" a="1"/>
  <c r="T16" s="1"/>
  <c r="T25" a="1"/>
  <c r="T25" s="1"/>
  <c r="R21" a="1"/>
  <c r="R21" s="1"/>
  <c r="R19" a="1"/>
  <c r="R19" s="1"/>
  <c r="R17" a="1"/>
  <c r="R17" s="1"/>
  <c r="R26" a="1"/>
  <c r="R26" s="1"/>
  <c r="P22" a="1"/>
  <c r="P22" s="1"/>
  <c r="P20" a="1"/>
  <c r="P20" s="1"/>
  <c r="P18" a="1"/>
  <c r="P18" s="1"/>
  <c r="P16" a="1"/>
  <c r="P16" s="1"/>
  <c r="P25" a="1"/>
  <c r="P25" s="1"/>
  <c r="N21" a="1"/>
  <c r="N21" s="1"/>
  <c r="N19" a="1"/>
  <c r="N19" s="1"/>
  <c r="N17" a="1"/>
  <c r="N17" s="1"/>
  <c r="N26" a="1"/>
  <c r="N26" s="1"/>
  <c r="L22" a="1"/>
  <c r="L22" s="1"/>
  <c r="L20" a="1"/>
  <c r="L20" s="1"/>
  <c r="L18" a="1"/>
  <c r="L18" s="1"/>
  <c r="L16" a="1"/>
  <c r="L16" s="1"/>
  <c r="L25" a="1"/>
  <c r="L25" s="1"/>
  <c r="J21" a="1"/>
  <c r="J21" s="1"/>
  <c r="J19" a="1"/>
  <c r="J19" s="1"/>
  <c r="J17" a="1"/>
  <c r="J17" s="1"/>
  <c r="J26" a="1"/>
  <c r="J26" s="1"/>
  <c r="H22" a="1"/>
  <c r="H22" s="1"/>
  <c r="H20" a="1"/>
  <c r="H20" s="1"/>
  <c r="H18" a="1"/>
  <c r="H18" s="1"/>
  <c r="H16" a="1"/>
  <c r="H16" s="1"/>
  <c r="H25" a="1"/>
  <c r="H25" s="1"/>
  <c r="F22" a="1"/>
  <c r="F22" s="1"/>
  <c r="F20" a="1"/>
  <c r="F20" s="1"/>
  <c r="F17" a="1"/>
  <c r="F17" s="1"/>
  <c r="F26" a="1"/>
  <c r="F26" s="1"/>
  <c r="W22" a="1"/>
  <c r="W22" s="1"/>
  <c r="W20" a="1"/>
  <c r="W20" s="1"/>
  <c r="W18" a="1"/>
  <c r="W18" s="1"/>
  <c r="W16" a="1"/>
  <c r="W16" s="1"/>
  <c r="W25" a="1"/>
  <c r="W25" s="1"/>
  <c r="T21" a="1"/>
  <c r="T21" s="1"/>
  <c r="T19" a="1"/>
  <c r="T19" s="1"/>
  <c r="T17" a="1"/>
  <c r="T17" s="1"/>
  <c r="T26" a="1"/>
  <c r="T26" s="1"/>
  <c r="R22" a="1"/>
  <c r="R22" s="1"/>
  <c r="R20" a="1"/>
  <c r="R20" s="1"/>
  <c r="R18" a="1"/>
  <c r="R18" s="1"/>
  <c r="R16" a="1"/>
  <c r="R16" s="1"/>
  <c r="R25" a="1"/>
  <c r="R25" s="1"/>
  <c r="P21" a="1"/>
  <c r="P21" s="1"/>
  <c r="P19" a="1"/>
  <c r="P19" s="1"/>
  <c r="P17" a="1"/>
  <c r="P17" s="1"/>
  <c r="P26" a="1"/>
  <c r="P26" s="1"/>
  <c r="N22" a="1"/>
  <c r="N22" s="1"/>
  <c r="N20" a="1"/>
  <c r="N20" s="1"/>
  <c r="N18" a="1"/>
  <c r="N18" s="1"/>
  <c r="N16" a="1"/>
  <c r="N16" s="1"/>
  <c r="N25" a="1"/>
  <c r="N25" s="1"/>
  <c r="L21" a="1"/>
  <c r="L21" s="1"/>
  <c r="L19" a="1"/>
  <c r="L19" s="1"/>
  <c r="L17" a="1"/>
  <c r="L17" s="1"/>
  <c r="L26" a="1"/>
  <c r="L26" s="1"/>
  <c r="J22" a="1"/>
  <c r="J22" s="1"/>
  <c r="J20" a="1"/>
  <c r="J20" s="1"/>
  <c r="J18" a="1"/>
  <c r="J18" s="1"/>
  <c r="J16" a="1"/>
  <c r="J16" s="1"/>
  <c r="J25" a="1"/>
  <c r="J25" s="1"/>
  <c r="H21" a="1"/>
  <c r="H21" s="1"/>
  <c r="H19" a="1"/>
  <c r="H19" s="1"/>
  <c r="H17" a="1"/>
  <c r="H17" s="1"/>
  <c r="H26" a="1"/>
  <c r="H26" s="1"/>
  <c r="F21" a="1"/>
  <c r="F21" s="1"/>
  <c r="F19" a="1"/>
  <c r="F19" s="1"/>
  <c r="F18" a="1"/>
  <c r="F18" s="1"/>
  <c r="F16" a="1"/>
  <c r="F16" s="1"/>
  <c r="F25" a="1"/>
  <c r="F25" s="1"/>
  <c r="B37" i="240"/>
  <c r="B32"/>
  <c r="C25" i="739" l="1"/>
  <c r="W23"/>
  <c r="R23"/>
  <c r="N23"/>
  <c r="J23"/>
  <c r="T23"/>
  <c r="P23"/>
  <c r="L23"/>
  <c r="H23"/>
  <c r="F23"/>
  <c r="C26"/>
  <c r="E38" i="721"/>
  <c r="E39"/>
  <c r="E40"/>
  <c r="E41"/>
  <c r="E42"/>
  <c r="E43"/>
  <c r="E44"/>
  <c r="E45"/>
  <c r="E46"/>
  <c r="E47"/>
  <c r="E48"/>
  <c r="E49"/>
  <c r="E50"/>
  <c r="E51"/>
  <c r="E52"/>
  <c r="E53"/>
  <c r="E54"/>
  <c r="E55"/>
  <c r="E56"/>
  <c r="E57"/>
  <c r="E58"/>
  <c r="E59"/>
  <c r="E60"/>
  <c r="E61"/>
  <c r="E62"/>
  <c r="E63"/>
  <c r="E64"/>
  <c r="E65"/>
  <c r="E66"/>
  <c r="E67"/>
  <c r="E68"/>
  <c r="E69"/>
  <c r="D32"/>
  <c r="D33"/>
  <c r="D34"/>
  <c r="D31"/>
  <c r="F21" i="720"/>
  <c r="F20"/>
  <c r="F19"/>
  <c r="F18"/>
  <c r="F17"/>
  <c r="F16"/>
  <c r="R8" i="713" a="1"/>
  <c r="R8" s="1"/>
  <c r="M8" a="1"/>
  <c r="M8" s="1"/>
  <c r="H8" a="1"/>
  <c r="H8" s="1"/>
  <c r="C8" a="1"/>
  <c r="C8" s="1"/>
  <c r="R7" a="1"/>
  <c r="R7" s="1"/>
  <c r="M7" a="1"/>
  <c r="M7" s="1"/>
  <c r="H7" a="1"/>
  <c r="H7" s="1"/>
  <c r="C7" a="1"/>
  <c r="C7" s="1"/>
  <c r="R6" a="1"/>
  <c r="R6" s="1"/>
  <c r="M6" a="1"/>
  <c r="M6" s="1"/>
  <c r="H6" a="1"/>
  <c r="H6" s="1"/>
  <c r="C6" a="1"/>
  <c r="C6" s="1"/>
  <c r="C32" i="721" l="1"/>
  <c r="E32" s="1"/>
  <c r="F32" s="1"/>
  <c r="L17" i="720"/>
  <c r="C36" i="721"/>
  <c r="E36" s="1"/>
  <c r="F36" s="1"/>
  <c r="L21" i="720"/>
  <c r="C31" i="721"/>
  <c r="E31" s="1"/>
  <c r="F31" s="1"/>
  <c r="L16" i="720"/>
  <c r="C35" i="721"/>
  <c r="E35" s="1"/>
  <c r="F35" s="1"/>
  <c r="L20" i="720"/>
  <c r="C34" i="721"/>
  <c r="E34" s="1"/>
  <c r="F34" s="1"/>
  <c r="L19" i="720"/>
  <c r="C33" i="721"/>
  <c r="E33" s="1"/>
  <c r="F33" s="1"/>
  <c r="L18" i="720"/>
  <c r="D37" i="721"/>
  <c r="F29" l="1"/>
  <c r="O4" i="761"/>
  <c r="AJ1" i="759"/>
  <c r="AN4"/>
  <c r="I3" i="761"/>
  <c r="AG1" i="759"/>
  <c r="AP1"/>
  <c r="AE4" i="761"/>
  <c r="Z1"/>
  <c r="M2"/>
  <c r="AD1" i="759"/>
  <c r="L3"/>
  <c r="Y3" i="761"/>
  <c r="AD3" i="759"/>
  <c r="AN3"/>
  <c r="N2"/>
  <c r="AO2"/>
  <c r="O2"/>
  <c r="AA2" i="761"/>
  <c r="AI3" i="759"/>
  <c r="F1"/>
  <c r="W3" i="761"/>
  <c r="AL1" i="759"/>
  <c r="R4"/>
  <c r="AD3" i="761"/>
  <c r="F4"/>
  <c r="G1" i="759"/>
  <c r="AC1" i="761"/>
  <c r="K2"/>
  <c r="AD2" i="759"/>
  <c r="AK4"/>
  <c r="L4" i="761"/>
  <c r="AQ4" i="759"/>
  <c r="N4" i="761"/>
  <c r="J1" i="759"/>
  <c r="T3"/>
  <c r="P2"/>
  <c r="V2"/>
  <c r="Z1"/>
  <c r="G2"/>
  <c r="J2"/>
  <c r="H2" i="761"/>
  <c r="J2"/>
  <c r="H3"/>
  <c r="AD4" i="759"/>
  <c r="H4" i="761"/>
  <c r="R2" i="759"/>
  <c r="T4" i="761"/>
  <c r="U4" i="759"/>
  <c r="AE2" i="761"/>
  <c r="AS3" i="759"/>
  <c r="Y3"/>
  <c r="O3"/>
  <c r="Y4"/>
  <c r="D14" i="10"/>
  <c r="AF1" i="761"/>
  <c r="AT2" i="759"/>
  <c r="L3" i="761"/>
  <c r="X2"/>
  <c r="AH1" i="759"/>
  <c r="AC4" i="761"/>
  <c r="AB2" i="759"/>
  <c r="AN2"/>
  <c r="AI4" i="761"/>
  <c r="I4" i="759"/>
  <c r="AC1"/>
  <c r="AJ2"/>
  <c r="K2"/>
  <c r="V3" i="761"/>
  <c r="R1" i="759"/>
  <c r="AB4" i="761"/>
  <c r="AT1" i="759"/>
  <c r="J4" i="761"/>
  <c r="W2"/>
  <c r="AB3"/>
  <c r="AP2" i="759"/>
  <c r="AC2" i="761"/>
  <c r="R1"/>
  <c r="AA4" i="759"/>
  <c r="S4" i="761"/>
  <c r="S1"/>
  <c r="Q1" i="759"/>
  <c r="AG1" i="761"/>
  <c r="AH3" i="759"/>
  <c r="Z3" i="761"/>
  <c r="Y1"/>
  <c r="H3" i="759"/>
  <c r="A40" i="771"/>
  <c r="AF3" i="759"/>
  <c r="Q4" i="761"/>
  <c r="N1"/>
  <c r="V1"/>
  <c r="AM4" i="759"/>
  <c r="G32" i="240"/>
  <c r="AB3" i="759"/>
  <c r="AL2"/>
  <c r="X1" i="761"/>
  <c r="Z3" i="759"/>
  <c r="X4" i="761"/>
  <c r="AG4"/>
  <c r="W3" i="759"/>
  <c r="G4"/>
  <c r="S1"/>
  <c r="M2"/>
  <c r="L1"/>
  <c r="P1"/>
  <c r="AT3"/>
  <c r="AA4" i="761"/>
  <c r="I3" i="759"/>
  <c r="AG3" i="761"/>
  <c r="F3"/>
  <c r="AE4" i="759"/>
  <c r="AE3"/>
  <c r="U3"/>
  <c r="AD2" i="761"/>
  <c r="P1"/>
  <c r="AC3"/>
  <c r="U1"/>
  <c r="AJ3" i="759"/>
  <c r="M1"/>
  <c r="AS1"/>
  <c r="L2" i="761"/>
  <c r="AI2"/>
  <c r="Z4" i="759"/>
  <c r="U4" i="761"/>
  <c r="H4" i="759"/>
  <c r="S2"/>
  <c r="AF3" i="761"/>
  <c r="N3"/>
  <c r="U1" i="759"/>
  <c r="AG2" i="761"/>
  <c r="T3"/>
  <c r="AB2"/>
  <c r="AH2"/>
  <c r="AI2" i="759"/>
  <c r="L1" i="761"/>
  <c r="P3" i="759"/>
  <c r="F3"/>
  <c r="V4"/>
  <c r="J3" i="761"/>
  <c r="AM3" i="759"/>
  <c r="I1"/>
  <c r="AM1"/>
  <c r="M1" i="761"/>
  <c r="G4"/>
  <c r="AA1"/>
  <c r="AI3"/>
  <c r="AD1"/>
  <c r="Q1"/>
  <c r="G3"/>
  <c r="AS4" i="759"/>
  <c r="AE3" i="761"/>
  <c r="AA1" i="759"/>
  <c r="O1" i="761"/>
  <c r="U2"/>
  <c r="AM2" i="759"/>
  <c r="AC4"/>
  <c r="T4"/>
  <c r="H2"/>
  <c r="U3" i="761"/>
  <c r="Q2" i="759"/>
  <c r="Z2" i="761"/>
  <c r="H1" i="759"/>
  <c r="F4"/>
  <c r="S4"/>
  <c r="T1" i="761"/>
  <c r="AE1" i="759"/>
  <c r="R4" i="761"/>
  <c r="Q3"/>
  <c r="V4"/>
  <c r="AQ2" i="759"/>
  <c r="AK2"/>
  <c r="I4" i="761"/>
  <c r="J4" i="759"/>
  <c r="O2" i="761"/>
  <c r="AH3"/>
  <c r="AQ1" i="759"/>
  <c r="W1" i="761"/>
  <c r="N2"/>
  <c r="AP3" i="759"/>
  <c r="J3"/>
  <c r="R2" i="761"/>
  <c r="AE2" i="759"/>
  <c r="AA2"/>
  <c r="R3"/>
  <c r="AO1"/>
  <c r="F1" i="761"/>
  <c r="AR4" i="759"/>
  <c r="Y4" i="761"/>
  <c r="X3" i="759"/>
  <c r="AF2"/>
  <c r="AP4"/>
  <c r="AH4"/>
  <c r="K4"/>
  <c r="AA3" i="761"/>
  <c r="AE1"/>
  <c r="N4" i="759"/>
  <c r="AF2" i="761"/>
  <c r="V2"/>
  <c r="M3" i="759"/>
  <c r="K3"/>
  <c r="Q3"/>
  <c r="G3"/>
  <c r="S3" i="761"/>
  <c r="W1" i="759"/>
  <c r="AB1"/>
  <c r="K3" i="761"/>
  <c r="H1"/>
  <c r="AQ3" i="759"/>
  <c r="J1" i="761"/>
  <c r="AA3" i="759"/>
  <c r="AO3"/>
  <c r="AC2"/>
  <c r="AG3"/>
  <c r="AB4"/>
  <c r="N3"/>
  <c r="Y2" i="761"/>
  <c r="AJ4" i="759"/>
  <c r="AR3"/>
  <c r="V3"/>
  <c r="T1"/>
  <c r="T2" i="761"/>
  <c r="Z4"/>
  <c r="F2" i="759"/>
  <c r="T2"/>
  <c r="X4"/>
  <c r="AH2"/>
  <c r="W4" i="761"/>
  <c r="P3"/>
  <c r="AK1" i="759"/>
  <c r="S3"/>
  <c r="G1" i="761"/>
  <c r="AB1"/>
  <c r="K1"/>
  <c r="K1" i="759"/>
  <c r="L4"/>
  <c r="AL3"/>
  <c r="I2" i="761"/>
  <c r="V1" i="759"/>
  <c r="AS2"/>
  <c r="AH4" i="761"/>
  <c r="K4"/>
  <c r="AF4" i="759"/>
  <c r="G2" i="761"/>
  <c r="S2"/>
  <c r="P4" i="759"/>
  <c r="W2"/>
  <c r="AI1"/>
  <c r="O3" i="761"/>
  <c r="AL4" i="759"/>
  <c r="P2" i="761"/>
  <c r="AK3" i="759"/>
  <c r="Y1"/>
  <c r="AD4" i="761"/>
  <c r="AC3" i="759"/>
  <c r="Y2"/>
  <c r="I1" i="761"/>
  <c r="AG4" i="759"/>
  <c r="AH1" i="761"/>
  <c r="AN1" i="759"/>
  <c r="N1"/>
  <c r="AF4" i="761"/>
  <c r="AR2" i="759"/>
  <c r="AT4"/>
  <c r="U2"/>
  <c r="AI4"/>
  <c r="M3" i="761"/>
  <c r="M4" i="759"/>
  <c r="O4"/>
  <c r="Q2" i="761"/>
  <c r="X1" i="759"/>
  <c r="P4" i="761"/>
  <c r="AF1" i="759"/>
  <c r="AO4"/>
  <c r="F2" i="761"/>
  <c r="Q4" i="759"/>
  <c r="R3" i="761"/>
  <c r="X2" i="759"/>
  <c r="X3" i="761"/>
  <c r="Z2" i="759"/>
  <c r="L2"/>
  <c r="AG2"/>
  <c r="AR1"/>
  <c r="I2"/>
  <c r="M4" i="761"/>
  <c r="W4" i="759"/>
  <c r="AI1" i="761"/>
  <c r="O1" i="759"/>
  <c r="A17" l="1"/>
  <c r="C17" s="1"/>
  <c r="A18"/>
  <c r="C18" s="1"/>
  <c r="A17" i="761"/>
  <c r="C17" s="1"/>
  <c r="A18"/>
  <c r="C18" s="1"/>
  <c r="B31" i="240"/>
  <c r="A41" i="771"/>
  <c r="G13" i="720" l="1"/>
  <c r="F13"/>
  <c r="L13" s="1"/>
  <c r="K4" i="739"/>
  <c r="L4"/>
  <c r="V2"/>
  <c r="M1"/>
  <c r="H1"/>
  <c r="U2"/>
  <c r="N4"/>
  <c r="H2"/>
  <c r="G4"/>
  <c r="T3"/>
  <c r="A42" i="771"/>
  <c r="M3" i="739"/>
  <c r="R1"/>
  <c r="H4"/>
  <c r="J4"/>
  <c r="W2"/>
  <c r="P4"/>
  <c r="O3"/>
  <c r="Q4"/>
  <c r="W3"/>
  <c r="N3"/>
  <c r="O1"/>
  <c r="T8" i="712"/>
  <c r="I2" i="739"/>
  <c r="V3"/>
  <c r="R3"/>
  <c r="R4"/>
  <c r="T4" i="712"/>
  <c r="K2" i="739"/>
  <c r="T11" i="712"/>
  <c r="V4" i="739"/>
  <c r="G2"/>
  <c r="N1"/>
  <c r="U1"/>
  <c r="T6" i="712"/>
  <c r="L1" i="739"/>
  <c r="I4"/>
  <c r="G1"/>
  <c r="L2"/>
  <c r="O2"/>
  <c r="G3"/>
  <c r="T7" i="712"/>
  <c r="H3" i="739"/>
  <c r="T5" i="712"/>
  <c r="F2" i="739"/>
  <c r="R2"/>
  <c r="K1"/>
  <c r="P1"/>
  <c r="W4"/>
  <c r="M2"/>
  <c r="S4"/>
  <c r="P3"/>
  <c r="N2"/>
  <c r="W1"/>
  <c r="F4"/>
  <c r="J3"/>
  <c r="F1"/>
  <c r="Q3"/>
  <c r="O4"/>
  <c r="S2"/>
  <c r="M4"/>
  <c r="I1"/>
  <c r="V1"/>
  <c r="Q1"/>
  <c r="L3"/>
  <c r="T9" i="712"/>
  <c r="K3" i="739"/>
  <c r="T1"/>
  <c r="J2"/>
  <c r="Q2"/>
  <c r="S1"/>
  <c r="J1"/>
  <c r="F3"/>
  <c r="P2"/>
  <c r="T4"/>
  <c r="U3"/>
  <c r="T10" i="712"/>
  <c r="U4" i="739"/>
  <c r="S3"/>
  <c r="T2"/>
  <c r="I3"/>
  <c r="A18" l="1"/>
  <c r="C18" s="1"/>
  <c r="A17"/>
  <c r="C17" s="1"/>
  <c r="J4" i="712"/>
  <c r="R11"/>
  <c r="S4"/>
  <c r="J9"/>
  <c r="B6"/>
  <c r="J7"/>
  <c r="J6"/>
  <c r="B22"/>
  <c r="J10"/>
  <c r="S7"/>
  <c r="B23"/>
  <c r="B7"/>
  <c r="B16"/>
  <c r="S5"/>
  <c r="R8"/>
  <c r="B13"/>
  <c r="R4"/>
  <c r="C23" i="739" a="1"/>
  <c r="S6" i="712"/>
  <c r="J14"/>
  <c r="S8"/>
  <c r="J16"/>
  <c r="B5"/>
  <c r="S10"/>
  <c r="B15"/>
  <c r="S9"/>
  <c r="B11"/>
  <c r="J15"/>
  <c r="B9"/>
  <c r="R5"/>
  <c r="B18"/>
  <c r="J11"/>
  <c r="R9"/>
  <c r="J17"/>
  <c r="B4"/>
  <c r="J8"/>
  <c r="J13"/>
  <c r="R6"/>
  <c r="B17"/>
  <c r="B10"/>
  <c r="S11"/>
  <c r="R7"/>
  <c r="B20"/>
  <c r="B14"/>
  <c r="B12"/>
  <c r="B19"/>
  <c r="J5"/>
  <c r="B21"/>
  <c r="R10"/>
  <c r="J12"/>
  <c r="B8"/>
  <c r="D7" i="713" l="1" a="1"/>
  <c r="D7" s="1"/>
  <c r="D8" a="1"/>
  <c r="D8" s="1"/>
  <c r="D6" a="1"/>
  <c r="D6" s="1"/>
  <c r="I7" a="1"/>
  <c r="I7" s="1"/>
  <c r="I8" a="1"/>
  <c r="I8" s="1"/>
  <c r="I6" a="1"/>
  <c r="I6" s="1"/>
  <c r="N7" a="1"/>
  <c r="N7" s="1"/>
  <c r="O7" s="1"/>
  <c r="N8" a="1"/>
  <c r="N8" s="1"/>
  <c r="O8" s="1"/>
  <c r="N6" a="1"/>
  <c r="N6" s="1"/>
  <c r="S7" a="1"/>
  <c r="S7" s="1"/>
  <c r="T7" s="1"/>
  <c r="S8" a="1"/>
  <c r="S8" s="1"/>
  <c r="T8" s="1"/>
  <c r="S6" a="1"/>
  <c r="S6" s="1"/>
  <c r="C23" i="739"/>
  <c r="V2" i="712" l="1"/>
  <c r="U2" s="1"/>
  <c r="F33" i="720"/>
  <c r="L33" s="1"/>
  <c r="F26"/>
  <c r="L26" s="1"/>
  <c r="T6" i="713"/>
  <c r="R4" a="1"/>
  <c r="R4" s="1"/>
  <c r="O6"/>
  <c r="M4" a="1"/>
  <c r="M4" s="1"/>
  <c r="F32" i="720"/>
  <c r="L32" s="1"/>
  <c r="F24" l="1"/>
  <c r="L24" s="1"/>
  <c r="F30"/>
  <c r="L30" s="1"/>
  <c r="F25"/>
  <c r="L25" s="1"/>
  <c r="F29"/>
  <c r="F23" l="1"/>
  <c r="F22" s="1"/>
  <c r="L22" s="1"/>
  <c r="L29"/>
  <c r="F28"/>
  <c r="L28" s="1"/>
  <c r="L23" l="1"/>
  <c r="J7" i="713"/>
  <c r="J8"/>
  <c r="E8"/>
  <c r="E7"/>
  <c r="F9" i="720" l="1"/>
  <c r="F8" s="1"/>
  <c r="L8" s="1"/>
  <c r="F14"/>
  <c r="F12" s="1"/>
  <c r="F7"/>
  <c r="F6" s="1"/>
  <c r="L6" s="1"/>
  <c r="J6" i="713"/>
  <c r="H4" a="1"/>
  <c r="H4" s="1"/>
  <c r="L14" i="720"/>
  <c r="L9"/>
  <c r="C4" i="713" a="1"/>
  <c r="C4" s="1"/>
  <c r="E6"/>
  <c r="L7" i="720" l="1"/>
  <c r="F5"/>
  <c r="L5" s="1"/>
  <c r="L12"/>
  <c r="F10"/>
  <c r="L10" s="1"/>
  <c r="F4" l="1"/>
  <c r="L4" s="1"/>
  <c r="C23" i="759" a="1"/>
  <c r="F3" i="720" l="1"/>
  <c r="L3" s="1"/>
  <c r="C23" i="759"/>
  <c r="A36" i="770"/>
  <c r="A45"/>
  <c r="E2" i="712" l="1"/>
  <c r="D2" s="1"/>
</calcChain>
</file>

<file path=xl/comments1.xml><?xml version="1.0" encoding="utf-8"?>
<comments xmlns="http://schemas.openxmlformats.org/spreadsheetml/2006/main">
  <authors>
    <author>crhodes</author>
  </authors>
  <commentList>
    <comment ref="P7"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Q7"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List>
</comments>
</file>

<file path=xl/comments2.xml><?xml version="1.0" encoding="utf-8"?>
<comments xmlns="http://schemas.openxmlformats.org/spreadsheetml/2006/main">
  <authors>
    <author>crhodes</author>
  </authors>
  <commentList>
    <comment ref="C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H4" authorId="0">
      <text>
        <r>
          <rPr>
            <b/>
            <sz val="8"/>
            <color indexed="81"/>
            <rFont val="Tahoma"/>
            <family val="2"/>
          </rPr>
          <t xml:space="preserve">crhodes:
</t>
        </r>
        <r>
          <rPr>
            <sz val="8"/>
            <color indexed="81"/>
            <rFont val="Tahoma"/>
            <family val="2"/>
          </rPr>
          <t xml:space="preserve">This should average (or in the future do a more sophisticated combining) of the results from the specific goals that comprise the KRA.  Where there is not data, the goal (KI) is not included.
</t>
        </r>
      </text>
    </comment>
    <comment ref="M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 ref="R4" authorId="0">
      <text>
        <r>
          <rPr>
            <b/>
            <sz val="8"/>
            <color indexed="81"/>
            <rFont val="Tahoma"/>
            <family val="2"/>
          </rPr>
          <t>crhodes:</t>
        </r>
        <r>
          <rPr>
            <sz val="8"/>
            <color indexed="81"/>
            <rFont val="Tahoma"/>
            <family val="2"/>
          </rPr>
          <t xml:space="preserve">
This should average (or in the future do a more sophisticated combining) of the results from the specific goals that comprise the KRA.  Where there is not data, the goal (KI) is not included.
</t>
        </r>
      </text>
    </comment>
  </commentList>
</comments>
</file>

<file path=xl/comments3.xml><?xml version="1.0" encoding="utf-8"?>
<comments xmlns="http://schemas.openxmlformats.org/spreadsheetml/2006/main">
  <authors>
    <author>crhodes</author>
  </authors>
  <commentList>
    <comment ref="R4" authorId="0">
      <text>
        <r>
          <rPr>
            <b/>
            <sz val="8"/>
            <color indexed="81"/>
            <rFont val="Tahoma"/>
            <family val="2"/>
          </rPr>
          <t>crhodes:</t>
        </r>
        <r>
          <rPr>
            <sz val="8"/>
            <color indexed="81"/>
            <rFont val="Tahoma"/>
            <family val="2"/>
          </rPr>
          <t xml:space="preserve">
NB.  The numbers are for selected team when reported here.  See the Row # used!</t>
        </r>
      </text>
    </comment>
    <comment ref="S4" authorId="0">
      <text>
        <r>
          <rPr>
            <b/>
            <sz val="8"/>
            <color indexed="81"/>
            <rFont val="Tahoma"/>
            <family val="2"/>
          </rPr>
          <t>crhodes:</t>
        </r>
        <r>
          <rPr>
            <sz val="8"/>
            <color indexed="81"/>
            <rFont val="Tahoma"/>
            <family val="2"/>
          </rPr>
          <t xml:space="preserve">
NB.  The numbers are for selected team when reported here.  See the Row # used!</t>
        </r>
      </text>
    </comment>
    <comment ref="T4" authorId="0">
      <text>
        <r>
          <rPr>
            <b/>
            <sz val="8"/>
            <color indexed="81"/>
            <rFont val="Tahoma"/>
            <family val="2"/>
          </rPr>
          <t>crhodes:</t>
        </r>
        <r>
          <rPr>
            <sz val="8"/>
            <color indexed="81"/>
            <rFont val="Tahoma"/>
            <family val="2"/>
          </rPr>
          <t xml:space="preserve">
NB.  The numbers are for All IT when reported here.  Team specific numbers are available on Partner Survey Data worksheet if needed.  See the Row # used!</t>
        </r>
      </text>
    </comment>
  </commentList>
</comments>
</file>

<file path=xl/comments4.xml><?xml version="1.0" encoding="utf-8"?>
<comments xmlns="http://schemas.openxmlformats.org/spreadsheetml/2006/main">
  <authors>
    <author>crhodes</author>
  </authors>
  <commentList>
    <comment ref="A43"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B43"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 ref="A70" authorId="0">
      <text>
        <r>
          <rPr>
            <sz val="8"/>
            <color indexed="81"/>
            <rFont val="Tahoma"/>
            <family val="2"/>
          </rPr>
          <t xml:space="preserve">This column contains the </t>
        </r>
        <r>
          <rPr>
            <b/>
            <sz val="8"/>
            <color indexed="81"/>
            <rFont val="Tahoma"/>
            <family val="2"/>
          </rPr>
          <t>Previous_Period_Team_Vector</t>
        </r>
        <r>
          <rPr>
            <sz val="8"/>
            <color indexed="81"/>
            <rFont val="Tahoma"/>
            <family val="2"/>
          </rPr>
          <t xml:space="preserve"> values
The team names must be in alphabetical order</t>
        </r>
      </text>
    </comment>
    <comment ref="B70" authorId="0">
      <text>
        <r>
          <rPr>
            <sz val="8"/>
            <color indexed="81"/>
            <rFont val="Tahoma"/>
            <family val="2"/>
          </rPr>
          <t xml:space="preserve">This column contains the </t>
        </r>
        <r>
          <rPr>
            <b/>
            <sz val="8"/>
            <color indexed="81"/>
            <rFont val="Tahoma"/>
            <family val="2"/>
          </rPr>
          <t xml:space="preserve">Previous_Period_Value_Vector </t>
        </r>
        <r>
          <rPr>
            <sz val="8"/>
            <color indexed="81"/>
            <rFont val="Tahoma"/>
            <family val="2"/>
          </rPr>
          <t xml:space="preserve">values.  The numbers represent the column to be used for the team on the left.
</t>
        </r>
      </text>
    </comment>
  </commentList>
</comments>
</file>

<file path=xl/comments5.xml><?xml version="1.0" encoding="utf-8"?>
<comments xmlns="http://schemas.openxmlformats.org/spreadsheetml/2006/main">
  <authors>
    <author>crhodes</author>
  </authors>
  <commentList>
    <comment ref="A4" authorId="0">
      <text>
        <r>
          <rPr>
            <b/>
            <sz val="8"/>
            <color indexed="81"/>
            <rFont val="Tahoma"/>
            <family val="2"/>
          </rPr>
          <t>crhodes:</t>
        </r>
        <r>
          <rPr>
            <sz val="8"/>
            <color indexed="81"/>
            <rFont val="Tahoma"/>
            <family val="2"/>
          </rPr>
          <t xml:space="preserve">
Team Number and 
Team Name must match
numbers and names from
Scorecard Surveys.</t>
        </r>
      </text>
    </comment>
    <comment ref="B4" authorId="0">
      <text>
        <r>
          <rPr>
            <b/>
            <sz val="8"/>
            <color indexed="81"/>
            <rFont val="Tahoma"/>
            <family val="2"/>
          </rPr>
          <t>crhodes:</t>
        </r>
        <r>
          <rPr>
            <sz val="8"/>
            <color indexed="81"/>
            <rFont val="Tahoma"/>
            <family val="2"/>
          </rPr>
          <t xml:space="preserve">
Team Number and 
Team Name must match
numbers and names from
Scorecard Surveys.</t>
        </r>
      </text>
    </comment>
    <comment ref="A29" authorId="0">
      <text>
        <r>
          <rPr>
            <b/>
            <sz val="8"/>
            <color indexed="81"/>
            <rFont val="Tahoma"/>
            <family val="2"/>
          </rPr>
          <t>crhodes:</t>
        </r>
        <r>
          <rPr>
            <sz val="8"/>
            <color indexed="81"/>
            <rFont val="Tahoma"/>
            <family val="2"/>
          </rPr>
          <t xml:space="preserve">
Team Number and 
Team Name must match
numbers and names from
Scorecard Surveys.</t>
        </r>
      </text>
    </comment>
    <comment ref="B29" authorId="0">
      <text>
        <r>
          <rPr>
            <b/>
            <sz val="8"/>
            <color indexed="81"/>
            <rFont val="Tahoma"/>
            <family val="2"/>
          </rPr>
          <t>crhodes:</t>
        </r>
        <r>
          <rPr>
            <sz val="8"/>
            <color indexed="81"/>
            <rFont val="Tahoma"/>
            <family val="2"/>
          </rPr>
          <t xml:space="preserve">
Team Number and 
Team Name must match
numbers and names from
Scorecard Surveys.</t>
        </r>
      </text>
    </comment>
    <comment ref="C29" authorId="0">
      <text>
        <r>
          <rPr>
            <b/>
            <sz val="8"/>
            <color indexed="81"/>
            <rFont val="Tahoma"/>
            <family val="2"/>
          </rPr>
          <t>crhodes:</t>
        </r>
        <r>
          <rPr>
            <sz val="8"/>
            <color indexed="81"/>
            <rFont val="Tahoma"/>
            <family val="2"/>
          </rPr>
          <t xml:space="preserve">
Managers used as lookup
on other sheets.</t>
        </r>
      </text>
    </comment>
    <comment ref="D29" authorId="0">
      <text>
        <r>
          <rPr>
            <b/>
            <sz val="8"/>
            <color indexed="81"/>
            <rFont val="Tahoma"/>
            <family val="2"/>
          </rPr>
          <t>crhodes:</t>
        </r>
        <r>
          <rPr>
            <sz val="8"/>
            <color indexed="81"/>
            <rFont val="Tahoma"/>
            <family val="2"/>
          </rPr>
          <t xml:space="preserve">
Extension used as lookup
on other sheets
</t>
        </r>
      </text>
    </comment>
    <comment ref="E29" authorId="0">
      <text>
        <r>
          <rPr>
            <b/>
            <sz val="8"/>
            <color indexed="81"/>
            <rFont val="Tahoma"/>
            <family val="2"/>
          </rPr>
          <t>crhodes:</t>
        </r>
        <r>
          <rPr>
            <sz val="8"/>
            <color indexed="81"/>
            <rFont val="Tahoma"/>
            <family val="2"/>
          </rPr>
          <t xml:space="preserve">
Managers used as lookup
on other sheets.</t>
        </r>
      </text>
    </comment>
    <comment ref="F29" authorId="0">
      <text>
        <r>
          <rPr>
            <b/>
            <sz val="8"/>
            <color indexed="81"/>
            <rFont val="Tahoma"/>
            <family val="2"/>
          </rPr>
          <t>crhodes:</t>
        </r>
        <r>
          <rPr>
            <sz val="8"/>
            <color indexed="81"/>
            <rFont val="Tahoma"/>
            <family val="2"/>
          </rPr>
          <t xml:space="preserve">
Extension used as lookup
on other sheets
</t>
        </r>
      </text>
    </comment>
  </commentList>
</comments>
</file>

<file path=xl/comments6.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7.xml><?xml version="1.0" encoding="utf-8"?>
<comments xmlns="http://schemas.openxmlformats.org/spreadsheetml/2006/main">
  <authors>
    <author>crhodes</author>
  </authors>
  <commentList>
    <comment ref="B17" authorId="0">
      <text>
        <r>
          <rPr>
            <b/>
            <sz val="8"/>
            <color indexed="81"/>
            <rFont val="Tahoma"/>
            <family val="2"/>
          </rPr>
          <t>Enter number of charts to produce.  Only chart questions with required answers</t>
        </r>
      </text>
    </comment>
    <comment ref="B18" authorId="0">
      <text>
        <r>
          <rPr>
            <b/>
            <sz val="8"/>
            <color indexed="81"/>
            <rFont val="Tahoma"/>
            <family val="2"/>
          </rPr>
          <t>Enter the number of questions</t>
        </r>
      </text>
    </comment>
    <comment ref="E27" authorId="0">
      <text>
        <r>
          <rPr>
            <b/>
            <sz val="8"/>
            <color indexed="81"/>
            <rFont val="Tahoma"/>
            <family val="2"/>
          </rPr>
          <t>Remove this calculation when fixed in questions</t>
        </r>
      </text>
    </comment>
    <comment ref="D30" authorId="0">
      <text>
        <r>
          <rPr>
            <b/>
            <sz val="8"/>
            <color indexed="81"/>
            <rFont val="Tahoma"/>
            <family val="2"/>
          </rPr>
          <t>Need to add this to the survey</t>
        </r>
      </text>
    </comment>
  </commentList>
</comments>
</file>

<file path=xl/comments8.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9.xml><?xml version="1.0" encoding="utf-8"?>
<comments xmlns="http://schemas.openxmlformats.org/spreadsheetml/2006/main">
  <authors>
    <author>crhodes</author>
  </authors>
  <commentList>
    <comment ref="D10" authorId="0">
      <text>
        <r>
          <rPr>
            <b/>
            <sz val="8"/>
            <color indexed="81"/>
            <rFont val="Tahoma"/>
            <family val="2"/>
          </rPr>
          <t>Enter width of question column on data sheet.  This helps make the charts fit on the data sheet. 5 is good for numeric answers and 110 for text answers</t>
        </r>
      </text>
    </comment>
    <comment ref="F10" authorId="0">
      <text>
        <r>
          <rPr>
            <b/>
            <sz val="8"/>
            <color indexed="81"/>
            <rFont val="Tahoma"/>
            <family val="2"/>
          </rPr>
          <t>Indicate if question generates statistical results. Use 1 for yes and 0 or blank for no.</t>
        </r>
      </text>
    </comment>
    <comment ref="H10" authorId="0">
      <text>
        <r>
          <rPr>
            <b/>
            <sz val="8"/>
            <color indexed="81"/>
            <rFont val="Tahoma"/>
            <family val="2"/>
          </rPr>
          <t>Indicate if primary question. Use 1 for yes and 0 or blank for no.</t>
        </r>
      </text>
    </comment>
    <comment ref="J10" authorId="0">
      <text>
        <r>
          <rPr>
            <b/>
            <sz val="8"/>
            <color indexed="81"/>
            <rFont val="Tahoma"/>
            <family val="2"/>
          </rPr>
          <t>Indicate if follow-up question. Use 1 for yes and 0 or blank for no.  Should be automatically filled in and inverse of Primary Question</t>
        </r>
      </text>
    </comment>
  </commentList>
</comments>
</file>

<file path=xl/comments10.xml><?xml version="1.0" encoding="utf-8"?>
<comments xmlns="http://schemas.openxmlformats.org/spreadsheetml/2006/main">
  <authors>
    <author>crhodes</author>
  </authors>
  <commentList>
    <comment ref="C27" authorId="0">
      <text>
        <r>
          <rPr>
            <b/>
            <sz val="8"/>
            <color indexed="81"/>
            <rFont val="Tahoma"/>
            <family val="2"/>
          </rPr>
          <t xml:space="preserve">crhodes:
</t>
        </r>
        <r>
          <rPr>
            <sz val="8"/>
            <color indexed="81"/>
            <rFont val="Tahoma"/>
            <family val="2"/>
          </rPr>
          <t>Modified to show only two releases</t>
        </r>
      </text>
    </comment>
  </commentList>
</comments>
</file>

<file path=xl/comments11.xml><?xml version="1.0" encoding="utf-8"?>
<comments xmlns="http://schemas.openxmlformats.org/spreadsheetml/2006/main">
  <authors>
    <author>crhodes</author>
    <author>Christopher H. Rhodes</author>
  </authors>
  <commentList>
    <comment ref="A30" authorId="0">
      <text>
        <r>
          <rPr>
            <sz val="8"/>
            <color indexed="81"/>
            <rFont val="Tahoma"/>
            <family val="2"/>
          </rPr>
          <t>Teams must be in alphabetical order.</t>
        </r>
        <r>
          <rPr>
            <sz val="8"/>
            <color indexed="81"/>
            <rFont val="Tahoma"/>
            <charset val="1"/>
          </rPr>
          <t xml:space="preserve">
</t>
        </r>
      </text>
    </comment>
    <comment ref="J30" authorId="1">
      <text>
        <r>
          <rPr>
            <sz val="9"/>
            <color indexed="81"/>
            <rFont val="Tahoma"/>
            <family val="2"/>
          </rPr>
          <t>Enter the tab name of the worksheet that contains the OnTime data to process.</t>
        </r>
        <r>
          <rPr>
            <sz val="9"/>
            <color indexed="81"/>
            <rFont val="Tahoma"/>
            <family val="2"/>
          </rPr>
          <t xml:space="preserve">
</t>
        </r>
      </text>
    </comment>
  </commentList>
</comments>
</file>

<file path=xl/comments12.xml><?xml version="1.0" encoding="utf-8"?>
<comments xmlns="http://schemas.openxmlformats.org/spreadsheetml/2006/main">
  <authors>
    <author>crhodes</author>
  </authors>
  <commentList>
    <comment ref="A21" authorId="0">
      <text>
        <r>
          <rPr>
            <sz val="8"/>
            <color indexed="81"/>
            <rFont val="Tahoma"/>
            <family val="2"/>
          </rPr>
          <t xml:space="preserve">The Teams listed below must match the teams listed on the Teams worksheet.  There may be more.  
They have to be sorted alphabetically.
</t>
        </r>
      </text>
    </comment>
  </commentList>
</comments>
</file>

<file path=xl/comments13.xml><?xml version="1.0" encoding="utf-8"?>
<comments xmlns="http://schemas.openxmlformats.org/spreadsheetml/2006/main">
  <authors>
    <author>crhodes</author>
  </authors>
  <commentList>
    <comment ref="A14" authorId="0">
      <text>
        <r>
          <rPr>
            <sz val="8"/>
            <color indexed="81"/>
            <rFont val="Tahoma"/>
            <family val="2"/>
          </rPr>
          <t xml:space="preserve">The names located here need to be in alphabetical order.  
This column contains the ITR_Data_Team_Location values
</t>
        </r>
      </text>
    </comment>
    <comment ref="L14" authorId="0">
      <text>
        <r>
          <rPr>
            <sz val="8"/>
            <color indexed="81"/>
            <rFont val="Tahoma"/>
            <family val="2"/>
          </rPr>
          <t xml:space="preserve">This column contains the ITR_Data_Open_Location values
</t>
        </r>
      </text>
    </comment>
    <comment ref="M14" authorId="0">
      <text>
        <r>
          <rPr>
            <sz val="8"/>
            <color indexed="81"/>
            <rFont val="Tahoma"/>
            <family val="2"/>
          </rPr>
          <t xml:space="preserve">This column contains the ITR_Data_Closed_Location values
</t>
        </r>
      </text>
    </comment>
    <comment ref="N14" authorId="0">
      <text>
        <r>
          <rPr>
            <sz val="8"/>
            <color indexed="81"/>
            <rFont val="Tahoma"/>
            <family val="2"/>
          </rPr>
          <t xml:space="preserve">This column contains the ITR_Data_Backlog_Location values
</t>
        </r>
      </text>
    </comment>
  </commentList>
</comments>
</file>

<file path=xl/connections.xml><?xml version="1.0" encoding="utf-8"?>
<connections xmlns="http://schemas.openxmlformats.org/spreadsheetml/2006/main">
  <connection id="1" name="Connection" type="1" refreshedVersion="3" background="1" saveData="1">
    <dbPr connection="DSN=MS Access Database;DBQ=M:\Technology Office\IT Balanced Scorecard\Surveys\2007\2007 2H\Partner Survey 2007 2H.MDB;DefaultDir=M:\Technology Office\IT Balanced Scorecard\Surveys\2007\2007 2H;DriverId=25;FIL=MS Access;MaxBufferSize=2048;PageTimeout=5;" command="SELECT * FROM Answers0 Answers0"/>
  </connection>
  <connection id="2" name="Connection1" type="1" refreshedVersion="3" background="1" saveData="1">
    <dbPr connection="DSN=MS Access Database;DBQ=V:\Employers\PacificLife\Technology Office\IT Balanced Scorecard\Surveys\2007\2007 1H\IT Survey 2007 1H.MDB;DefaultDir=V:\Employers\PacificLife\Technology Office\IT Balanced Scorecard\Surveys\2007\2007 1H;DriverId=25;FIL=MS Access;MaxBufferSize=2048;PageTimeout=5;" command="SELECT * FROM Answers0 Answers0"/>
  </connection>
  <connection id="3" name="Connection2" type="1" refreshedVersion="3" background="1" saveData="1">
    <dbPr connection="DSN=MS Access Database;DBQ=V:\Employers\PacificLife\Technology Office\IT Balanced Scorecard\Surveys\2007\2007 1H\Business Survey 2007 1H.MDB;DefaultDir=V:\Employers\PacificLife\Technology Office\IT Balanced Scorecard\Surveys\2007\2007 1H;DriverId=25;FIL=MS Access;MaxBufferSize=2048;PageTimeout=5;" command="SELECT * FROM Answers0 Answers0"/>
  </connection>
</connections>
</file>

<file path=xl/sharedStrings.xml><?xml version="1.0" encoding="utf-8"?>
<sst xmlns="http://schemas.openxmlformats.org/spreadsheetml/2006/main" count="2899" uniqueCount="1055">
  <si>
    <t>Process</t>
  </si>
  <si>
    <t>Strongly Agree</t>
  </si>
  <si>
    <t>Agree</t>
  </si>
  <si>
    <t>Neutral</t>
  </si>
  <si>
    <t>Disagree</t>
  </si>
  <si>
    <t>Stongly Disagree</t>
  </si>
  <si>
    <t>Not Applicable</t>
  </si>
  <si>
    <t>IT Operations</t>
  </si>
  <si>
    <t>IT Sales</t>
  </si>
  <si>
    <t>IT Service</t>
  </si>
  <si>
    <t>Product Admin</t>
  </si>
  <si>
    <t>Workflow</t>
  </si>
  <si>
    <t>Other</t>
  </si>
  <si>
    <t>Number Business Surveys Sent</t>
  </si>
  <si>
    <t>Number Received</t>
  </si>
  <si>
    <t>Yes</t>
  </si>
  <si>
    <t>Five Scale</t>
  </si>
  <si>
    <t>Yes No</t>
  </si>
  <si>
    <t>Bill Martineau</t>
  </si>
  <si>
    <t>Not Answered</t>
  </si>
  <si>
    <t>Extension</t>
  </si>
  <si>
    <t>Manager</t>
  </si>
  <si>
    <t>$B$8</t>
  </si>
  <si>
    <t>eBusiness</t>
  </si>
  <si>
    <t>Help Desk</t>
  </si>
  <si>
    <t>IT Finance</t>
  </si>
  <si>
    <t>No</t>
  </si>
  <si>
    <t>Team Number</t>
  </si>
  <si>
    <t>Team Name</t>
  </si>
  <si>
    <t>Table of Contents</t>
  </si>
  <si>
    <t>Lookups</t>
  </si>
  <si>
    <t>Pam Askins</t>
  </si>
  <si>
    <t>Questions Location</t>
  </si>
  <si>
    <t>$B$7</t>
  </si>
  <si>
    <t>x7402 x8858</t>
  </si>
  <si>
    <t>x6510</t>
  </si>
  <si>
    <t>x7673</t>
  </si>
  <si>
    <t>x3624</t>
  </si>
  <si>
    <t>x8681</t>
  </si>
  <si>
    <t>x5044</t>
  </si>
  <si>
    <t>Christine Kellerman</t>
  </si>
  <si>
    <t>Row Width Location</t>
  </si>
  <si>
    <t>Christian Berke</t>
  </si>
  <si>
    <t>Barbara Allan</t>
  </si>
  <si>
    <t>Kayleen Weeks</t>
  </si>
  <si>
    <t>Sonia Alford</t>
  </si>
  <si>
    <t>Working Days</t>
  </si>
  <si>
    <t>Nedra Jerry</t>
  </si>
  <si>
    <t>Karen Hayden</t>
  </si>
  <si>
    <t>Jeff Cranney</t>
  </si>
  <si>
    <t>Matt Hansberger</t>
  </si>
  <si>
    <t>Team</t>
  </si>
  <si>
    <t>Source File (Full Path)</t>
  </si>
  <si>
    <t>SheetName</t>
  </si>
  <si>
    <t>File Errors</t>
  </si>
  <si>
    <t>Data Sheet Name</t>
  </si>
  <si>
    <t>All IT</t>
  </si>
  <si>
    <t>On-Time Delivery Data</t>
  </si>
  <si>
    <t>Statistics Location</t>
  </si>
  <si>
    <t>Primary Questions Location</t>
  </si>
  <si>
    <t>Follow-Up Questions Location</t>
  </si>
  <si>
    <t>$B$4</t>
  </si>
  <si>
    <t>$B$5</t>
  </si>
  <si>
    <t>$B$6</t>
  </si>
  <si>
    <t>Team Name Lookup</t>
  </si>
  <si>
    <t>Team Manager Lookup</t>
  </si>
  <si>
    <t>x3373</t>
  </si>
  <si>
    <t>x4484</t>
  </si>
  <si>
    <t>x4823</t>
  </si>
  <si>
    <t>I understand and support the Life IT Vision and Mission.</t>
  </si>
  <si>
    <t>I understand my job responsibilities and work related roles.</t>
  </si>
  <si>
    <t>I understand how I am being evaluated.</t>
  </si>
  <si>
    <t>I feel that I meet frequently enough with my supervisor to discuss and review my performance.</t>
  </si>
  <si>
    <t>My supervisor communicates effectively with me.</t>
  </si>
  <si>
    <t>I have sufficient access to my supervisor to meet my needs.</t>
  </si>
  <si>
    <t>My team is able to appropriately size and tailor the LDM for the kinds of work we do.</t>
  </si>
  <si>
    <t>When we have been dependent on work from other teams (in the last 6 months), it was delivered on time, and as committed.</t>
  </si>
  <si>
    <t>Are there any other comments you would like to share?</t>
  </si>
  <si>
    <t>IT Survey</t>
  </si>
  <si>
    <t>IT Survey Data</t>
  </si>
  <si>
    <t>I regularly participate in the review of other people's work products.</t>
  </si>
  <si>
    <t>IT Producer</t>
  </si>
  <si>
    <t>Michelle Kinney</t>
  </si>
  <si>
    <t># Releases</t>
  </si>
  <si>
    <t>Data Services</t>
  </si>
  <si>
    <t>I had adequate opportunity to review the work effort at the end of Analyze and Design stage, and was given an opportunity to accept, change, or reject it.</t>
  </si>
  <si>
    <t>Overall, I feel the LDM processes are effective in helping IT to deliver solutions.</t>
  </si>
  <si>
    <t>Overall, I feel IT effectively used the LDM processes to deliver solutions.</t>
  </si>
  <si>
    <t>I am satisfied with the speed and efficiency that issues were resolved by IT.</t>
  </si>
  <si>
    <t>I am satisfied with the speed and efficiency that outages (times when production is down) were resolved.</t>
  </si>
  <si>
    <t>IT staff provided support in a professional and courteous manner and considered input and suggestions from others.</t>
  </si>
  <si>
    <t>IT properly managed deployments, including deployments that were dependent on other App Team deployments.</t>
  </si>
  <si>
    <t>Business Survey</t>
  </si>
  <si>
    <t>Overall, I am satisfied with IT staff's support of production applications.</t>
  </si>
  <si>
    <t>IT helps support my organization and enables my team to more efficiently service PL customers.</t>
  </si>
  <si>
    <t>I have the influence I need on IT resource allocation.</t>
  </si>
  <si>
    <t>IT communicates adequate, clear, timely, and useful information to me.</t>
  </si>
  <si>
    <t>Overall, I am satisfied when I work with IT.</t>
  </si>
  <si>
    <t>Please describe any other expectations of IT that you would like to express.</t>
  </si>
  <si>
    <t>I am satisfied with IT staff's support of production applications.</t>
  </si>
  <si>
    <t>Partner Survey</t>
  </si>
  <si>
    <t>IT Associates</t>
  </si>
  <si>
    <t>Business Sponsors</t>
  </si>
  <si>
    <t>Business Executives</t>
  </si>
  <si>
    <t>Result</t>
  </si>
  <si>
    <t>KRA</t>
  </si>
  <si>
    <t>Goal</t>
  </si>
  <si>
    <t>TE</t>
  </si>
  <si>
    <t>TE-G1</t>
  </si>
  <si>
    <t>ME</t>
  </si>
  <si>
    <t>IS-Q1</t>
  </si>
  <si>
    <t>The recognition I receive is appropriate for the contributions I make.</t>
  </si>
  <si>
    <t>CS</t>
  </si>
  <si>
    <t>CS-G1</t>
  </si>
  <si>
    <t>PE</t>
  </si>
  <si>
    <t>BS-Q1</t>
  </si>
  <si>
    <t>IT Took appropriate time to understand my problem or need before solving or meeting it.</t>
  </si>
  <si>
    <t>BA</t>
  </si>
  <si>
    <t>BA-G1</t>
  </si>
  <si>
    <t>AL</t>
  </si>
  <si>
    <t>PS-Q1</t>
  </si>
  <si>
    <t>IE</t>
  </si>
  <si>
    <t>IS-Q2</t>
  </si>
  <si>
    <t>I am aware of the options availabe to express my opinion and feel it is taken into account</t>
  </si>
  <si>
    <t>BS-Q2</t>
  </si>
  <si>
    <t>CO</t>
  </si>
  <si>
    <t>PS-Q2</t>
  </si>
  <si>
    <t>I understand the allocation of IT resources for my area and the projects I am sponsoring</t>
  </si>
  <si>
    <t>IS-Q3</t>
  </si>
  <si>
    <t>I am adequuately trained to do my job.</t>
  </si>
  <si>
    <t>QA</t>
  </si>
  <si>
    <t>BS-Q3</t>
  </si>
  <si>
    <t>The quality of the solutions by IT met my expectations.</t>
  </si>
  <si>
    <t>PS-Q3</t>
  </si>
  <si>
    <t>IS-Q4</t>
  </si>
  <si>
    <t>I feel I am adequatey trained to apply the LDM to my work.</t>
  </si>
  <si>
    <t>BS-Q4</t>
  </si>
  <si>
    <t>PS-Q4</t>
  </si>
  <si>
    <t>I feel the options presented for getting work done (e.g. Staffing, Budget, Scope, Timing, Use of New Technologies) enable me to make decisions.</t>
  </si>
  <si>
    <t>IS-Q5</t>
  </si>
  <si>
    <t>I have the tools, materials, and equipment to accomplish my job.</t>
  </si>
  <si>
    <t>BS-Q5</t>
  </si>
  <si>
    <t>OE</t>
  </si>
  <si>
    <t>OE-G2</t>
  </si>
  <si>
    <t>PS-Q5</t>
  </si>
  <si>
    <t>IS-Q6</t>
  </si>
  <si>
    <t>CS-G2</t>
  </si>
  <si>
    <t>TI</t>
  </si>
  <si>
    <t>BS-Q6</t>
  </si>
  <si>
    <t>VA</t>
  </si>
  <si>
    <t>PS-Q6</t>
  </si>
  <si>
    <t>IS-Q7</t>
  </si>
  <si>
    <t>I understand my customers and their expecations of me and my team.</t>
  </si>
  <si>
    <t>BS-Q7</t>
  </si>
  <si>
    <t>PS-Q7</t>
  </si>
  <si>
    <t>Overall, IT is managing their work well (people, issues, resourceful, good work management)</t>
  </si>
  <si>
    <t>TE-G3</t>
  </si>
  <si>
    <t>IS-Q8</t>
  </si>
  <si>
    <t>BS-Q8</t>
  </si>
  <si>
    <t>IT performed adequate research and perform effective and timely follow up when requested.</t>
  </si>
  <si>
    <t>BA-G3</t>
  </si>
  <si>
    <t>PS-Q8</t>
  </si>
  <si>
    <t>IS-Q9</t>
  </si>
  <si>
    <t>BS-Q9</t>
  </si>
  <si>
    <t>PS-Q9</t>
  </si>
  <si>
    <t>IS-Q10</t>
  </si>
  <si>
    <t>CO
VA</t>
  </si>
  <si>
    <t>BS-Q10</t>
  </si>
  <si>
    <t>IT staff members are knowledgeable about my business and the applications I depend on, and they understand the impact issues can have on my business.</t>
  </si>
  <si>
    <t>PS-Q10</t>
  </si>
  <si>
    <t>Are their any other comments you would like to provide?</t>
  </si>
  <si>
    <t>IS-Q11</t>
  </si>
  <si>
    <t>BS-Q11</t>
  </si>
  <si>
    <t>Overall, IT communicated adequate, clear, timey, and useful information to me.</t>
  </si>
  <si>
    <t>IS-Q12</t>
  </si>
  <si>
    <t>BS-Q12</t>
  </si>
  <si>
    <t>Overall, IT did a good job managing their resources and ensuring follow through on commitments.</t>
  </si>
  <si>
    <t>TE-G2</t>
  </si>
  <si>
    <t>IS-Q13</t>
  </si>
  <si>
    <t>BS-Q13</t>
  </si>
  <si>
    <t>IS-Q14</t>
  </si>
  <si>
    <t>The LDM enables me and my team to be more effective in the work we perform.</t>
  </si>
  <si>
    <t>BS-Q14</t>
  </si>
  <si>
    <t>IS-Q15</t>
  </si>
  <si>
    <t>My work products are regularly review by others.</t>
  </si>
  <si>
    <t>BS-Q15</t>
  </si>
  <si>
    <t>IS-Q16</t>
  </si>
  <si>
    <t>BS-Q16</t>
  </si>
  <si>
    <t>Please provide any additional comments you have.</t>
  </si>
  <si>
    <t>ME
TE</t>
  </si>
  <si>
    <t>IS-Q17</t>
  </si>
  <si>
    <t>I understand how my team's Scorecard is created and the impact I have on it.</t>
  </si>
  <si>
    <t>IS-Q18</t>
  </si>
  <si>
    <t>I feel other members of my team are working diligenty and effectively.</t>
  </si>
  <si>
    <t>IS-Q19</t>
  </si>
  <si>
    <t>I feel other IT teams are working diligenty and effectively.</t>
  </si>
  <si>
    <t>IS-Q20</t>
  </si>
  <si>
    <t>IS-Q21</t>
  </si>
  <si>
    <t>Life IT Objective</t>
  </si>
  <si>
    <t xml:space="preserve"> - Grow our Human Capital</t>
  </si>
  <si>
    <t>- Improve Organizational Effectiveness
- Deliver on-time with quality</t>
  </si>
  <si>
    <r>
      <t>We deliver on-time quality business technology solutions and support that cost effectively meets the objectives of the Life Division.</t>
    </r>
    <r>
      <rPr>
        <sz val="10"/>
        <rFont val="Arial"/>
        <family val="2"/>
      </rPr>
      <t xml:space="preserve">
- Enhance Customer Satisfaction
- Meet Service Level Agreements</t>
    </r>
  </si>
  <si>
    <t>We are are an integral part of the Life Division - working in unison to create competitive advantage</t>
  </si>
  <si>
    <t>Balanced Scorecard</t>
  </si>
  <si>
    <t>Learning and Growth</t>
  </si>
  <si>
    <t>Business Process</t>
  </si>
  <si>
    <t>Customer</t>
  </si>
  <si>
    <t>Financial</t>
  </si>
  <si>
    <t>People</t>
  </si>
  <si>
    <t>Customers / Results</t>
  </si>
  <si>
    <t>Business / Financial</t>
  </si>
  <si>
    <t>Team Excellence</t>
  </si>
  <si>
    <t>Operational Excellence</t>
  </si>
  <si>
    <t>Customer Satisfaction</t>
  </si>
  <si>
    <t>Business Alignment</t>
  </si>
  <si>
    <t>Developing and maintaining the necessary skills and human resources to accomplish the current and anticipated future needs of the organization
- Management Philosophy
- Line Management</t>
  </si>
  <si>
    <t>Developing and maintaining capabilities to plan and deliver to a budget on-time quality business technology solutions and support
- Work Management
- Work Delivery
- Architecture &amp; Operations
- Service &amp; Support</t>
  </si>
  <si>
    <t>Developing and maintaining satisfied customers and meeting our service level agreements with them.</t>
  </si>
  <si>
    <t>Developing governance, infrastructure, and technology capabilities that provide competitive advantage to the business.</t>
  </si>
  <si>
    <t>Goals</t>
  </si>
  <si>
    <t>Improve individual performance</t>
  </si>
  <si>
    <t>OE-G1</t>
  </si>
  <si>
    <t>Improve Solution planning
(Estimation: Effort, Schedule, Cost)</t>
  </si>
  <si>
    <t>Improve customer solution delivery satisfaction</t>
  </si>
  <si>
    <t>Align IT resources to business goals</t>
  </si>
  <si>
    <t>Improve team performance</t>
  </si>
  <si>
    <t>Improve Solution Delivery
(Needed Functionality, On time, with Quality, Increase defect containment, Reduce rework)</t>
  </si>
  <si>
    <t>Improve customer service and support satisfaction</t>
  </si>
  <si>
    <t>BA-G2</t>
  </si>
  <si>
    <t>Align IT strategy to business strategy</t>
  </si>
  <si>
    <t>Improve management effectiveness</t>
  </si>
  <si>
    <t>OE-G3</t>
  </si>
  <si>
    <t>Manage to budget</t>
  </si>
  <si>
    <t>CS-G3</t>
  </si>
  <si>
    <t>Meet Service Level Agreements</t>
  </si>
  <si>
    <t>Improve value for IT spend</t>
  </si>
  <si>
    <t>IT Team</t>
  </si>
  <si>
    <t>Programming Services
 (Acct 246)</t>
  </si>
  <si>
    <t>SW
 (Acct 46)</t>
  </si>
  <si>
    <t>SW Maint
(Acct 243)</t>
  </si>
  <si>
    <t>Consulting
(Acct 34)</t>
  </si>
  <si>
    <t>Salaries
(Acct 10)</t>
  </si>
  <si>
    <t>Capital Expenses
(Acct 3880)</t>
  </si>
  <si>
    <t>Application Development</t>
  </si>
  <si>
    <t>Opened</t>
  </si>
  <si>
    <t>Closed</t>
  </si>
  <si>
    <t>Active</t>
  </si>
  <si>
    <t>IT-Producer CRM</t>
  </si>
  <si>
    <t>IT-Sales</t>
  </si>
  <si>
    <t>Technical Services</t>
  </si>
  <si>
    <t>Projects</t>
  </si>
  <si>
    <t>Maintenance</t>
  </si>
  <si>
    <t>Non Release</t>
  </si>
  <si>
    <t>Totals</t>
  </si>
  <si>
    <t>Survey Rollup</t>
  </si>
  <si>
    <t>Partner Survey Data</t>
  </si>
  <si>
    <t>Business Survey Data</t>
  </si>
  <si>
    <t>Budget Variance Data</t>
  </si>
  <si>
    <t>ITR Data</t>
  </si>
  <si>
    <t>Team:</t>
  </si>
  <si>
    <t>Period:</t>
  </si>
  <si>
    <t>Scores</t>
  </si>
  <si>
    <t>Target</t>
  </si>
  <si>
    <t>Previous Score</t>
  </si>
  <si>
    <t>Trend</t>
  </si>
  <si>
    <t>Improve solution planning</t>
  </si>
  <si>
    <t>Improve solution delivery</t>
  </si>
  <si>
    <t>Improve customer service &amp; support satisfaction</t>
  </si>
  <si>
    <t>Meet service level agreements</t>
  </si>
  <si>
    <r>
      <t>2</t>
    </r>
    <r>
      <rPr>
        <sz val="10"/>
        <rFont val="Arial"/>
        <family val="2"/>
      </rPr>
      <t>Budget Variance:</t>
    </r>
  </si>
  <si>
    <r>
      <t>3</t>
    </r>
    <r>
      <rPr>
        <sz val="10"/>
        <rFont val="Arial"/>
        <family val="2"/>
      </rPr>
      <t>On-Time Delivery:</t>
    </r>
  </si>
  <si>
    <t>5 = Strongly Agree</t>
  </si>
  <si>
    <t>The ratio of actual account</t>
  </si>
  <si>
    <t>The ratio of actual duration to</t>
  </si>
  <si>
    <t>4 = Agree</t>
  </si>
  <si>
    <t>values to budgetted account</t>
  </si>
  <si>
    <t>committed duration</t>
  </si>
  <si>
    <t>3 = Neutral</t>
  </si>
  <si>
    <t>values in 6 key accounts, weighted</t>
  </si>
  <si>
    <t>from Analyze through Deploy,</t>
  </si>
  <si>
    <t>2 = Disagree</t>
  </si>
  <si>
    <t>by controllability considerations.</t>
  </si>
  <si>
    <t>averaged over all releases.</t>
  </si>
  <si>
    <t>1 = Strongly Disagree</t>
  </si>
  <si>
    <t>Work Processing Summary</t>
  </si>
  <si>
    <t>Help Desk Processing Summary</t>
  </si>
  <si>
    <r>
      <t xml:space="preserve">Total ITRs </t>
    </r>
    <r>
      <rPr>
        <b/>
        <i/>
        <sz val="9"/>
        <rFont val="Arial"/>
        <family val="2"/>
      </rPr>
      <t xml:space="preserve">OPENED </t>
    </r>
  </si>
  <si>
    <r>
      <t xml:space="preserve">Total ITRs </t>
    </r>
    <r>
      <rPr>
        <b/>
        <i/>
        <sz val="9"/>
        <rFont val="Arial"/>
        <family val="2"/>
      </rPr>
      <t xml:space="preserve">CLOSED </t>
    </r>
  </si>
  <si>
    <t>Cumulative Backlog</t>
  </si>
  <si>
    <t>Number of Calls Received</t>
  </si>
  <si>
    <t>Avg Call Duration</t>
  </si>
  <si>
    <t>Avg Call Wait Time</t>
  </si>
  <si>
    <t>Number of Cases Created</t>
  </si>
  <si>
    <t>Number of Cases Closed</t>
  </si>
  <si>
    <t>Programming Services</t>
  </si>
  <si>
    <t>Software</t>
  </si>
  <si>
    <t>Software Maintenance</t>
  </si>
  <si>
    <t>Consulting</t>
  </si>
  <si>
    <t>Salaries</t>
  </si>
  <si>
    <t>Surveys</t>
  </si>
  <si>
    <t>Warren Fox</t>
  </si>
  <si>
    <t>Manage to Budget</t>
  </si>
  <si>
    <t>Capital Expenses</t>
  </si>
  <si>
    <r>
      <t>1</t>
    </r>
    <r>
      <rPr>
        <sz val="10"/>
        <rFont val="Arial"/>
        <family val="2"/>
      </rPr>
      <t xml:space="preserve"> Survey Scores:</t>
    </r>
  </si>
  <si>
    <t>Weighting</t>
  </si>
  <si>
    <t>Score</t>
  </si>
  <si>
    <t>Percentage</t>
  </si>
  <si>
    <t>Category</t>
  </si>
  <si>
    <t>Contribution</t>
  </si>
  <si>
    <t>On-Time %
(Average)</t>
  </si>
  <si>
    <t xml:space="preserve">  0% &lt;= S &lt; 70%</t>
  </si>
  <si>
    <t>90% &lt;= S &lt; 95%</t>
  </si>
  <si>
    <t>95% &lt;= S &lt; 98%</t>
  </si>
  <si>
    <t>102% &lt;= S &lt; 105%</t>
  </si>
  <si>
    <t>105% &lt;= S &lt; 110%</t>
  </si>
  <si>
    <t>130% &lt;= S &lt; 10000%</t>
  </si>
  <si>
    <t>98% &lt;= S &lt; 100%</t>
  </si>
  <si>
    <t>100% &lt;= S &lt; 102%</t>
  </si>
  <si>
    <t>(Score for All IT)</t>
  </si>
  <si>
    <t>Budget Rollup</t>
  </si>
  <si>
    <t>Survey Mapping</t>
  </si>
  <si>
    <t>70% &lt;= S &lt; 80%</t>
  </si>
  <si>
    <t>80% &lt;= S &lt; 90%</t>
  </si>
  <si>
    <t>110% &lt;= S &lt; 120%</t>
  </si>
  <si>
    <t>120% &lt;= S &lt; 130%</t>
  </si>
  <si>
    <t>Brad Sherrell</t>
  </si>
  <si>
    <t>Ellen Blanciak</t>
  </si>
  <si>
    <t>Fausto Hoyos</t>
  </si>
  <si>
    <t>Donna Ransom</t>
  </si>
  <si>
    <t>Henry Sy</t>
  </si>
  <si>
    <t>Product</t>
  </si>
  <si>
    <t>Sales</t>
  </si>
  <si>
    <t>UI &amp; Doc Management</t>
  </si>
  <si>
    <t>Producer Admin</t>
  </si>
  <si>
    <t>Producer CRM</t>
  </si>
  <si>
    <t>New Business Workflow</t>
  </si>
  <si>
    <t>Inforce Workflow</t>
  </si>
  <si>
    <t>Division Reporting Services</t>
  </si>
  <si>
    <t>Integration Services</t>
  </si>
  <si>
    <t>Delivery Support Services</t>
  </si>
  <si>
    <t>Christopher Rhodes</t>
  </si>
  <si>
    <t>Darren Ludwig</t>
  </si>
  <si>
    <t>Admin System Support</t>
  </si>
  <si>
    <t>Gail Stith</t>
  </si>
  <si>
    <t>Cyberlife Project</t>
  </si>
  <si>
    <t>Dale Beneke</t>
  </si>
  <si>
    <t>Cyberlife Support</t>
  </si>
  <si>
    <t>Henry O'Neil</t>
  </si>
  <si>
    <t>Cyberlife Regression</t>
  </si>
  <si>
    <t>Karen Moyer</t>
  </si>
  <si>
    <t>System Integration</t>
  </si>
  <si>
    <t>Ed Zulauf</t>
  </si>
  <si>
    <t>Tech Upgrades</t>
  </si>
  <si>
    <t>Sales System Integration</t>
  </si>
  <si>
    <t>Help Desk, Info Security, Infra-Arch</t>
  </si>
  <si>
    <t>Server Environments</t>
  </si>
  <si>
    <t>Maureen Romano</t>
  </si>
  <si>
    <t>Scott Struve</t>
  </si>
  <si>
    <t>Core Services</t>
  </si>
  <si>
    <t>ScoreCard</t>
  </si>
  <si>
    <t>Organization</t>
  </si>
  <si>
    <t>Service</t>
  </si>
  <si>
    <t>x8868</t>
  </si>
  <si>
    <t>Technology Services</t>
  </si>
  <si>
    <t>IT Operatons - Help Desk</t>
  </si>
  <si>
    <t>IT Operations - Server</t>
  </si>
  <si>
    <t>Nicole Hourigan</t>
  </si>
  <si>
    <t>FollowUp_Questions_Location</t>
  </si>
  <si>
    <t>Primary_Questions_Location</t>
  </si>
  <si>
    <t>Questions_Location</t>
  </si>
  <si>
    <t>Row_Width_Location</t>
  </si>
  <si>
    <t>Statistics_Location</t>
  </si>
  <si>
    <t>Survey_Period</t>
  </si>
  <si>
    <t>Team_Manager_Lookup</t>
  </si>
  <si>
    <t>Team_Name</t>
  </si>
  <si>
    <t>Team_Name_Lookup</t>
  </si>
  <si>
    <t>Team_Names</t>
  </si>
  <si>
    <t>Yes_No_Lookup</t>
  </si>
  <si>
    <t>Manager's Manager</t>
  </si>
  <si>
    <t>x3708</t>
  </si>
  <si>
    <t>x3135</t>
  </si>
  <si>
    <t>Dawn Trautman</t>
  </si>
  <si>
    <t>x3128 x8115</t>
  </si>
  <si>
    <t>x3867</t>
  </si>
  <si>
    <t>Questions</t>
  </si>
  <si>
    <t>Row Width</t>
  </si>
  <si>
    <t>Statistics</t>
  </si>
  <si>
    <t>Primary Questions</t>
  </si>
  <si>
    <t>Follow-Up Questions</t>
  </si>
  <si>
    <t>Question #</t>
  </si>
  <si>
    <t>Question Text</t>
  </si>
  <si>
    <t>Width</t>
  </si>
  <si>
    <t>Primary Question</t>
  </si>
  <si>
    <t>Follow-Up Question</t>
  </si>
  <si>
    <t>QSurveyPeriod</t>
  </si>
  <si>
    <t>Please select the timeframe this survey applies to (typically the most recent).</t>
  </si>
  <si>
    <t>QYourName</t>
  </si>
  <si>
    <t>Please enter your name:</t>
  </si>
  <si>
    <t>Q1</t>
  </si>
  <si>
    <t>Q1b</t>
  </si>
  <si>
    <t>Please describe:</t>
  </si>
  <si>
    <t>Q2</t>
  </si>
  <si>
    <t>Q2b</t>
  </si>
  <si>
    <t>Q3</t>
  </si>
  <si>
    <t>Q3b</t>
  </si>
  <si>
    <t>If not, please describe:</t>
  </si>
  <si>
    <t>Q4</t>
  </si>
  <si>
    <t>Q4b</t>
  </si>
  <si>
    <t>Q5</t>
  </si>
  <si>
    <t>Q5b</t>
  </si>
  <si>
    <t>Q6</t>
  </si>
  <si>
    <t>Q6b</t>
  </si>
  <si>
    <t>Q7</t>
  </si>
  <si>
    <t>Q7b</t>
  </si>
  <si>
    <t>If you disagree, please describe what you would like to see changed:</t>
  </si>
  <si>
    <t>Q8</t>
  </si>
  <si>
    <t>Q8b</t>
  </si>
  <si>
    <t>Please provide any comments:</t>
  </si>
  <si>
    <t>Q9</t>
  </si>
  <si>
    <t>Q10</t>
  </si>
  <si>
    <t>RecordId</t>
  </si>
  <si>
    <t>Survey Name</t>
  </si>
  <si>
    <t>Survey Period</t>
  </si>
  <si>
    <t>Questions Sheet</t>
  </si>
  <si>
    <t>FollowUp Questions Location</t>
  </si>
  <si>
    <t>Start Data Row</t>
  </si>
  <si>
    <t>End Data Row</t>
  </si>
  <si>
    <t>Start Data Column</t>
  </si>
  <si>
    <t>End Data Column</t>
  </si>
  <si>
    <t>Chart Count</t>
  </si>
  <si>
    <t>Question Count</t>
  </si>
  <si>
    <t>Response Count</t>
  </si>
  <si>
    <t>Secondary Question</t>
  </si>
  <si>
    <t>Strongly Disagree</t>
  </si>
  <si>
    <t>Average (All IT)</t>
  </si>
  <si>
    <t>StdDevP</t>
  </si>
  <si>
    <t>Average (Team)</t>
  </si>
  <si>
    <t>Average Hack</t>
  </si>
  <si>
    <t>Question</t>
  </si>
  <si>
    <t>Follow-up Question</t>
  </si>
  <si>
    <t>I understand the allocation of IT resources for my area and the projects I am sponsoring.</t>
  </si>
  <si>
    <t>If you disagree, please describe what would help you:</t>
  </si>
  <si>
    <t>I feel the options presented for getting work done (e.g., Staffing, Budget, Scope, Timing, Use of New Technologies) enable me to make decisions.</t>
  </si>
  <si>
    <t>If not, please explain:</t>
  </si>
  <si>
    <t>Overall, IT is managing their work well (people, issues, resourceful, good work management).</t>
  </si>
  <si>
    <t>Please provide any Additional Comments you have:</t>
  </si>
  <si>
    <t>&lt;blank&gt;</t>
  </si>
  <si>
    <t>0</t>
  </si>
  <si>
    <t>Overall Average (All IT)</t>
  </si>
  <si>
    <t>Average Deviation (Team)</t>
  </si>
  <si>
    <t>Overall Average (Team)</t>
  </si>
  <si>
    <t>QITTeamName</t>
  </si>
  <si>
    <t>IT took appropriate time to understand my problem or need before solving or meeting it.</t>
  </si>
  <si>
    <t>Did you have any other expectations:</t>
  </si>
  <si>
    <t>The quality of the solutions delivered by IT met my expectations.</t>
  </si>
  <si>
    <t>If you disagree, please describe what you expected:</t>
  </si>
  <si>
    <t>IT performed adequate research and performed effective and timely follow up when requested.</t>
  </si>
  <si>
    <t>If you disagree, please describe what you would have liked to have happen:</t>
  </si>
  <si>
    <t>Q9b</t>
  </si>
  <si>
    <t>If you disagree, please describe:</t>
  </si>
  <si>
    <t>IT staff members are knowledgeable about my business and the applications I depend on, and they understood the impact issues can have on my business.</t>
  </si>
  <si>
    <t>Q10b</t>
  </si>
  <si>
    <t>Q11</t>
  </si>
  <si>
    <t>Overall, IT communicated adequate, clear, timely and useful information to me.</t>
  </si>
  <si>
    <t>Q11b</t>
  </si>
  <si>
    <t>Q12</t>
  </si>
  <si>
    <t>Overall, IT did a good job managing their resources and ensuring follow-through on commitments.</t>
  </si>
  <si>
    <t>Q12b</t>
  </si>
  <si>
    <t>Q13</t>
  </si>
  <si>
    <t>Q13b</t>
  </si>
  <si>
    <t>Q14</t>
  </si>
  <si>
    <t>Q14b</t>
  </si>
  <si>
    <t>Q15</t>
  </si>
  <si>
    <t>Please describe any other expectations of IT that you would like to express:</t>
  </si>
  <si>
    <t>Q16</t>
  </si>
  <si>
    <t>Please provide any additional comments you have:</t>
  </si>
  <si>
    <t>Terry Bloom</t>
  </si>
  <si>
    <t>Susan Andrews</t>
  </si>
  <si>
    <t>Tim Kolbo</t>
  </si>
  <si>
    <t>Donna Whitcher</t>
  </si>
  <si>
    <t>James Cast</t>
  </si>
  <si>
    <t>Cynthia Vo</t>
  </si>
  <si>
    <t>Paul Suh</t>
  </si>
  <si>
    <t>Alexis Neuenfeldt</t>
  </si>
  <si>
    <t>Please select the timeframe this survey applies to (typically the most recent):</t>
  </si>
  <si>
    <t>QTeamName</t>
  </si>
  <si>
    <t>The recognition I receive is appropriate for the contributions that I make.</t>
  </si>
  <si>
    <t>If you disagree, please describe the kind of recognition you would like to receive:</t>
  </si>
  <si>
    <t>I am adequately trained to do my job.</t>
  </si>
  <si>
    <t xml:space="preserve">If you disagree, please describe the training you would like to receive: </t>
  </si>
  <si>
    <t>I feel am adequately trained to apply the LDM to my work.</t>
  </si>
  <si>
    <t>If you disagree, please describe what specific training would you like to receive:</t>
  </si>
  <si>
    <t>I have the tools, materials and equipment to accomplish my job.</t>
  </si>
  <si>
    <t>If you disagree, please describe what you need:</t>
  </si>
  <si>
    <t>I understand my customers and their expectations of me and my team.</t>
  </si>
  <si>
    <t>If you disagree, please describe what would like to see done differently:</t>
  </si>
  <si>
    <t>The LDM enables me and my team be more effective in the work we perform.</t>
  </si>
  <si>
    <t>If not, please describe what would be helpful:</t>
  </si>
  <si>
    <t>My work products are regularly reviewed by others.</t>
  </si>
  <si>
    <t>Q15b</t>
  </si>
  <si>
    <t>Q16b</t>
  </si>
  <si>
    <t>Q17</t>
  </si>
  <si>
    <t>Q17b</t>
  </si>
  <si>
    <t>If you not, please describe what would help your understanding:</t>
  </si>
  <si>
    <t>Q18</t>
  </si>
  <si>
    <t>I feel other members of my team are working diligently and effectively.</t>
  </si>
  <si>
    <t>Q18b</t>
  </si>
  <si>
    <t>If not, please describe</t>
  </si>
  <si>
    <t>Q19</t>
  </si>
  <si>
    <t>I feel other IT teams are working diligently and effectively.</t>
  </si>
  <si>
    <t>Q19b</t>
  </si>
  <si>
    <t>Q20</t>
  </si>
  <si>
    <t>Q20b</t>
  </si>
  <si>
    <t>Q21</t>
  </si>
  <si>
    <t>Teams</t>
  </si>
  <si>
    <t>Defined Names</t>
  </si>
  <si>
    <t>Partner Survey Questions</t>
  </si>
  <si>
    <t>Business Survey Questions</t>
  </si>
  <si>
    <t>IT Survey Questions</t>
  </si>
  <si>
    <t>I am aware of the options available to express my opinion and feel it is taken into account.</t>
  </si>
  <si>
    <t>Please select the team you belong to. This is used only to help us create team-level scorecards.</t>
  </si>
  <si>
    <t>I understand how my team's Scorecard is created and the impact I can have on it.</t>
  </si>
  <si>
    <t xml:space="preserve">Please select the team for which you are responding: </t>
  </si>
  <si>
    <t>If you disagree, please describe what you would've liked to have happen:</t>
  </si>
  <si>
    <t>Teams!$A$6:$B$19</t>
  </si>
  <si>
    <t>On-Time %
(Weighted Actual)</t>
  </si>
  <si>
    <t>On-Time %
(Weighted Scheduled)</t>
  </si>
  <si>
    <t>No Releases</t>
  </si>
  <si>
    <t>Comparison</t>
  </si>
  <si>
    <t>SSI</t>
  </si>
  <si>
    <t>ViewPoint</t>
  </si>
  <si>
    <t>No Data</t>
  </si>
  <si>
    <t>Work Processing</t>
  </si>
  <si>
    <t>Total ITRs Opened</t>
  </si>
  <si>
    <t>Total ITRs Closed</t>
  </si>
  <si>
    <t>Column</t>
  </si>
  <si>
    <t>IT Operations - Help Desk</t>
  </si>
  <si>
    <t>H1 2007</t>
  </si>
  <si>
    <t>99% of the team</t>
  </si>
  <si>
    <t>the new recognition system does not have quality items as the pervious system.</t>
  </si>
  <si>
    <t>It seems that the company makes it more difficult every year be get VIP and there is very little room for advancements.</t>
  </si>
  <si>
    <t>I am not aware that the LDM applies to my position.</t>
  </si>
  <si>
    <t>I should probably have more one on one time; even if it's just 30 minutes per week.</t>
  </si>
  <si>
    <t>I am not aware I'm reflected on a scorecard anywhere.</t>
  </si>
  <si>
    <t>Team = IT Planning and Administration</t>
  </si>
  <si>
    <t>We have made suggestion before to hlp our work flow better but nothing happens.</t>
  </si>
  <si>
    <t>The options I am aware of; to offer an opinion, brings the spanish inquisition. You are left with your ideas being dismissed, and feeling apathetic towards offering any future ideas, knowing that Mark is going to do whatever he wanted to do in the first place.</t>
  </si>
  <si>
    <t>We have had no applicaion or O/S training since Windows 2000 was implemented. How about Vista troubleshooting, applicaion setup and configuration; communication skills, managment interction skills.</t>
  </si>
  <si>
    <t>I do not know how the LDM works, let alone how it pertains to my job, I have had no training in it.</t>
  </si>
  <si>
    <t>Our hands are tied, we have to much buracracy in our proceses. We still do not have a central repository for troubleshooting information. (Clarify is a joke, the documentation under the helpdesk folder is out of date, and now we are also using a sharepoint portal for Vista...but some of Vista issues are still in Clarify...keep guessing where you might find it. Good Luck.</t>
  </si>
  <si>
    <t>Information is given with an interuption usually, when I am in the middle of something, and it's verbal for complex tasks rather than documented. it is usually given with the expectation that I need to stop what I am doing and take notes.</t>
  </si>
  <si>
    <t>What is the LDM and how does it pertain to what we do?</t>
  </si>
  <si>
    <t>See above</t>
  </si>
  <si>
    <t>I don't want to name names, that is the supervisors job to keep track of what's not being done. But that's not happening.</t>
  </si>
  <si>
    <t>We are disorganized and disfunctional, we have no team spirit, and it's everone for themselves; we have fractured this department by letting some people have there own little kingdom, and everyone else be damned.</t>
  </si>
  <si>
    <t>Jeff is starting to take an active role in getting us together, as a group, to discuss our concerns,this is a good first step. I think the whole way we work needs to be reevaluated; especially during huge projects like the Vista role out. Too much work, not enough time to plan, react to change, and keep on schedule.</t>
  </si>
  <si>
    <t>Although I see how it helps some people get organized, I feel I can be just as effective without the LDM.</t>
  </si>
  <si>
    <t>I rarely review other people's work.</t>
  </si>
  <si>
    <t>I think I need more training writing queries I can do a lot from books but I'm not sure the code I write is the best way to do it.</t>
  </si>
  <si>
    <t>I have not used all the components so I can't answer that.</t>
  </si>
  <si>
    <t>I'm not aware of their tasks or the complexity of the tasks to effectively answer</t>
  </si>
  <si>
    <t>most of the time</t>
  </si>
  <si>
    <t>For IT to be successful, Product Design needs to improve their specs/rates deliverables. For example, the 2001 CSO products have a 4-6 weeks gap between working specs versus final specs. Working specs are often delivered with sections that read TBD, this represents a huge risk for IT areas because they are being asked to provide detail Project Schedule based on assumptions.  By the time final specs are given, some IT areas are already in their build stage and usually, final specs contain new requirements which forces IT areas to work extra hard since they need to go back to its Analysis &amp; Design stages to account for the new changes and absorbed the time needed for these changes.  The LDM/PMO don't start the change-control-requests process until after final specs are published which makes some IT areas work extra hours in order keep up with the Project Schedule.  If we want to improve this process, Product Design will need to shorten its gap and provide final-specs/fin!    al-rates within 2-3 weeks after working specs are published.</t>
  </si>
  <si>
    <t>I believe the UThanks and the VIP is greatly appreciated but I feel raises would be most appreciated for the extra work that has been heaped on me and the Help Desk in general in addition to the existing day to day support that we have to already provide.  And now do it in a "smarter, more efficient way" so as not to incur overtime.</t>
  </si>
  <si>
    <t>I believe options are now opening up for me to express my opinions but the problem is not being able to express my opinions but having them "heard" and "addressed".</t>
  </si>
  <si>
    <t>Training as it relates to my job and time to be able to do it.</t>
  </si>
  <si>
    <t>This may be because the LDM is really Not Applicable since this process hasn't really been a big part of the Help Desk.</t>
  </si>
  <si>
    <t>I believe I do but do some others?</t>
  </si>
  <si>
    <t>Again, I believe I do but do some others?</t>
  </si>
  <si>
    <t>I may be partly to blame for that for not taking initiative with the meetings.</t>
  </si>
  <si>
    <t>For the most part, the communication is there and it's direct(which is a good thing).  He/She needs to articulate his/her words better, especially over the Nextel, right Mark?</t>
  </si>
  <si>
    <t>He does make himself available usually, which is great.</t>
  </si>
  <si>
    <t>I don't really see it working in our daily process.  I know we assist others who use the LDM though.</t>
  </si>
  <si>
    <t>I don't always know (directly) what others in my team are doing except through the grapevine (when it's bad) and through our staff meetings.</t>
  </si>
  <si>
    <t>I haven't a clue as far as what the consequences of the Scorecard does for me or my team.</t>
  </si>
  <si>
    <t>Like any other team, some are and some aren't.  I would hope that there are metrics to show management how to separate the two and help correct the latter.</t>
  </si>
  <si>
    <t>For the most part, it has been a good team effort and the Help Desk in general does work well together.</t>
  </si>
  <si>
    <t>I do feel we've improved as a team (Help Desk) since our last survey but I'm continuing to wait and see what management does with the results of these surveys.    I believe some of our issues have to do with people's attitudes and the lack of motivation to take the Life Core Values to heart.  Why should we "embrace continuous learning" and "show respect" for others?    I believe management can do more to lift team morale.  We use to be pretty good at maintaining morale at a good level by celebrating birthdays every month for example.  Now, we are lucky if we get Ken to bring donuts once a month (thanks Ken!).</t>
  </si>
  <si>
    <t>My opinions are largely ignored.</t>
  </si>
  <si>
    <t>My supervisor evaluates me and then her supervision lowers the evaluation so that I am not rated too highly.  They want be make sure that I do not get an Outstanding or that I don't get an Above Expectations consistenly.</t>
  </si>
  <si>
    <t>Since there is no QA team for the ALIS and misc team, being forced to hold all of our ITR's to a single monthly release is very difficult, particularly for ALIS where 80% of the changes are in a single program.   We end up getting in each others way.</t>
  </si>
  <si>
    <t>I believe they are hampered by their management, somewhat.  Not all supervisors look for things such as similar ITR's when assigning to a programmer.  That would help get things accomplished faster because the problem wouldn't have to be solved multiple times by multiple people if the ITR's were assigned to the same programmer.</t>
  </si>
  <si>
    <t>There is little to no training for my job.  It's learn as you go which is very hard and time consuming when you're expected to get something corrected and you have no idea how it's suppose to work in the first place.  There is no documentation.</t>
  </si>
  <si>
    <t>Seldom does anything tangible result from the opions voiced by our associates.</t>
  </si>
  <si>
    <t>We support all of the Life Division Hardware, Software and Internet issues, but hardware items are not always available or are not available in sufficient quantities for hands on support.</t>
  </si>
  <si>
    <t>I could use more system specific training.</t>
  </si>
  <si>
    <t>We could use better mainframe file comparison tools that are user friendly.</t>
  </si>
  <si>
    <t>We could meet more often for discussions directly related to performance objectives and review progress.</t>
  </si>
  <si>
    <t>Dev environments have too many constraints which make development hard and long than it needs to be especially in the iDev and iTest environments.</t>
  </si>
  <si>
    <t>Cross team communication is poor or non-existant.</t>
  </si>
  <si>
    <t>Hello - you'll know who this is as soon as you read this.  DARTs is not a great tool.  And, it is no longer supported enough to develop into a more useful tool.  Need an integrated solution (customizable to each area) that brings ITRs and associated UAT issues, Q&amp;A issues, Deliverables, Risks, email notification, Change Requests (etc) together into one tool.  I know, wishful thinking.  :)</t>
  </si>
  <si>
    <t>Within my own department I am valued and appreciated, however external departments do not value my opinions and experience.</t>
  </si>
  <si>
    <t>It depends on the circumstances.</t>
  </si>
  <si>
    <t>The LDM doesn't always apply to the type of projects and work I do.</t>
  </si>
  <si>
    <t>What do you mean by "other people's" work products? Outside my department? If so, I feel my opinions or suggestions are not needed or valued.</t>
  </si>
  <si>
    <t>What do you mean by My Team? My Department or Project teams? There IS a difference.</t>
  </si>
  <si>
    <t>Usually, there is no detailed plan, so how can it be on time and as committed?</t>
  </si>
  <si>
    <t>I feel that my compensation does not quite match my contributions and value to the division. To be blunt, I would like for my annual compensation to be at least 6K more than it is. An occasional pat on the back is nice to receive. But, a higher income is more satisfying.</t>
  </si>
  <si>
    <t>I currently have enough training to do my job. But, many of us are concerned about a lack of training for Remedy &amp; Vista.</t>
  </si>
  <si>
    <t>To tell you the truth, I feel that my peers seldom even think about the LDM.  Many in my team hardly know what the LDM is and what it's purpose is. I can't remember the last time we discussed it. Personally, my work ethics naturally follow the LDM to a certain degree. I can and will follow it more closely.</t>
  </si>
  <si>
    <t>None of my supervisors have ever had a good grasp of the technical aspects of my job, how much work I get done during the course of the year, and how much people depend on me. I feel that our evaluations put too much emphasis on whether we followed departmental policies and any mistakes we may have made. I would like for our workloads and responsibilities to have more impact when being evaluated.</t>
  </si>
  <si>
    <t>I happen to like my supervisor. But, we have not talked very often about my performance.  I do get compliments on my work, which is nice.</t>
  </si>
  <si>
    <t>Again, I don't beleive that my peers use or even think about the LDM. I know enough about the LDM to answer "yes" we could size and tailor the LDM for the work that we do.</t>
  </si>
  <si>
    <t>Because we seldom talk about the LDM, I'd have to say "Does not apply".</t>
  </si>
  <si>
    <t>In the past year, I have reviewed someone elses work product only once.</t>
  </si>
  <si>
    <t>I think we need to discuss the topic more.</t>
  </si>
  <si>
    <t>Some people work hard all day, every day.  Others don't seem to have enough to do. A few people don't seem to do much work at all. I don't let it bother me.</t>
  </si>
  <si>
    <t>There was one instance where we had to wait several weeks for another team to send some work back to us. I beleive it was at least 6 weeks overdue. Fortunately, it was not a critical situation. Also, there have been times when I have had to make phone calls to certain areas when time became a factor.</t>
  </si>
  <si>
    <t>I am happy with my current environment.  We work well together.</t>
  </si>
  <si>
    <t>It sounds like evaluation ratings are passed down from upper management (leaning towards rewarding participation in high profile projects and not production support work)</t>
  </si>
  <si>
    <t>Not always.  However, communication improved with status information.</t>
  </si>
  <si>
    <t>Although my supervisor meets with me regularly it's typically to discuss other topics not my performance.</t>
  </si>
  <si>
    <t>Not often enough. And even if it comes in on time there are often changes during the course of the project that were not anticipated.</t>
  </si>
  <si>
    <t>For the most part, I agree.  There are always people who will take advantage of working remotely and regularly come in late, leave early and spend hours of the remaining work day on personal phone calls/conversations.</t>
  </si>
  <si>
    <t>I don't think other opinions are really taken into account.</t>
  </si>
  <si>
    <t>Communication within the department could be improved.</t>
  </si>
  <si>
    <t>We meet occasionally and when we do my performance is not discussed.</t>
  </si>
  <si>
    <t>New Product specs have been delivered on-time, but still are not as complete as promised. They contain many TBDs, plus lots of questions/issues are identified surrounding clarification and correction of the requirements.</t>
  </si>
  <si>
    <t>Whenever significant work is completed, there seems to be little or no recognition.  I would like to be recognized for the hard work I do.  A simple email expressing thanks is plenty.  Also, I don't like the new "Thanks" program and I think we should switch back to the old program or into a new one.</t>
  </si>
  <si>
    <t>Formal LDM documentation is regularly reviewed.  More detailed tasks are not reviewed and are only peer reviewed if initiated or requested by me.  Peer Review tasks are inserted into work plans when requested and are not always a formal step with time allowed for successful review.</t>
  </si>
  <si>
    <t>Compensation is not commensurate with experience nor level of expertise provided.</t>
  </si>
  <si>
    <t>Have been told IT policy is blah blah. Without benefits and drawbacks of suggestion being weighed out.</t>
  </si>
  <si>
    <t>Has been sink or swim. Good thing I can swim.</t>
  </si>
  <si>
    <t>While I know there is information available it is scattered with to many people doing things their way. A lack of standards causes constant adaptation.</t>
  </si>
  <si>
    <t>Management is trained to give praise until it is time for a raise, then every little thing that ever went wrong is suddenly important.</t>
  </si>
  <si>
    <t>He is far to busy due to a heavy work load.</t>
  </si>
  <si>
    <t>We do maintenance and it is never know the real scope until all the research is complete. This is the nature of what we do no matter what the company.</t>
  </si>
  <si>
    <t>Has been talked about at only a very superficial level.</t>
  </si>
  <si>
    <t>DB2 poorly used. Entire system is convoluted, someone must not have been diligent or effective. System suffers from poor architectural decisions.</t>
  </si>
  <si>
    <t>While I have made many negative comments I would like to add that I am happy to work here. Other employees have said they would just answer "I am happy". But it is my nature to be brutally honest. There are many areas that could use improvement, simplification and debureaucracyification .</t>
  </si>
  <si>
    <t>My manager is always open and available to listen to my opinions or just let me vent from time to time, but this is the only option I'm aware of which is why I disagree with the 's' on options</t>
  </si>
  <si>
    <t>I feel the LDM is too formal and structured for the majority of projects I work on.</t>
  </si>
  <si>
    <t>We don't hear much reference to it any more.  I had to go look it up to remember what it was.</t>
  </si>
  <si>
    <t>I belong to the inforce service team in IT service</t>
  </si>
  <si>
    <t>This is a really great team to work in.</t>
  </si>
  <si>
    <t>Not at this time.</t>
  </si>
  <si>
    <t>I would like to know how my job performance evaluation is done.</t>
  </si>
  <si>
    <t>I feel I have little exposure to IT teams outside of IT-Sales.</t>
  </si>
  <si>
    <t>Product Design's work is sometimes late, but never more than a day or two.  They are often punctual and respond to issues in a timely manner.    Marketing's documents often arrive later than expected and issues can sometimes go unresolved for over a week.</t>
  </si>
  <si>
    <t>I believe we never have finalized a portion of the LDM for LIFE ITO</t>
  </si>
  <si>
    <t>I am a new employee so I have not had full training with the LDM</t>
  </si>
  <si>
    <t>I have not discussed specific goals with my manager and I'm not sure how I will be evaluated</t>
  </si>
  <si>
    <t>I am a new member of the team and I have not had the chance to reiew other people's work</t>
  </si>
  <si>
    <t>I have no idea what the scorecard is</t>
  </si>
  <si>
    <t>I have only been with Pacific Life for 1 month</t>
  </si>
  <si>
    <t>I am a new employee so I have not had the chance to get fully acquainted with the team and IT in general</t>
  </si>
  <si>
    <t>If you ask for training then there is a question of cost and time.</t>
  </si>
  <si>
    <t>I think that the new "thanks" program is better that the perks and is a more positive program.</t>
  </si>
  <si>
    <t>Start receiving recoginition for a job well done.</t>
  </si>
  <si>
    <t>My responsibilities have not been conveyed to me.</t>
  </si>
  <si>
    <t>I am not aware of any scorecard.</t>
  </si>
  <si>
    <t>I do not feel that some other IT teams are working diligently or effectively.</t>
  </si>
  <si>
    <t>They will not commit to a delivery time.</t>
  </si>
  <si>
    <t>.NET training</t>
  </si>
  <si>
    <t>no</t>
  </si>
  <si>
    <t>Anthony Kufner</t>
  </si>
  <si>
    <t>Heads-up when obstacles/problems are encountered.</t>
  </si>
  <si>
    <t>The amount of time it adds to a project extends the deliverable date.  If we can follow a methodology that takes less time to implement it would help our deliverables.</t>
  </si>
  <si>
    <t>My wish is that it didn't take so long to implement the LDM. The time it takes to implement with the LDM process extends project schedules/delivery timelines.</t>
  </si>
  <si>
    <t>Efficiency is not a problem, rather the speed to deliver solutions is the issue.</t>
  </si>
  <si>
    <t>I've found that they understand the applications a lot more then the business.  Learning the business definitely helps the end product.</t>
  </si>
  <si>
    <t>The resources available for NB Workflow were recently decimated and it's difficult to deliver.  The main resource constraint is in testing.</t>
  </si>
  <si>
    <t>Evaluation of other methods (software, vendors, solutions) to enhance the business process and PL's ability to compete in the insurance market.</t>
  </si>
  <si>
    <t>It's difficult to deliver quality products when the team is reduced by half.</t>
  </si>
  <si>
    <t>n/a</t>
  </si>
  <si>
    <t>LDM adds extra time to projects</t>
  </si>
  <si>
    <t>Cutting a team by ½ has limited their ability to perform.</t>
  </si>
  <si>
    <t>Henry Oneil and his Vantage IT Service team's standards has exceeded our expectations. Much is appreciated, as always.</t>
  </si>
  <si>
    <t>Michael Hitchcock</t>
  </si>
  <si>
    <t>No.</t>
  </si>
  <si>
    <t>Jennifer Swazo</t>
  </si>
  <si>
    <t>Feedback that I have received is that the process is too cumbersome and prevents release and demand managers from focusing on project details.</t>
  </si>
  <si>
    <t>We are continually struggling to have adequate resources assigned to projects.  We could experience more favorable presence with producer groups and lower costs with vendors if adequate resources (development and testing) were available.</t>
  </si>
  <si>
    <t>Recent org changes have left IPD team with less experienced resources that do not understand all of our processes or systems.</t>
  </si>
  <si>
    <t>We are constantly  playing catch up with competitors and spending unnecessary funds fro vendors due to the limited resources.  To meet the Pacific Life vision for 2011, adequate testing, development and analytical resources must be available for NBS.    It is important to note that I have found Nedra Jerry very  responsive to any concerns.  She is proactive and really works to make sure that our needs are understood and met.</t>
  </si>
  <si>
    <t xml:space="preserve">The PA teams are very helpful and responsive to our questions.    Ellen, Rose and Irene continue to work with us to improve ITR UAT and approvals and are always receptive to our feedback.  </t>
  </si>
  <si>
    <t>I always feel that Dale has a great understanding of our needs and does everything he can to ensure that his team exceeds our needs.  I feel very confident that Dale and his analysts/developers are trying to provide us with the best possible solution.</t>
  </si>
  <si>
    <t>My interaction with the eBusiness team has been most effective and efficient. They have always taken the time to research and respond to our issues.</t>
  </si>
  <si>
    <t>StdDev</t>
  </si>
  <si>
    <t>M:\Technology Office\IT Balanced Scorecard\Results\2007 H1\eBusiness Status Report (2007a Releases).xls</t>
  </si>
  <si>
    <t>Completed</t>
  </si>
  <si>
    <t>File Valid</t>
  </si>
  <si>
    <t>Completed Releases (1st Half 2007)</t>
  </si>
  <si>
    <t>ID</t>
  </si>
  <si>
    <t>Release Name</t>
  </si>
  <si>
    <t>Description</t>
  </si>
  <si>
    <t>Release Actual Start Date</t>
  </si>
  <si>
    <t>Release Scheduled Impl Date</t>
  </si>
  <si>
    <t>Release Actual Impl Date</t>
  </si>
  <si>
    <t xml:space="preserve">Pacific Indexed Accumulator II New York (PIA II NY) </t>
  </si>
  <si>
    <t>Modifications to eBusiness applications and databases for the Pacific Indexed Accumulator II New York (PIA II NY) product/plancodes</t>
  </si>
  <si>
    <t>Universal Life New York (UL NY)</t>
  </si>
  <si>
    <t>Modifications to eBusiness applications and databases for the Universal Life New York (UL NY) product/plancodes</t>
  </si>
  <si>
    <t>Select Exec IV New York (SE IV NY)</t>
  </si>
  <si>
    <t>Modifications to eBusiness applications and databases for the Select Exec IV New York (SE IV NY) product/plancodes</t>
  </si>
  <si>
    <t>2007 RLO Expansion Project</t>
  </si>
  <si>
    <t>Modifications to eBusiness applications and databases for the 2007 RLO Expansion Project.  RLO channel needs to expand in order to gain more market penetration and to ensure more face-to-face recruiting efforts.  This expansion will result in all RLO recruiters being assigned to a specific zip code territory range and the corresponding producers associated with that range.</t>
  </si>
  <si>
    <t>Lifeline Release (April 2007)</t>
  </si>
  <si>
    <r>
      <t>Lifeline Release (April 2007)</t>
    </r>
    <r>
      <rPr>
        <b/>
        <sz val="10"/>
        <rFont val="Verdana"/>
        <family val="2"/>
      </rPr>
      <t xml:space="preserve"> - </t>
    </r>
    <r>
      <rPr>
        <sz val="10"/>
        <rFont val="Verdana"/>
        <family val="2"/>
      </rPr>
      <t>Admin Search Page (Order), Revision Date - Publication Date, Content Syndication - Notification email, Ecom Admin Tool Update &amp; On Demand Reports, Forms Usage Type, Form "Special Message", RAD Editor Tool, Annuities Layout Elements, ECOM Thumbnails, Form Display Order (Authors), Sales Reports Updates, Reword Login Error Message</t>
    </r>
  </si>
  <si>
    <t>Multilife Managing And Tracking System</t>
  </si>
  <si>
    <t>Add this 3rd source of requirement data to existing screen and report on PPT and e-Stat.  This will involve modifications to current PPT/e-Stat retrieval and display logic (which now only deals with Workflow Single Life &amp; Underwriting Subsystem data).</t>
  </si>
  <si>
    <t>Lifeline Release (May 2007)</t>
  </si>
  <si>
    <t xml:space="preserve">Lifeline Release (May 2007) - May 1st Port Opt Updates, New VIT's Unit Values &amp; CPA, New VIT's PL.Com &amp; PL&amp;A.Com, Ecom "Billing" Type Addition, Add New VITs, New Fund, and Change Fund Name to DAILY UNIT VALUES EMAIL and FTP FEED  </t>
  </si>
  <si>
    <t>Planned Performance Tracking (May Release)</t>
  </si>
  <si>
    <t>Initial Release of Planned Performance Tracking (PPT) - Phase I</t>
  </si>
  <si>
    <t>Variable Insurance Trusts (VITs)</t>
  </si>
  <si>
    <t>Modifications to eBusiness applications and databases for the Variable Insurance Trusts (VITs) funds and their codes</t>
  </si>
  <si>
    <t>Enable 99 Funds - Phase 2</t>
  </si>
  <si>
    <t>Modifications/Testing of eBusiness applications and databases for the Enable 99 Funds - Phase 2 project</t>
  </si>
  <si>
    <t>Planned Performance Tracking (June Release)</t>
  </si>
  <si>
    <t xml:space="preserve">Planned Performance Tracking (7.6.1) - Fix Surrender Charge Calc (Client Policy Summary), Fix MEC (currently used field not populated correctly), Fix Cash Value OYT value, Fix Cash Value Template 2 (Loan Interest Refund should show negative value when total loan quote payoff is less than regular balance), Fix Cash Value Template 3, XPath statement not retrieving funds correctly (some product funds didn't show), Fix Javascript errors on mouseover fields
 </t>
  </si>
  <si>
    <t>Lifeline Release (June 2007)</t>
  </si>
  <si>
    <t xml:space="preserve">Lifeline Release (June 2007) - CMS Form Author Display Order, RLO Template Update (FVP Photos), LIDI Regional Life Office Roster, CMS Comments Area Expansion, CMS Powerpoint Download Report, CMS Workflow History for postings, CMS Login "Pop-up" Window, Increase Max File Upload Size, Fix Lifeline/Navigator launch, Sales Reports Updates
 </t>
  </si>
  <si>
    <t>New No-Lapse Second-to-Die Product</t>
  </si>
  <si>
    <t>Modifications to eBusiness applications and databases for the New No-Lapse Second-to-Die product/plancodes</t>
  </si>
  <si>
    <t>On-Time Delivery</t>
  </si>
  <si>
    <t>Input File</t>
  </si>
  <si>
    <t>Input Sheet</t>
  </si>
  <si>
    <t>Weighted Scheduled On Time Delivery</t>
  </si>
  <si>
    <t>Weighted Actual On Time Delivery</t>
  </si>
  <si>
    <t>Average On Time Delivery</t>
  </si>
  <si>
    <t>Number of Releases</t>
  </si>
  <si>
    <t>Total Actual Release Days</t>
  </si>
  <si>
    <t>Total Scheduled Release Days</t>
  </si>
  <si>
    <t>% of Total Actual Release Days</t>
  </si>
  <si>
    <t>% of Total Scheduled Release Days</t>
  </si>
  <si>
    <t>eBusiness OT Data</t>
  </si>
  <si>
    <t>M:\Technology Office\IT Balanced Scorecard\Results\2007 H1\IT Workflow Status Report - Rel Mgnt - 07062007.xls</t>
  </si>
  <si>
    <t>Completed Releases</t>
  </si>
  <si>
    <t>Life IT Workflow - Completed Releases for 2007</t>
  </si>
  <si>
    <t>App Dev Manager: Nedra Jerry</t>
  </si>
  <si>
    <t>DC 7.1.0</t>
  </si>
  <si>
    <t>Sync NE and CA Servers</t>
  </si>
  <si>
    <t>IPD 7.2.0</t>
  </si>
  <si>
    <t>Miscellaneous ITRs</t>
  </si>
  <si>
    <t>MTR 5.1.0</t>
  </si>
  <si>
    <t>Multilife Tracking and Management System</t>
  </si>
  <si>
    <t>IPD 7.1.0</t>
  </si>
  <si>
    <t>Auto Correspondence               Phase 2b:  Automating RTS</t>
  </si>
  <si>
    <t>DC 6.2.0</t>
  </si>
  <si>
    <t xml:space="preserve">Captiva Omaha Implementation 
</t>
  </si>
  <si>
    <t>New Business Workflow OT Data</t>
  </si>
  <si>
    <t>M:\Technology Office\IT Balanced Scorecard\Results\2007 H1\IT Producer Status Report 2007-05-25.xls</t>
  </si>
  <si>
    <t>Archive</t>
  </si>
  <si>
    <t>Closed Releases</t>
  </si>
  <si>
    <t>Release</t>
  </si>
  <si>
    <t>Release 07.01.0</t>
  </si>
  <si>
    <t>Eliminate MFNLO incentive in 2007 and update MFNLO rates as needed</t>
  </si>
  <si>
    <t>PSD Income/Exp Acct for M Override (s)</t>
  </si>
  <si>
    <t>Release 07.02.0</t>
  </si>
  <si>
    <t>Implement PIA II NY</t>
  </si>
  <si>
    <t>Update SEIII NY</t>
  </si>
  <si>
    <t>Implement UL NY - VF VI NY</t>
  </si>
  <si>
    <t>Implementation of Custom Coli - Version ZAF (Phase 1)</t>
  </si>
  <si>
    <t>Implementation of Custom Coli  Version Z41 for M Financial</t>
  </si>
  <si>
    <t>Implementation of Custom Coli - Version ZAE (Day 1)</t>
  </si>
  <si>
    <t>Create New York EMA Summary and PEAR.</t>
  </si>
  <si>
    <t>LE exception for Steven Lockwood.</t>
  </si>
  <si>
    <t>Create LIDI Comparison Error report.</t>
  </si>
  <si>
    <t>Release 07.03.0</t>
  </si>
  <si>
    <t>Implement of Custom Coli Version ZAG-2</t>
  </si>
  <si>
    <t>Wirehouse FVP/Territory Changes</t>
  </si>
  <si>
    <t>New Jersey Appointment Renewal 5/1</t>
  </si>
  <si>
    <t>New Producer:  Synergy Financial</t>
  </si>
  <si>
    <t>Special Case ID for LB# H388010000, SAID Codes YNALX/FLRDE</t>
  </si>
  <si>
    <t>Release 07.04.0</t>
  </si>
  <si>
    <t>DTCC: New CBRCs &amp; Commission Split</t>
  </si>
  <si>
    <t>DTCC: Reduce Commissionable Premium by split for DTCC</t>
  </si>
  <si>
    <t>ADMS Expiry Reports (License &amp; Appt Reports)</t>
  </si>
  <si>
    <t>Implement RLO Expansion</t>
  </si>
  <si>
    <t>Release 07.05.0</t>
  </si>
  <si>
    <t>TRAN: Add hierarchy data to the Partners (0A1C0) electronic feed</t>
  </si>
  <si>
    <t>RPT: New Annualization Reports for ADMS vs. GL Balancing</t>
  </si>
  <si>
    <t>Discontinue FTP of Producer SQL Extract files to network</t>
  </si>
  <si>
    <t>EMVP6-ADV  Not showing on net payable comp statements</t>
  </si>
  <si>
    <t>Producer Admin OT Data</t>
  </si>
  <si>
    <t>M:\Technology Office\IT Balanced Scorecard\Results\2007 H1\IT Producer CRM Release Status Report 2007-06-29.xls</t>
  </si>
  <si>
    <t>Closed Release Status as of 6/29/2007</t>
  </si>
  <si>
    <t>Release 07.1.0 - NALO</t>
  </si>
  <si>
    <t>Identify and implement ViewPoint changes/enhancements required to support the use of ViewPoint and the reporting needs in the National Accounts distribution channel as prescribed in the National Account's Blueprint.
Also minor maintenance ITRs.</t>
  </si>
  <si>
    <t>Contact Intellisync</t>
  </si>
  <si>
    <t>Provide ability to sync Contact information from ViewPoint to Outlook, Contacts (then to their Blackberry, if applicable).  This uses the existing setup configuration of the Intellisync for Pivotal software.</t>
  </si>
  <si>
    <t>HTTP Synchronization</t>
  </si>
  <si>
    <t>Replace Exchange mobile Synchronization with the new method of HTTP Synchronization.  Upgrade Mobile laptops &amp; train users.</t>
  </si>
  <si>
    <t>Release 07.2.0</t>
  </si>
  <si>
    <t>Report performance improvements and other various maintenance backlog items.</t>
  </si>
  <si>
    <t>RLO Expansion Phase 1</t>
  </si>
  <si>
    <t>To gain more market penetration and get more recruiting feet on the ground, expansion of the current Regional Life Offices structure will need to occur.</t>
  </si>
  <si>
    <t>Release 07.2.1</t>
  </si>
  <si>
    <t>In support of the Marketing Material warehouse consolidation to west-coast Bowne facility for PL and PL&amp;A materials</t>
  </si>
  <si>
    <t>Release 07.3.0</t>
  </si>
  <si>
    <t xml:space="preserve"> *Dedup rewrite
 *Action Plans
 *Report conversions</t>
  </si>
  <si>
    <t>Release 07.3.1</t>
  </si>
  <si>
    <t>Conversion for all the SQL authenticated jobs on LifeSQL14 (in preparation for the Pivotal 5.7 Upgrade).
Also add minor changes for Action Plans enhancements.</t>
  </si>
  <si>
    <t>Producer CRM OT Data</t>
  </si>
  <si>
    <t>M:\Technology Office\IT Balanced Scorecard\Results\2007 H1\1H2007 IT-Product On-Time Delivery.xls</t>
  </si>
  <si>
    <t>IT-Product</t>
  </si>
  <si>
    <t>DM = Document Management
PI = Product Integration
CIS = Client</t>
  </si>
  <si>
    <t>Need additional info regarding a project?
Click below to see the PM's detailed reports.</t>
  </si>
  <si>
    <t xml:space="preserve">                                                                                                                                                                                                                                      </t>
  </si>
  <si>
    <t xml:space="preserve">                                                                                                                                                </t>
  </si>
  <si>
    <t>Active Release Status as of 07/2007</t>
  </si>
  <si>
    <t>PMO Status Report Directory</t>
  </si>
  <si>
    <r>
      <t xml:space="preserve">Custom COLI ZAG-2 </t>
    </r>
    <r>
      <rPr>
        <b/>
        <sz val="8.5"/>
        <color indexed="60"/>
        <rFont val="Tahoma"/>
        <family val="2"/>
      </rPr>
      <t>Issue</t>
    </r>
  </si>
  <si>
    <t>This is the latest COLI version requested by M Financial for Merrill Lynch.</t>
  </si>
  <si>
    <r>
      <t xml:space="preserve">SE2/MVP Riders - </t>
    </r>
    <r>
      <rPr>
        <b/>
        <sz val="10"/>
        <color indexed="60"/>
        <rFont val="Arial"/>
        <family val="2"/>
      </rPr>
      <t>Anniversary</t>
    </r>
  </si>
  <si>
    <t xml:space="preserve">See PMO weekly status report (link at top) for more information.  </t>
  </si>
  <si>
    <r>
      <t xml:space="preserve">PIA II NY - </t>
    </r>
    <r>
      <rPr>
        <b/>
        <sz val="10"/>
        <color indexed="60"/>
        <rFont val="Tahoma"/>
        <family val="2"/>
      </rPr>
      <t>Issue</t>
    </r>
  </si>
  <si>
    <t>Introduce PIA II NY with the same updates made to PIA II (e.g. risk class updates, substandard rates, NAR formula, PL!00+, etc.).</t>
  </si>
  <si>
    <r>
      <t xml:space="preserve">VF VI NY - </t>
    </r>
    <r>
      <rPr>
        <b/>
        <sz val="10"/>
        <color indexed="60"/>
        <rFont val="Tahoma"/>
        <family val="2"/>
      </rPr>
      <t>Issue</t>
    </r>
  </si>
  <si>
    <t xml:space="preserve">Implement a traditional UL product in the NY market. </t>
  </si>
  <si>
    <r>
      <t xml:space="preserve">SE IV NY - </t>
    </r>
    <r>
      <rPr>
        <b/>
        <sz val="10"/>
        <color indexed="60"/>
        <rFont val="Tahoma"/>
        <family val="2"/>
      </rPr>
      <t>Issue</t>
    </r>
  </si>
  <si>
    <t xml:space="preserve">Introduce SE IV NY with updates including, but not limited to, the risk class changes and persistency credit modification. </t>
  </si>
  <si>
    <t>Term Risk Class Name Change</t>
  </si>
  <si>
    <t>Rename risk class codes and names to be consistent with VF VI and PIA II.</t>
  </si>
  <si>
    <t>Custom COLI 2/3 version ZAE Premium Load changes</t>
  </si>
  <si>
    <t>Increase 1st year excess premium load from 0% to 0.95% (before  PTEP red), and 0% to 0.55% (after PTEP reduction).</t>
  </si>
  <si>
    <t>Policy Page April Maintanance Release - Jim Morris Signature Change</t>
  </si>
  <si>
    <t>Replace Tom Sutton's Signature With Jim Morris - Policy Page Maintanance Release</t>
  </si>
  <si>
    <t>Replace VF5 2004 FDNLG Interest Rate Factors
Replace VF6 FDNLG SCOIA INIT Rates</t>
  </si>
  <si>
    <t>This package will replace the current VF6 FDNLG SCOIA rates with new rates as well as replacing the FDNLG interest rate factors on VF5 2004 version</t>
  </si>
  <si>
    <t>99 Funds</t>
  </si>
  <si>
    <t>EFT From Any Type of Bank Account</t>
  </si>
  <si>
    <t>Changes to GUI and EFT processing to draft/deposit in any type of bank account.  And, changes to support 99 funds</t>
  </si>
  <si>
    <t>Flex XIV 
New GCV rates</t>
  </si>
  <si>
    <t>Product Design provided new GCV rates for introduction in the May '07 release</t>
  </si>
  <si>
    <t>New and Closed Variable Funds</t>
  </si>
  <si>
    <t>New and Closed Variable Funds Policy Pages and Direct Bill</t>
  </si>
  <si>
    <t>Variable Funds New/Closed, Addition of 15 VITS Funds</t>
  </si>
  <si>
    <t>GUI Changes to Support New and Closed Variable Funds</t>
  </si>
  <si>
    <t>GUI Updates to Support 2007 Portfolio Optimazation</t>
  </si>
  <si>
    <t>GUI Changes to Support Portfolio Optimization</t>
  </si>
  <si>
    <t>Flex XIV 
New GCV rates for A76 Females</t>
  </si>
  <si>
    <t>Product Design provided new GCV rates for a specific case (A75 Female)</t>
  </si>
  <si>
    <r>
      <t xml:space="preserve">SE III / MVP VI: CVER II -  </t>
    </r>
    <r>
      <rPr>
        <b/>
        <sz val="10"/>
        <color indexed="16"/>
        <rFont val="Arial"/>
        <family val="2"/>
      </rPr>
      <t>Issue</t>
    </r>
  </si>
  <si>
    <t>Add CVER to SE III and MVP VI to enable TCR on registered VUL sales of our new products.  Project closes on PMO status on 6/29/07.</t>
  </si>
  <si>
    <r>
      <t xml:space="preserve">PEP III - </t>
    </r>
    <r>
      <rPr>
        <b/>
        <sz val="10"/>
        <color indexed="16"/>
        <rFont val="Arial"/>
        <family val="2"/>
      </rPr>
      <t>Issue</t>
    </r>
  </si>
  <si>
    <t>Introduce a new, more competitive no-lapse second to die product with 2001 CSO rates to be sold exclusively with the Flexible Duration No-Lapse rider. The current version (PEP II) will continue to be offered but only without the no-lapse rider.</t>
  </si>
  <si>
    <t>NAR Change reprocessing effort on VF5ES, PIA, PIA NY</t>
  </si>
  <si>
    <t xml:space="preserve">Reprocess the following to reflect the NAR change in timing:
A) Guideline Premiums
B) Necessary Premiums 
C) Shadow Account </t>
  </si>
  <si>
    <t>Green status indicates project is on-track to meet stage and project end dates within budget.</t>
  </si>
  <si>
    <t>Yellow status indicates stage or project end date may be missed or project is at risk of being over budget by 5% to 10% but recovery is possible.</t>
  </si>
  <si>
    <t>Red status indicates stage or project end date will be missed or project will be over budget by more than 10% and recovery is not likely.</t>
  </si>
  <si>
    <t>Blue status indicates project is implemented.</t>
  </si>
  <si>
    <t>Gray status indicates project is on hold.</t>
  </si>
  <si>
    <t>Product Admin OT Data</t>
  </si>
  <si>
    <t>M:\Technology Office\IT Balanced Scorecard\Results\2007 H1\1H2007 IT-Sales On-Time Delivery.xls</t>
  </si>
  <si>
    <t>1H 2007</t>
  </si>
  <si>
    <t>Active Release Status as of 7/2007</t>
  </si>
  <si>
    <t>February 2007 Release</t>
  </si>
  <si>
    <t>ITRs</t>
  </si>
  <si>
    <t>PTEP Method 1 SYMON Products (Part 2)</t>
  </si>
  <si>
    <t>See PMO weekly status report (link at top right) for more information.</t>
  </si>
  <si>
    <t>See PMO weekly status report (link at top) for more information.</t>
  </si>
  <si>
    <t>Premium Tax Enhancement Method 3 SYMON Products</t>
  </si>
  <si>
    <t>Premium Tax Enhancement - Method 2 (UL products in SYMON)</t>
  </si>
  <si>
    <t>Pacific Indexed Accumulator II NY</t>
  </si>
  <si>
    <t>VF VI NY</t>
  </si>
  <si>
    <t xml:space="preserve">Add CVER to SEIII and MVP VI </t>
  </si>
  <si>
    <t>SE4-NY</t>
  </si>
  <si>
    <t>May 2007 Release</t>
  </si>
  <si>
    <t>Inforce Illustrations: SEP 1 -4</t>
  </si>
  <si>
    <t xml:space="preserve">Add inforce capabilities for SEP 1 - 4 </t>
  </si>
  <si>
    <t>VF6 (FDNLG2) - SCOIAINIT table replacement - New Business</t>
  </si>
  <si>
    <t>A correction is necessary for the SCOIAINIT rate table used for the No Lapse Rider (FDNLG2) in VF6</t>
  </si>
  <si>
    <t>Modified Term Product Commissions</t>
  </si>
  <si>
    <t>Implement new commission, and commission override rates on our Protector ART, Protector 10, and Protector 20 term insurance products.</t>
  </si>
  <si>
    <t>CVER II on SE3 &amp; MVP6</t>
  </si>
  <si>
    <t>Implement CVER II functionality on SE3 &amp; MVP 6 in Navigator</t>
  </si>
  <si>
    <t>New second-to-die No-Lapse Product</t>
  </si>
  <si>
    <t>Implement a new second-to-die No-Lapse product</t>
  </si>
  <si>
    <t>Sales OT Data</t>
  </si>
  <si>
    <t>M:\Technology Office\IT Balanced Scorecard\Results\2007 H1\1H2007 IT Service On-Time Delivery.xls</t>
  </si>
  <si>
    <t>Sheet1</t>
  </si>
  <si>
    <t>P-793</t>
  </si>
  <si>
    <t>P-793 VANTAGE DMS Re-Architecture</t>
  </si>
  <si>
    <t>Re-Architect the DMS screens in the VANTAGE region</t>
  </si>
  <si>
    <t>P-851
P-852
P-853</t>
  </si>
  <si>
    <t>CKSI0701S01 - January SQL Release</t>
  </si>
  <si>
    <r>
      <t>SQL updates required for P-851 PIA II NY, P-852 VF6 NY and P-853 SE 4 NY.  This release also includes SQL table updates for MEB and MV Charge adjustment for Custom COLI and other miscellaneous SQL table corrections for product names and the L4 fund start date.  Added ITRs to update SQL tables for Telephone Authorization codes, Term Risk Class change and Custom COLI ZAF and Z41-2.</t>
    </r>
    <r>
      <rPr>
        <i/>
        <sz val="10"/>
        <color indexed="12"/>
        <rFont val="Arial"/>
        <family val="2"/>
      </rPr>
      <t xml:space="preserve">
See PMO weekly status report (link at top) for more information on projects.</t>
    </r>
  </si>
  <si>
    <t>M-CKSI0612M01</t>
  </si>
  <si>
    <t>CKSI0612M01 - Commissions</t>
  </si>
  <si>
    <t>Corrections for ACP-DTL for three reinstatement scenarios.</t>
  </si>
  <si>
    <t>M-CKIS0701M01</t>
  </si>
  <si>
    <t>CKIS0701M01 - January In-Force Service Maintenance Release</t>
  </si>
  <si>
    <t>Prioritized non-release ITRs are to correct various system problems on individual policies.  Correct Non-Priced cycle problem on surrendered policies.</t>
  </si>
  <si>
    <t>M-CKSI0701M01</t>
  </si>
  <si>
    <t>CKSI0701M01 - January Superset/CFAD Release</t>
  </si>
  <si>
    <t>Prioritized release ITRs to add fields to superset for SEII/MVP LTP &amp; MEB Rider Anniversary, MEC Election Form, Telephone Authorization.  CFAD corrections for CCOLI COI Adjustment reporting.</t>
  </si>
  <si>
    <t>P-834</t>
  </si>
  <si>
    <t>P-834 SEII/MVP Riders First Policy Year Administration</t>
  </si>
  <si>
    <t>M-CKSI0702S01</t>
  </si>
  <si>
    <t>CKSI0702S01 - February SQL Release</t>
  </si>
  <si>
    <t>SQL updates required for Custom COLI ZAG.  SQL Table updates for Flex 14 Band Codes and missing entries in charge tables. Fix category description for annuity and set start date on small cap index fund.</t>
  </si>
  <si>
    <t>M-CKIS0702M01</t>
  </si>
  <si>
    <t>CKIS0702M01 - February In-Force Service Maintenance Release</t>
  </si>
  <si>
    <t>Prioritized release ITRs to correct the APL on ISL policies, add fields for the clerk and admin codes and IFREQ mail date, TCR on MCR and backdate limit error causing statements to reject to error register.  Additional ITRs were added to this release to correct the cost basis calculation on a withdrawal, correct guar CV on reinstatements, correct the risk class display on the 60D7 screen, correct an abend for an interest rate override on PEP2HS and various policy corrections for the annual statement.</t>
  </si>
  <si>
    <t>M-CKIS0703M01</t>
  </si>
  <si>
    <t>CKIS0703M01 - March In-Force Service Maintenance Release</t>
  </si>
  <si>
    <r>
      <t>Prioritized release ITRs to enhance the auv tolerance report, correct the reversal of the withdrawal charge on Quest II, correct PIA transfer restriction on EFT payments, add exception markers, retire the old VUL statement process, enhance the production activity report to include User IDs beginning PRO.
E</t>
    </r>
    <r>
      <rPr>
        <strike/>
        <sz val="8"/>
        <rFont val="Arial"/>
        <family val="2"/>
      </rPr>
      <t>nhance annual statements to print the entire years transaction detail instead of the last quarter, correct the projected dividend on superset.</t>
    </r>
  </si>
  <si>
    <t>M-CKSI0703M01</t>
  </si>
  <si>
    <t>CKSI0703M01 - Miscellaneous Fund Maintenance Release</t>
  </si>
  <si>
    <r>
      <t>Prioritized release ITRs to prepare for the Fund Closures and Port Opt updates in May.</t>
    </r>
    <r>
      <rPr>
        <strike/>
        <sz val="8"/>
        <rFont val="Arial"/>
        <family val="2"/>
      </rPr>
      <t xml:space="preserve">  Commission correction for F79 logic for ISL products.</t>
    </r>
  </si>
  <si>
    <t>M-CKSI0703M03</t>
  </si>
  <si>
    <t>CKSI0703M03 - March Commission Release</t>
  </si>
  <si>
    <t>Commission correction for F79 logic for ISL products.</t>
  </si>
  <si>
    <t>M-CKSI0703M02</t>
  </si>
  <si>
    <t>CKSI0703M02 - March Superset Release</t>
  </si>
  <si>
    <r>
      <t xml:space="preserve">Prioritized release ITRs to </t>
    </r>
    <r>
      <rPr>
        <strike/>
        <sz val="8"/>
        <rFont val="Arial"/>
        <family val="2"/>
      </rPr>
      <t>implement a process to monitor superset balance and controls,</t>
    </r>
    <r>
      <rPr>
        <sz val="8"/>
        <rFont val="Arial"/>
        <family val="2"/>
      </rPr>
      <t xml:space="preserve"> correct duplicate records in the feed to Policy Schedule table and correct Retrocessionaire base coverage code on the Pending superset file.</t>
    </r>
  </si>
  <si>
    <t>M-CKSI0612M02</t>
  </si>
  <si>
    <t>CKSI0612M01 - Accounting</t>
  </si>
  <si>
    <t>Corrections for pseudo accounting out of balances on full surrenders and Custom COLI COI adjustments.  These ITRs were change requested out of the October Accounting release into a December Accounting release due to difficulty recreating the scenario.</t>
  </si>
  <si>
    <t>P-874</t>
  </si>
  <si>
    <t>P-874 VITs-2007
CKSI0705M01 - May Fund Maintenance</t>
  </si>
  <si>
    <r>
      <t>See PMO weekly status report (link at top) for more information.</t>
    </r>
    <r>
      <rPr>
        <i/>
        <sz val="10"/>
        <color indexed="12"/>
        <rFont val="Arial"/>
        <family val="2"/>
      </rPr>
      <t xml:space="preserve">
</t>
    </r>
    <r>
      <rPr>
        <sz val="8"/>
        <rFont val="Arial"/>
        <family val="2"/>
      </rPr>
      <t>Implement 15 funds through 6 VITs fund groups.  
Fund maintenance includes changes on 2 funds, 2 fund closures and 1 new fund.
Flex XIV Tabular Guaranteed Cash Values
Removed ITR to prevent abend if the timing of the fund changes on the McCamish file is not correct.</t>
    </r>
  </si>
  <si>
    <t>M-CKVA0605M01</t>
  </si>
  <si>
    <t>VANTAGE Interest Rate Bucket Expansion</t>
  </si>
  <si>
    <t>Increase the number of interest rate buckets to support the aging business on VANTAGE.</t>
  </si>
  <si>
    <t>CKSI0704M01 - April Superset Release</t>
  </si>
  <si>
    <t>Prioritized release ITRs to implement a process to monitor superset balance and controls.</t>
  </si>
  <si>
    <t>M-CKSI0704S01</t>
  </si>
  <si>
    <t>CKIS0704S01 - April SQL Release</t>
  </si>
  <si>
    <t>Prioritize Non-release ITRs for SQL table updates for fund maintenance, PIA II NY, PPY correction on SE III Verision, add Vantage Investor Case ID</t>
  </si>
  <si>
    <t>M-CKSI0705M02</t>
  </si>
  <si>
    <t>CKSI0705M02 - Port Opt Release</t>
  </si>
  <si>
    <t>2007 Port Opt Model Updates</t>
  </si>
  <si>
    <t>M-CKSI0705M03</t>
  </si>
  <si>
    <t>CKSI0705M03 - May Superset Release</t>
  </si>
  <si>
    <t>Prioritized release ITRs to feed current fund allocation segments and Future dated Transfers for PIA to Superset.  Added ITRs for superset support for pro-rated dividend, deceased insured, exception pull marker, CSO marker and PEP III new ERP coverage.  Added ITR for Und Exception Tracking.</t>
  </si>
  <si>
    <t>M-CKIS0704M01</t>
  </si>
  <si>
    <t>CKIS0704M01 - April In-Force Service Maintenance Release</t>
  </si>
  <si>
    <t>The release includes prioritized enhancements for additional trade limitations and to report values for terminated policies on the PS58 report.  Also added ITRs to support removing the $25 per withdrawal service fee and correcting a few problems that are suspending policies.</t>
  </si>
  <si>
    <t>M-CKIS0705M01</t>
  </si>
  <si>
    <t>CKIS0705M01 - May In-Force Service Maintenance Release</t>
  </si>
  <si>
    <t>Prioritized release ITRs to correct the withdrawal quote on U1QF, correct the pro-rated dividend on PEVAL, correct Quest II policies with ECRP, modify CFAD to support PPT, correction of various problems in the DST statements, including updating the office address hierarchy to eliminate manual statement corrections, and the removal of an extraneous error message from the Time-Driven Error Register.</t>
  </si>
  <si>
    <t>M-CKIS0706M01</t>
  </si>
  <si>
    <t>CKIS0706M01 - June In-Force Service Maintenance Release</t>
  </si>
  <si>
    <t>Prioritized release and non-release ITRs to correct FBAR out of balance for loan cap reversals,  correct loan payoff processing when a loan is both taken and then repaid in the same month, correct the transfer date for reissues and complex changes, correct the premium load for SEP5 and MVPSL, increase maximum number of internally tabled coverage's to 30, remove extraneous errors from the Time-Driven Error Register, correct an error preventing some SEP5 policies from issuing, plus seven ITRs to correct various DST statement issues.</t>
  </si>
  <si>
    <t>M-ALTK0704M01</t>
  </si>
  <si>
    <t>ALIS April Release
Release #ALTK0704M01</t>
  </si>
  <si>
    <t>Allow EFT drafts from any type bank accounts</t>
  </si>
  <si>
    <t>M-ALTK0702M01</t>
  </si>
  <si>
    <t>ALIS Feb Release
Release #ALTK0702M01</t>
  </si>
  <si>
    <t>Flex Plus in Cash Withdrawals</t>
  </si>
  <si>
    <t>P-835</t>
  </si>
  <si>
    <t>99 Funds Phase II
Release #CKTK0703P01</t>
  </si>
  <si>
    <t>Enable the use of 99 total funds per policy in the CyberLife Administrative Host system.</t>
  </si>
  <si>
    <t>Implement 15 funds through 6 VITs fund groups.  
Fund maintenance includes changes on 2 funds, 2 fund closures and 1 new fund.
Flex XIV Tabular Guaranteed Cash Values</t>
  </si>
  <si>
    <t>IT Finance 7.5.25</t>
  </si>
  <si>
    <t>Valuation/Modco/MVR May Release</t>
  </si>
  <si>
    <t xml:space="preserve">Add merge and sort steps to tax process for Modco
Add VMF00-ISL-Midyr-Adj-INT to VMF00
New SARRPT - RPU TAX reserves
Add new Accumulation categories to override product tables
Remove Modco TAX Reserve Update Portion in ACQMD100
Fix Poly Upload coding to Recognize Negative Numbers
</t>
  </si>
  <si>
    <t>TAI 7.5.25</t>
  </si>
  <si>
    <t>TAI Reinsurance</t>
  </si>
  <si>
    <t>Add online edit on 6-screen cede to allow Co. 101 treaties to allow both "N" or "P" in the 7th position of the TAI treaty
Analysis - Magnastar Reinsurance Support</t>
  </si>
  <si>
    <t>IT Finance 7.6.27</t>
  </si>
  <si>
    <t>Valuation/Modco/MVR June Release</t>
  </si>
  <si>
    <t xml:space="preserve">Overwrite sub segment description
AV &amp; CSV in VL7Y* report
VL2H not report supplementary benefits
Resolve rounding inconsistencies
Add Accounts to VL669 for AV
Change Names of VMF00 Loan Fields
Update description in VL02 av rec report
Increase generations that VL02 
PCL Detail and Summary Programs </t>
  </si>
  <si>
    <t>TAI 7.6.27</t>
  </si>
  <si>
    <t>Support of Swiss Re Audit
Reinstatement in TAI  increments 
Four reports needed to identify 
Recapture project analysis plan
Need 6/07** Add logic to quarterly report</t>
  </si>
  <si>
    <t>M-TAX0705M01</t>
  </si>
  <si>
    <t>TAX May Release
Release #TAX0705M01</t>
  </si>
  <si>
    <t>TAX PS58 Reports</t>
  </si>
  <si>
    <t>Service OT Data</t>
  </si>
  <si>
    <t>Scorecard - Individual Team</t>
  </si>
  <si>
    <t>Scorecard - All Teams</t>
  </si>
  <si>
    <t>Scorecard - Previous Period</t>
  </si>
  <si>
    <t>IT Survey - All Teams</t>
  </si>
  <si>
    <t>Business Survey - All Teams</t>
  </si>
  <si>
    <t>Partner Survey - All Teams</t>
  </si>
  <si>
    <t xml:space="preserve"> 0:00:12</t>
  </si>
  <si>
    <t xml:space="preserve"> 0:02:57</t>
  </si>
  <si>
    <t>1H2007 Budget Variance</t>
  </si>
  <si>
    <t>Teams!$B$29:$C$49</t>
  </si>
  <si>
    <t>NB.  It is important to leave this section sorted by Team Number</t>
  </si>
  <si>
    <t>NB.  It is important to leave this section sorted by Team Name.</t>
  </si>
  <si>
    <t>x4008</t>
  </si>
  <si>
    <t>=Lookups!$B$12</t>
  </si>
  <si>
    <t>=Lookups!$B$11</t>
  </si>
  <si>
    <t>=Lookups!$B$8</t>
  </si>
  <si>
    <t>=Lookups!$B$9</t>
  </si>
  <si>
    <t>=Lookups!$B$10</t>
  </si>
  <si>
    <t>='Scorecard - Individual Team'!$E$2</t>
  </si>
  <si>
    <t>=Lookups!$B$14</t>
  </si>
  <si>
    <t>='Scorecard - Individual Team'!$B$2</t>
  </si>
  <si>
    <t>=Lookups!$B$7</t>
  </si>
  <si>
    <t>=Teams!$B$5:$B$20</t>
  </si>
  <si>
    <t>=Lookups!$A$29:$B$30</t>
  </si>
  <si>
    <t>Number IT Surveys Sent</t>
  </si>
  <si>
    <t>ITR Data Team Location</t>
  </si>
  <si>
    <t>ITR Data Open Location</t>
  </si>
  <si>
    <t>ITR Data Closed Location</t>
  </si>
  <si>
    <t>ITR Data Backlog Location</t>
  </si>
  <si>
    <t>ITR_Data!$A$14:$A$34</t>
  </si>
  <si>
    <t>ITR_Data!$L$14:$L$34</t>
  </si>
  <si>
    <t>ITR_Data!$M$14:$M$34</t>
  </si>
  <si>
    <t>ITR_Data!$N$14:$N$34</t>
  </si>
  <si>
    <t>Previous_Period_Team_Vector</t>
  </si>
  <si>
    <t>Previous_Period_Value_Vector</t>
  </si>
  <si>
    <t>'Scorecard - Individual Team'!$P$7:$P$27</t>
  </si>
  <si>
    <t>'Scorecard - Individual Team'!$Q$7:$Q$27</t>
  </si>
  <si>
    <t>Cell</t>
  </si>
  <si>
    <t>$F$3</t>
  </si>
  <si>
    <t>$G$3</t>
  </si>
  <si>
    <t>$H$3</t>
  </si>
  <si>
    <t>$I$3</t>
  </si>
  <si>
    <t>$K$3</t>
  </si>
  <si>
    <t>$L$3</t>
  </si>
  <si>
    <t>$M$3</t>
  </si>
  <si>
    <t>$N$3</t>
  </si>
  <si>
    <t>$O$3</t>
  </si>
  <si>
    <t>$P$3</t>
  </si>
  <si>
    <t>$Q$3</t>
  </si>
  <si>
    <t>$R$3</t>
  </si>
  <si>
    <t>$S$3</t>
  </si>
  <si>
    <t>ITR_Data_Backlog_Location</t>
  </si>
  <si>
    <t>=Lookups!$B$35</t>
  </si>
  <si>
    <t>ITR_Data_Closed_Location</t>
  </si>
  <si>
    <t>=Lookups!$B$34</t>
  </si>
  <si>
    <t>ITR_Data_Open_Location</t>
  </si>
  <si>
    <t>=Lookups!$B$33</t>
  </si>
  <si>
    <t>ITR_Data_Team_Location</t>
  </si>
  <si>
    <t>=Lookups!$B$32</t>
  </si>
  <si>
    <t>Previous_Period_Lookup</t>
  </si>
  <si>
    <t>=Lookups!$B$4</t>
  </si>
  <si>
    <t>=Lookups!$B$5</t>
  </si>
  <si>
    <t>ITR_Data</t>
  </si>
  <si>
    <t>$J$3</t>
  </si>
  <si>
    <t>H2 2006</t>
  </si>
  <si>
    <t>H2 2007</t>
  </si>
  <si>
    <t>=Lookups!R12C2</t>
  </si>
  <si>
    <t>=Lookups!R35C2</t>
  </si>
  <si>
    <t>=Lookups!R34C2</t>
  </si>
  <si>
    <t>=Lookups!R33C2</t>
  </si>
  <si>
    <t>=Lookups!R32C2</t>
  </si>
  <si>
    <t>=Lookups!R4C2</t>
  </si>
  <si>
    <t>=Lookups!R5C2</t>
  </si>
  <si>
    <t>=Lookups!R11C2</t>
  </si>
  <si>
    <t>=Lookups!R8C2</t>
  </si>
  <si>
    <t>=Lookups!R9C2</t>
  </si>
  <si>
    <t>=Lookups!R10C2</t>
  </si>
  <si>
    <t>='Scorecard - Individual Team'!R2C5</t>
  </si>
  <si>
    <t>=Lookups!R14C2</t>
  </si>
  <si>
    <t>='Scorecard - Individual Team'!R2C2</t>
  </si>
  <si>
    <t>=Lookups!R7C2</t>
  </si>
  <si>
    <t>=Teams!R5C2:R20C2</t>
  </si>
  <si>
    <t>TeamName_To_Cell_Array</t>
  </si>
  <si>
    <t>=Lookups!R70C1:R90C2</t>
  </si>
  <si>
    <t>TeamName_To_Column_Array</t>
  </si>
  <si>
    <t>=Lookups!R43C1:R63C2</t>
  </si>
  <si>
    <t>=Lookups!R29C1:R30C2</t>
  </si>
  <si>
    <t>=Lookups!$A$70:$B$90</t>
  </si>
  <si>
    <t>=Lookups!$A$43:$B$63</t>
  </si>
  <si>
    <t>All Teams</t>
  </si>
  <si>
    <t>Number of Survey Responses</t>
  </si>
  <si>
    <t>2007 H1</t>
  </si>
</sst>
</file>

<file path=xl/styles.xml><?xml version="1.0" encoding="utf-8"?>
<styleSheet xmlns="http://schemas.openxmlformats.org/spreadsheetml/2006/main">
  <numFmts count="12">
    <numFmt numFmtId="164" formatCode="0.0"/>
    <numFmt numFmtId="165" formatCode="[$-1010409]General"/>
    <numFmt numFmtId="166" formatCode="h:mm:ss;@"/>
    <numFmt numFmtId="167" formatCode="0.000"/>
    <numFmt numFmtId="168" formatCode="0.0%"/>
    <numFmt numFmtId="169" formatCode="m/d/yyyy;@"/>
    <numFmt numFmtId="170" formatCode="m/d/yy;@"/>
    <numFmt numFmtId="171" formatCode="m/d/yy"/>
    <numFmt numFmtId="172" formatCode="mm/dd/yy;@"/>
    <numFmt numFmtId="173" formatCode="mm/dd/yyyy"/>
    <numFmt numFmtId="174" formatCode="[Green]0%;[Red]\-0%;;[Black]General"/>
    <numFmt numFmtId="175" formatCode="[Green]0.00;[Red]\-0.00;[Black]General;[Black]General"/>
  </numFmts>
  <fonts count="60">
    <font>
      <sz val="10"/>
      <name val="Arial"/>
    </font>
    <font>
      <sz val="10"/>
      <name val="Arial"/>
      <family val="2"/>
    </font>
    <font>
      <sz val="8"/>
      <name val="Arial"/>
      <family val="2"/>
    </font>
    <font>
      <u/>
      <sz val="10"/>
      <color indexed="12"/>
      <name val="Arial"/>
      <family val="2"/>
    </font>
    <font>
      <b/>
      <sz val="10"/>
      <name val="Arial"/>
      <family val="2"/>
    </font>
    <font>
      <sz val="10"/>
      <name val="Arial"/>
      <family val="2"/>
    </font>
    <font>
      <sz val="8"/>
      <color indexed="81"/>
      <name val="Tahoma"/>
      <family val="2"/>
    </font>
    <font>
      <b/>
      <sz val="8"/>
      <color indexed="81"/>
      <name val="Tahoma"/>
      <family val="2"/>
    </font>
    <font>
      <b/>
      <u/>
      <sz val="12"/>
      <name val="Arial"/>
      <family val="2"/>
    </font>
    <font>
      <b/>
      <i/>
      <sz val="12"/>
      <name val="Arial"/>
      <family val="2"/>
    </font>
    <font>
      <sz val="12"/>
      <name val="Arial"/>
      <family val="2"/>
    </font>
    <font>
      <u/>
      <sz val="10"/>
      <color indexed="12"/>
      <name val="Arial"/>
      <family val="2"/>
    </font>
    <font>
      <b/>
      <i/>
      <sz val="10"/>
      <name val="Arial"/>
      <family val="2"/>
    </font>
    <font>
      <i/>
      <sz val="10"/>
      <name val="Arial"/>
      <family val="2"/>
    </font>
    <font>
      <b/>
      <sz val="9"/>
      <name val="Arial"/>
      <family val="2"/>
    </font>
    <font>
      <b/>
      <i/>
      <sz val="9"/>
      <name val="Arial"/>
      <family val="2"/>
    </font>
    <font>
      <sz val="8"/>
      <name val="Arial"/>
      <family val="2"/>
    </font>
    <font>
      <b/>
      <sz val="8"/>
      <name val="Arial"/>
      <family val="2"/>
    </font>
    <font>
      <i/>
      <sz val="8"/>
      <name val="Arial"/>
      <family val="2"/>
    </font>
    <font>
      <b/>
      <i/>
      <sz val="8"/>
      <name val="Arial"/>
      <family val="2"/>
    </font>
    <font>
      <sz val="16"/>
      <name val="Arial"/>
      <family val="2"/>
    </font>
    <font>
      <sz val="6"/>
      <name val="Arial"/>
      <family val="2"/>
    </font>
    <font>
      <sz val="6"/>
      <name val="Arial"/>
      <family val="2"/>
    </font>
    <font>
      <b/>
      <sz val="16"/>
      <name val="Arial"/>
      <family val="2"/>
    </font>
    <font>
      <b/>
      <sz val="12"/>
      <name val="Arial"/>
      <family val="2"/>
    </font>
    <font>
      <b/>
      <u/>
      <sz val="10"/>
      <name val="Arial"/>
      <family val="2"/>
    </font>
    <font>
      <sz val="10"/>
      <color indexed="8"/>
      <name val="Arial"/>
      <family val="2"/>
    </font>
    <font>
      <sz val="6.95"/>
      <color indexed="57"/>
      <name val="Arial"/>
      <family val="2"/>
    </font>
    <font>
      <sz val="6.95"/>
      <color indexed="8"/>
      <name val="Arial"/>
      <family val="2"/>
    </font>
    <font>
      <sz val="6.95"/>
      <color indexed="10"/>
      <name val="Arial"/>
      <family val="2"/>
    </font>
    <font>
      <sz val="9"/>
      <name val="Arial"/>
      <family val="2"/>
    </font>
    <font>
      <vertAlign val="superscript"/>
      <sz val="10"/>
      <name val="Arial"/>
      <family val="2"/>
    </font>
    <font>
      <b/>
      <u/>
      <sz val="10"/>
      <color indexed="12"/>
      <name val="Arial"/>
      <family val="2"/>
    </font>
    <font>
      <b/>
      <sz val="12"/>
      <color indexed="10"/>
      <name val="Arial"/>
      <family val="2"/>
    </font>
    <font>
      <sz val="10"/>
      <color indexed="57"/>
      <name val="Arial"/>
      <family val="2"/>
    </font>
    <font>
      <sz val="8"/>
      <color indexed="57"/>
      <name val="Arial"/>
      <family val="2"/>
    </font>
    <font>
      <sz val="10"/>
      <color indexed="10"/>
      <name val="Arial"/>
      <family val="2"/>
    </font>
    <font>
      <sz val="8"/>
      <color indexed="10"/>
      <name val="Arial"/>
      <family val="2"/>
    </font>
    <font>
      <b/>
      <sz val="12"/>
      <color indexed="57"/>
      <name val="Arial"/>
      <family val="2"/>
    </font>
    <font>
      <b/>
      <u/>
      <sz val="8"/>
      <name val="Arial"/>
      <family val="2"/>
    </font>
    <font>
      <sz val="9"/>
      <color indexed="81"/>
      <name val="Tahoma"/>
      <family val="2"/>
    </font>
    <font>
      <sz val="10"/>
      <name val="Verdana"/>
      <family val="2"/>
    </font>
    <font>
      <sz val="10"/>
      <color indexed="43"/>
      <name val="Verdana"/>
      <family val="2"/>
    </font>
    <font>
      <b/>
      <sz val="10"/>
      <name val="Verdana"/>
      <family val="2"/>
    </font>
    <font>
      <b/>
      <i/>
      <sz val="14"/>
      <name val="Arial"/>
      <family val="2"/>
    </font>
    <font>
      <b/>
      <i/>
      <sz val="7"/>
      <name val="Arial"/>
      <family val="2"/>
    </font>
    <font>
      <sz val="10"/>
      <color indexed="43"/>
      <name val="Arial"/>
      <family val="2"/>
    </font>
    <font>
      <i/>
      <sz val="12"/>
      <name val="Arial"/>
      <family val="2"/>
    </font>
    <font>
      <b/>
      <i/>
      <sz val="9"/>
      <color indexed="10"/>
      <name val="Arial"/>
      <family val="2"/>
    </font>
    <font>
      <b/>
      <i/>
      <sz val="18"/>
      <name val="Arial"/>
      <family val="2"/>
    </font>
    <font>
      <b/>
      <i/>
      <sz val="18"/>
      <color indexed="10"/>
      <name val="Arial"/>
      <family val="2"/>
    </font>
    <font>
      <b/>
      <sz val="10"/>
      <name val="Tahoma"/>
      <family val="2"/>
    </font>
    <font>
      <b/>
      <sz val="8.5"/>
      <color indexed="60"/>
      <name val="Tahoma"/>
      <family val="2"/>
    </font>
    <font>
      <b/>
      <sz val="10"/>
      <color indexed="60"/>
      <name val="Arial"/>
      <family val="2"/>
    </font>
    <font>
      <i/>
      <sz val="10"/>
      <color indexed="12"/>
      <name val="Arial"/>
      <family val="2"/>
    </font>
    <font>
      <b/>
      <sz val="10"/>
      <color indexed="60"/>
      <name val="Tahoma"/>
      <family val="2"/>
    </font>
    <font>
      <b/>
      <sz val="10"/>
      <color indexed="16"/>
      <name val="Arial"/>
      <family val="2"/>
    </font>
    <font>
      <strike/>
      <sz val="8"/>
      <name val="Arial"/>
      <family val="2"/>
    </font>
    <font>
      <i/>
      <sz val="8"/>
      <color indexed="12"/>
      <name val="Arial"/>
      <family val="2"/>
    </font>
    <font>
      <sz val="8"/>
      <color indexed="81"/>
      <name val="Tahoma"/>
      <charset val="1"/>
    </font>
  </fonts>
  <fills count="22">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indexed="22"/>
        <bgColor indexed="64"/>
      </patternFill>
    </fill>
    <fill>
      <patternFill patternType="solid">
        <fgColor indexed="43"/>
        <bgColor indexed="64"/>
      </patternFill>
    </fill>
    <fill>
      <patternFill patternType="solid">
        <fgColor indexed="47"/>
        <bgColor indexed="64"/>
      </patternFill>
    </fill>
    <fill>
      <patternFill patternType="solid">
        <fgColor indexed="41"/>
        <bgColor indexed="64"/>
      </patternFill>
    </fill>
    <fill>
      <patternFill patternType="solid">
        <fgColor indexed="9"/>
        <bgColor indexed="64"/>
      </patternFill>
    </fill>
    <fill>
      <patternFill patternType="solid">
        <fgColor rgb="FFFFC000"/>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rgb="FFCCCCFF"/>
        <bgColor indexed="64"/>
      </patternFill>
    </fill>
    <fill>
      <patternFill patternType="solid">
        <fgColor indexed="40"/>
        <bgColor indexed="64"/>
      </patternFill>
    </fill>
    <fill>
      <patternFill patternType="solid">
        <fgColor indexed="51"/>
        <bgColor indexed="64"/>
      </patternFill>
    </fill>
    <fill>
      <patternFill patternType="solid">
        <fgColor indexed="11"/>
        <bgColor indexed="64"/>
      </patternFill>
    </fill>
    <fill>
      <patternFill patternType="solid">
        <fgColor rgb="FFCCFFCC"/>
        <bgColor indexed="64"/>
      </patternFill>
    </fill>
  </fills>
  <borders count="166">
    <border>
      <left/>
      <right/>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thick">
        <color indexed="64"/>
      </right>
      <top/>
      <bottom style="thick">
        <color indexed="64"/>
      </bottom>
      <diagonal/>
    </border>
    <border>
      <left style="thick">
        <color indexed="64"/>
      </left>
      <right style="medium">
        <color indexed="64"/>
      </right>
      <top style="thick">
        <color indexed="64"/>
      </top>
      <bottom/>
      <diagonal/>
    </border>
    <border>
      <left style="medium">
        <color indexed="64"/>
      </left>
      <right/>
      <top style="thick">
        <color indexed="64"/>
      </top>
      <bottom style="medium">
        <color indexed="64"/>
      </bottom>
      <diagonal/>
    </border>
    <border>
      <left style="thick">
        <color indexed="64"/>
      </left>
      <right style="thin">
        <color indexed="64"/>
      </right>
      <top style="thick">
        <color indexed="64"/>
      </top>
      <bottom style="medium">
        <color indexed="64"/>
      </bottom>
      <diagonal/>
    </border>
    <border>
      <left style="thick">
        <color indexed="64"/>
      </left>
      <right style="medium">
        <color indexed="64"/>
      </right>
      <top/>
      <bottom/>
      <diagonal/>
    </border>
    <border>
      <left style="thick">
        <color indexed="64"/>
      </left>
      <right/>
      <top style="medium">
        <color indexed="64"/>
      </top>
      <bottom style="thick">
        <color indexed="64"/>
      </bottom>
      <diagonal/>
    </border>
    <border>
      <left/>
      <right/>
      <top style="medium">
        <color indexed="64"/>
      </top>
      <bottom style="thick">
        <color indexed="64"/>
      </bottom>
      <diagonal/>
    </border>
    <border>
      <left/>
      <right style="thick">
        <color indexed="64"/>
      </right>
      <top style="medium">
        <color indexed="64"/>
      </top>
      <bottom style="thick">
        <color indexed="64"/>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medium">
        <color indexed="64"/>
      </right>
      <top/>
      <bottom style="thick">
        <color indexed="64"/>
      </bottom>
      <diagonal/>
    </border>
    <border>
      <left style="medium">
        <color indexed="64"/>
      </left>
      <right style="thick">
        <color indexed="64"/>
      </right>
      <top style="medium">
        <color indexed="64"/>
      </top>
      <bottom/>
      <diagonal/>
    </border>
    <border>
      <left style="medium">
        <color indexed="64"/>
      </left>
      <right style="thick">
        <color indexed="64"/>
      </right>
      <top/>
      <bottom/>
      <diagonal/>
    </border>
    <border>
      <left style="medium">
        <color indexed="64"/>
      </left>
      <right style="thick">
        <color indexed="64"/>
      </right>
      <top/>
      <bottom style="thick">
        <color indexed="64"/>
      </bottom>
      <diagonal/>
    </border>
    <border>
      <left style="medium">
        <color indexed="64"/>
      </left>
      <right style="medium">
        <color auto="1"/>
      </right>
      <top/>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medium">
        <color indexed="64"/>
      </left>
      <right/>
      <top style="thick">
        <color indexed="64"/>
      </top>
      <bottom/>
      <diagonal/>
    </border>
    <border>
      <left style="medium">
        <color indexed="64"/>
      </left>
      <right style="medium">
        <color indexed="64"/>
      </right>
      <top style="thick">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ck">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ck">
        <color indexed="64"/>
      </right>
      <top style="thin">
        <color indexed="64"/>
      </top>
      <bottom style="medium">
        <color indexed="64"/>
      </bottom>
      <diagonal/>
    </border>
    <border>
      <left style="thick">
        <color indexed="64"/>
      </left>
      <right/>
      <top/>
      <bottom style="thick">
        <color indexed="64"/>
      </bottom>
      <diagonal/>
    </border>
    <border>
      <left style="medium">
        <color indexed="64"/>
      </left>
      <right/>
      <top/>
      <bottom style="thick">
        <color indexed="64"/>
      </bottom>
      <diagonal/>
    </border>
    <border>
      <left style="medium">
        <color indexed="64"/>
      </left>
      <right style="medium">
        <color indexed="64"/>
      </right>
      <top/>
      <bottom style="thick">
        <color indexed="64"/>
      </bottom>
      <diagonal/>
    </border>
    <border>
      <left/>
      <right style="thick">
        <color indexed="64"/>
      </right>
      <top style="thin">
        <color indexed="64"/>
      </top>
      <bottom style="thick">
        <color indexed="64"/>
      </bottom>
      <diagonal/>
    </border>
    <border>
      <left style="medium">
        <color indexed="64"/>
      </left>
      <right style="thick">
        <color indexed="64"/>
      </right>
      <top style="thick">
        <color indexed="64"/>
      </top>
      <bottom/>
      <diagonal/>
    </border>
    <border>
      <left style="medium">
        <color indexed="64"/>
      </left>
      <right style="thick">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ck">
        <color indexed="64"/>
      </right>
      <top/>
      <bottom style="medium">
        <color indexed="64"/>
      </bottom>
      <diagonal/>
    </border>
    <border>
      <left style="medium">
        <color indexed="64"/>
      </left>
      <right style="thick">
        <color indexed="64"/>
      </right>
      <top/>
      <bottom style="thin">
        <color indexed="64"/>
      </bottom>
      <diagonal/>
    </border>
    <border>
      <left style="medium">
        <color indexed="64"/>
      </left>
      <right style="medium">
        <color indexed="64"/>
      </right>
      <top style="thin">
        <color indexed="64"/>
      </top>
      <bottom/>
      <diagonal/>
    </border>
    <border>
      <left style="medium">
        <color indexed="64"/>
      </left>
      <right style="thick">
        <color indexed="64"/>
      </right>
      <top style="thin">
        <color indexed="64"/>
      </top>
      <bottom style="thin">
        <color indexed="64"/>
      </bottom>
      <diagonal/>
    </border>
    <border>
      <left style="medium">
        <color indexed="64"/>
      </left>
      <right style="medium">
        <color indexed="64"/>
      </right>
      <top style="thin">
        <color indexed="64"/>
      </top>
      <bottom style="thick">
        <color indexed="64"/>
      </bottom>
      <diagonal/>
    </border>
    <border>
      <left style="medium">
        <color indexed="64"/>
      </left>
      <right style="thick">
        <color indexed="64"/>
      </right>
      <top style="thin">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top style="thick">
        <color indexed="64"/>
      </top>
      <bottom style="thick">
        <color indexed="64"/>
      </bottom>
      <diagonal/>
    </border>
    <border>
      <left/>
      <right style="medium">
        <color indexed="64"/>
      </right>
      <top style="thick">
        <color indexed="64"/>
      </top>
      <bottom style="thick">
        <color indexed="64"/>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n">
        <color auto="1"/>
      </bottom>
      <diagonal/>
    </border>
    <border>
      <left style="thick">
        <color auto="1"/>
      </left>
      <right style="thick">
        <color auto="1"/>
      </right>
      <top style="thin">
        <color auto="1"/>
      </top>
      <bottom style="thick">
        <color auto="1"/>
      </bottom>
      <diagonal/>
    </border>
    <border>
      <left style="thick">
        <color auto="1"/>
      </left>
      <right/>
      <top style="thick">
        <color auto="1"/>
      </top>
      <bottom style="thin">
        <color auto="1"/>
      </bottom>
      <diagonal/>
    </border>
    <border>
      <left/>
      <right style="thick">
        <color auto="1"/>
      </right>
      <top style="thick">
        <color auto="1"/>
      </top>
      <bottom style="thin">
        <color auto="1"/>
      </bottom>
      <diagonal/>
    </border>
    <border>
      <left style="thick">
        <color auto="1"/>
      </left>
      <right/>
      <top style="thin">
        <color auto="1"/>
      </top>
      <bottom style="thin">
        <color auto="1"/>
      </bottom>
      <diagonal/>
    </border>
    <border>
      <left/>
      <right style="thick">
        <color auto="1"/>
      </right>
      <top style="thin">
        <color auto="1"/>
      </top>
      <bottom style="thin">
        <color auto="1"/>
      </bottom>
      <diagonal/>
    </border>
    <border>
      <left style="thick">
        <color auto="1"/>
      </left>
      <right/>
      <top style="thin">
        <color auto="1"/>
      </top>
      <bottom style="thick">
        <color auto="1"/>
      </bottom>
      <diagonal/>
    </border>
    <border>
      <left style="medium">
        <color indexed="64"/>
      </left>
      <right/>
      <top style="medium">
        <color indexed="64"/>
      </top>
      <bottom/>
      <diagonal/>
    </border>
    <border>
      <left style="medium">
        <color indexed="64"/>
      </left>
      <right style="medium">
        <color indexed="64"/>
      </right>
      <top style="thick">
        <color indexed="64"/>
      </top>
      <bottom style="thick">
        <color indexed="64"/>
      </bottom>
      <diagonal/>
    </border>
    <border>
      <left style="medium">
        <color indexed="64"/>
      </left>
      <right style="thick">
        <color indexed="64"/>
      </right>
      <top style="thick">
        <color indexed="64"/>
      </top>
      <bottom style="thick">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thin">
        <color indexed="64"/>
      </top>
      <bottom/>
      <diagonal/>
    </border>
    <border>
      <left style="medium">
        <color indexed="64"/>
      </left>
      <right style="thick">
        <color indexed="64"/>
      </right>
      <top style="medium">
        <color indexed="64"/>
      </top>
      <bottom/>
      <diagonal/>
    </border>
    <border>
      <left style="medium">
        <color indexed="64"/>
      </left>
      <right/>
      <top style="thin">
        <color indexed="64"/>
      </top>
      <bottom/>
      <diagonal/>
    </border>
    <border>
      <left/>
      <right style="medium">
        <color indexed="64"/>
      </right>
      <top style="thick">
        <color indexed="64"/>
      </top>
      <bottom/>
      <diagonal/>
    </border>
    <border>
      <left style="medium">
        <color indexed="64"/>
      </left>
      <right style="medium">
        <color indexed="64"/>
      </right>
      <top style="thick">
        <color indexed="64"/>
      </top>
      <bottom style="thin">
        <color indexed="64"/>
      </bottom>
      <diagonal/>
    </border>
    <border>
      <left style="medium">
        <color indexed="64"/>
      </left>
      <right style="thick">
        <color indexed="64"/>
      </right>
      <top style="thick">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right style="medium">
        <color indexed="64"/>
      </right>
      <top/>
      <bottom style="thick">
        <color indexed="64"/>
      </bottom>
      <diagonal/>
    </border>
    <border>
      <left style="medium">
        <color indexed="64"/>
      </left>
      <right style="medium">
        <color indexed="64"/>
      </right>
      <top style="medium">
        <color indexed="64"/>
      </top>
      <bottom/>
      <diagonal/>
    </border>
    <border>
      <left/>
      <right/>
      <top style="medium">
        <color indexed="64"/>
      </top>
      <bottom style="thin">
        <color indexed="64"/>
      </bottom>
      <diagonal/>
    </border>
    <border>
      <left style="medium">
        <color indexed="64"/>
      </left>
      <right style="thick">
        <color indexed="64"/>
      </right>
      <top style="medium">
        <color indexed="64"/>
      </top>
      <bottom style="thick">
        <color indexed="64"/>
      </bottom>
      <diagonal/>
    </border>
    <border>
      <left style="medium">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top style="thin">
        <color indexed="64"/>
      </top>
      <bottom style="thick">
        <color indexed="64"/>
      </bottom>
      <diagonal/>
    </border>
    <border>
      <left/>
      <right style="thick">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thick">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ck">
        <color indexed="64"/>
      </right>
      <top/>
      <bottom style="thin">
        <color indexed="64"/>
      </bottom>
      <diagonal/>
    </border>
    <border>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ck">
        <color auto="1"/>
      </left>
      <right/>
      <top style="thick">
        <color auto="1"/>
      </top>
      <bottom style="medium">
        <color indexed="8"/>
      </bottom>
      <diagonal/>
    </border>
    <border>
      <left/>
      <right/>
      <top style="thick">
        <color auto="1"/>
      </top>
      <bottom style="medium">
        <color indexed="8"/>
      </bottom>
      <diagonal/>
    </border>
    <border>
      <left/>
      <right style="thick">
        <color auto="1"/>
      </right>
      <top style="thick">
        <color auto="1"/>
      </top>
      <bottom style="medium">
        <color indexed="8"/>
      </bottom>
      <diagonal/>
    </border>
    <border>
      <left style="thick">
        <color auto="1"/>
      </left>
      <right style="medium">
        <color indexed="8"/>
      </right>
      <top style="medium">
        <color indexed="8"/>
      </top>
      <bottom/>
      <diagonal/>
    </border>
    <border>
      <left style="medium">
        <color indexed="8"/>
      </left>
      <right style="medium">
        <color indexed="8"/>
      </right>
      <top style="medium">
        <color indexed="8"/>
      </top>
      <bottom/>
      <diagonal/>
    </border>
    <border>
      <left style="medium">
        <color indexed="8"/>
      </left>
      <right style="thick">
        <color auto="1"/>
      </right>
      <top style="medium">
        <color indexed="8"/>
      </top>
      <bottom/>
      <diagonal/>
    </border>
    <border>
      <left style="thick">
        <color auto="1"/>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ck">
        <color auto="1"/>
      </right>
      <top style="medium">
        <color indexed="64"/>
      </top>
      <bottom/>
      <diagonal/>
    </border>
    <border>
      <left style="thick">
        <color auto="1"/>
      </left>
      <right style="medium">
        <color auto="1"/>
      </right>
      <top style="medium">
        <color indexed="8"/>
      </top>
      <bottom style="medium">
        <color auto="1"/>
      </bottom>
      <diagonal/>
    </border>
    <border>
      <left style="medium">
        <color auto="1"/>
      </left>
      <right style="medium">
        <color auto="1"/>
      </right>
      <top style="medium">
        <color indexed="8"/>
      </top>
      <bottom style="medium">
        <color auto="1"/>
      </bottom>
      <diagonal/>
    </border>
    <border>
      <left style="medium">
        <color auto="1"/>
      </left>
      <right style="thick">
        <color auto="1"/>
      </right>
      <top style="medium">
        <color indexed="8"/>
      </top>
      <bottom style="medium">
        <color auto="1"/>
      </bottom>
      <diagonal/>
    </border>
    <border>
      <left style="thick">
        <color auto="1"/>
      </left>
      <right style="medium">
        <color auto="1"/>
      </right>
      <top style="medium">
        <color auto="1"/>
      </top>
      <bottom style="thick">
        <color indexed="64"/>
      </bottom>
      <diagonal/>
    </border>
    <border>
      <left style="medium">
        <color auto="1"/>
      </left>
      <right style="medium">
        <color auto="1"/>
      </right>
      <top style="medium">
        <color auto="1"/>
      </top>
      <bottom style="thick">
        <color indexed="64"/>
      </bottom>
      <diagonal/>
    </border>
    <border>
      <left/>
      <right style="medium">
        <color auto="1"/>
      </right>
      <top style="medium">
        <color indexed="8"/>
      </top>
      <bottom style="medium">
        <color auto="1"/>
      </bottom>
      <diagonal/>
    </border>
    <border>
      <left/>
      <right style="medium">
        <color auto="1"/>
      </right>
      <top style="medium">
        <color auto="1"/>
      </top>
      <bottom style="thick">
        <color indexed="64"/>
      </bottom>
      <diagonal/>
    </border>
    <border>
      <left style="medium">
        <color auto="1"/>
      </left>
      <right style="thick">
        <color auto="1"/>
      </right>
      <top style="medium">
        <color auto="1"/>
      </top>
      <bottom style="thick">
        <color indexed="64"/>
      </bottom>
      <diagonal/>
    </border>
    <border>
      <left style="medium">
        <color auto="1"/>
      </left>
      <right/>
      <top style="medium">
        <color indexed="8"/>
      </top>
      <bottom style="medium">
        <color auto="1"/>
      </bottom>
      <diagonal/>
    </border>
    <border>
      <left style="medium">
        <color auto="1"/>
      </left>
      <right/>
      <top style="medium">
        <color auto="1"/>
      </top>
      <bottom style="thick">
        <color indexed="64"/>
      </bottom>
      <diagonal/>
    </border>
    <border>
      <left style="thick">
        <color indexed="64"/>
      </left>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auto="1"/>
      </top>
      <bottom style="medium">
        <color auto="1"/>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thick">
        <color indexed="64"/>
      </right>
      <top style="medium">
        <color indexed="64"/>
      </top>
      <bottom/>
      <diagonal/>
    </border>
    <border>
      <left/>
      <right style="medium">
        <color indexed="64"/>
      </right>
      <top style="medium">
        <color auto="1"/>
      </top>
      <bottom style="medium">
        <color auto="1"/>
      </bottom>
      <diagonal/>
    </border>
    <border>
      <left/>
      <right style="medium">
        <color indexed="64"/>
      </right>
      <top style="thick">
        <color indexed="64"/>
      </top>
      <bottom style="medium">
        <color indexed="64"/>
      </bottom>
      <diagonal/>
    </border>
  </borders>
  <cellStyleXfs count="6">
    <xf numFmtId="0" fontId="0" fillId="0" borderId="0"/>
    <xf numFmtId="0" fontId="3" fillId="0" borderId="0" applyNumberFormat="0" applyFill="0" applyBorder="0" applyAlignment="0" applyProtection="0">
      <alignment vertical="top"/>
      <protection locked="0"/>
    </xf>
    <xf numFmtId="9" fontId="1" fillId="0" borderId="0" applyFont="0" applyFill="0" applyBorder="0" applyAlignment="0" applyProtection="0"/>
    <xf numFmtId="0" fontId="5" fillId="0" borderId="0">
      <alignment wrapText="1"/>
    </xf>
    <xf numFmtId="0" fontId="11" fillId="0" borderId="0" applyNumberFormat="0" applyFill="0" applyBorder="0" applyAlignment="0" applyProtection="0">
      <alignment vertical="top"/>
      <protection locked="0"/>
    </xf>
    <xf numFmtId="0" fontId="1" fillId="0" borderId="0"/>
  </cellStyleXfs>
  <cellXfs count="805">
    <xf numFmtId="0" fontId="0" fillId="0" borderId="0" xfId="0"/>
    <xf numFmtId="0" fontId="0" fillId="0" borderId="0" xfId="0" applyAlignment="1">
      <alignment wrapText="1"/>
    </xf>
    <xf numFmtId="0" fontId="0" fillId="0" borderId="0" xfId="0" applyAlignment="1">
      <alignment horizontal="center" wrapText="1"/>
    </xf>
    <xf numFmtId="0" fontId="0" fillId="0" borderId="0" xfId="0" applyAlignment="1">
      <alignment horizontal="center"/>
    </xf>
    <xf numFmtId="9" fontId="0" fillId="0" borderId="0" xfId="2" applyFont="1"/>
    <xf numFmtId="0" fontId="3" fillId="0" borderId="0" xfId="1" applyAlignment="1" applyProtection="1"/>
    <xf numFmtId="0" fontId="4" fillId="0" borderId="0" xfId="0" applyFont="1" applyAlignment="1">
      <alignment wrapText="1"/>
    </xf>
    <xf numFmtId="0" fontId="8" fillId="0" borderId="0" xfId="0" applyFont="1" applyAlignment="1">
      <alignment wrapText="1"/>
    </xf>
    <xf numFmtId="0" fontId="0" fillId="7" borderId="0" xfId="0" applyFill="1" applyProtection="1">
      <protection locked="0"/>
    </xf>
    <xf numFmtId="9" fontId="0" fillId="0" borderId="0" xfId="0" applyNumberFormat="1"/>
    <xf numFmtId="0" fontId="0" fillId="0" borderId="0" xfId="0" applyBorder="1"/>
    <xf numFmtId="0" fontId="0" fillId="0" borderId="0" xfId="0" applyBorder="1" applyAlignment="1">
      <alignment wrapText="1"/>
    </xf>
    <xf numFmtId="0" fontId="0" fillId="0" borderId="0" xfId="0" applyFill="1"/>
    <xf numFmtId="0" fontId="2" fillId="0" borderId="0" xfId="0" applyFont="1"/>
    <xf numFmtId="0" fontId="0" fillId="0" borderId="0" xfId="0" applyNumberFormat="1"/>
    <xf numFmtId="0" fontId="8" fillId="0" borderId="0" xfId="0" applyNumberFormat="1" applyFont="1" applyAlignment="1">
      <alignment wrapText="1"/>
    </xf>
    <xf numFmtId="0" fontId="0" fillId="0" borderId="0" xfId="0"/>
    <xf numFmtId="0" fontId="21" fillId="0" borderId="0" xfId="0" applyFont="1" applyBorder="1" applyAlignment="1">
      <alignment horizontal="center" wrapText="1"/>
    </xf>
    <xf numFmtId="0" fontId="0" fillId="0" borderId="0" xfId="0" applyBorder="1" applyAlignment="1">
      <alignment horizontal="center" wrapText="1"/>
    </xf>
    <xf numFmtId="0" fontId="22" fillId="0" borderId="0" xfId="0" applyFont="1" applyAlignment="1">
      <alignment horizontal="center"/>
    </xf>
    <xf numFmtId="0" fontId="21" fillId="0" borderId="0" xfId="0" applyFont="1" applyAlignment="1">
      <alignment horizontal="center"/>
    </xf>
    <xf numFmtId="0" fontId="0" fillId="0" borderId="11" xfId="0" applyBorder="1" applyAlignment="1">
      <alignment horizontal="center" wrapText="1"/>
    </xf>
    <xf numFmtId="0" fontId="0" fillId="0" borderId="0" xfId="0" applyBorder="1" applyAlignment="1">
      <alignment horizontal="center"/>
    </xf>
    <xf numFmtId="164" fontId="16" fillId="0" borderId="0" xfId="0" applyNumberFormat="1" applyFont="1" applyAlignment="1">
      <alignment horizontal="center"/>
    </xf>
    <xf numFmtId="0" fontId="21" fillId="0" borderId="12" xfId="0" applyFont="1" applyBorder="1" applyAlignment="1">
      <alignment horizontal="center" vertical="center"/>
    </xf>
    <xf numFmtId="0" fontId="21" fillId="0" borderId="13" xfId="0" applyFont="1" applyBorder="1" applyAlignment="1">
      <alignment horizontal="center" vertical="center"/>
    </xf>
    <xf numFmtId="0" fontId="21" fillId="0" borderId="14" xfId="0" applyFont="1" applyBorder="1" applyAlignment="1">
      <alignment horizontal="center" vertical="center"/>
    </xf>
    <xf numFmtId="0" fontId="21" fillId="0" borderId="6" xfId="0" applyFont="1" applyBorder="1" applyAlignment="1">
      <alignment horizontal="center" vertical="center"/>
    </xf>
    <xf numFmtId="0" fontId="21" fillId="0" borderId="13" xfId="0" applyFont="1" applyBorder="1" applyAlignment="1">
      <alignment vertical="center" wrapText="1"/>
    </xf>
    <xf numFmtId="0" fontId="21" fillId="0" borderId="0" xfId="0" applyFont="1" applyBorder="1" applyAlignment="1">
      <alignment wrapText="1"/>
    </xf>
    <xf numFmtId="0" fontId="21" fillId="0" borderId="13" xfId="0" applyFont="1" applyBorder="1" applyAlignment="1">
      <alignment horizontal="center" vertical="center" wrapText="1"/>
    </xf>
    <xf numFmtId="164" fontId="2" fillId="0" borderId="0" xfId="0" applyNumberFormat="1" applyFont="1" applyBorder="1" applyAlignment="1">
      <alignment horizontal="center" wrapText="1"/>
    </xf>
    <xf numFmtId="0" fontId="21" fillId="0" borderId="14" xfId="0" applyFont="1" applyBorder="1" applyAlignment="1">
      <alignment horizontal="center" wrapText="1"/>
    </xf>
    <xf numFmtId="0" fontId="21" fillId="0" borderId="6" xfId="0" applyFont="1" applyBorder="1" applyAlignment="1">
      <alignment horizontal="center"/>
    </xf>
    <xf numFmtId="0" fontId="21" fillId="0" borderId="13" xfId="0" applyFont="1" applyBorder="1" applyAlignment="1">
      <alignment wrapText="1"/>
    </xf>
    <xf numFmtId="0" fontId="16" fillId="0" borderId="0" xfId="0" applyFont="1"/>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2" xfId="0" applyFont="1" applyBorder="1" applyAlignment="1">
      <alignment horizontal="center" vertical="center"/>
    </xf>
    <xf numFmtId="0" fontId="21" fillId="0" borderId="16" xfId="0" applyFont="1" applyBorder="1" applyAlignment="1">
      <alignment vertical="center" wrapText="1"/>
    </xf>
    <xf numFmtId="0" fontId="21" fillId="0" borderId="16" xfId="0" applyFont="1" applyBorder="1" applyAlignment="1">
      <alignment horizontal="center" vertical="center" wrapText="1"/>
    </xf>
    <xf numFmtId="0" fontId="21" fillId="0" borderId="17" xfId="0" applyFont="1" applyBorder="1" applyAlignment="1">
      <alignment horizontal="center" wrapText="1"/>
    </xf>
    <xf numFmtId="0" fontId="21" fillId="0" borderId="2" xfId="0" applyFont="1" applyBorder="1" applyAlignment="1">
      <alignment horizontal="center"/>
    </xf>
    <xf numFmtId="0" fontId="21" fillId="0" borderId="16" xfId="0" applyFont="1" applyFill="1" applyBorder="1" applyAlignment="1">
      <alignment wrapText="1"/>
    </xf>
    <xf numFmtId="0" fontId="21" fillId="0" borderId="16" xfId="0" applyFont="1" applyBorder="1" applyAlignment="1">
      <alignment wrapText="1"/>
    </xf>
    <xf numFmtId="0" fontId="22" fillId="0" borderId="15" xfId="0" applyFont="1" applyBorder="1" applyAlignment="1">
      <alignment horizontal="center" vertical="center"/>
    </xf>
    <xf numFmtId="0" fontId="22" fillId="0" borderId="16" xfId="0" applyFont="1" applyBorder="1" applyAlignment="1">
      <alignment horizontal="center" vertical="center"/>
    </xf>
    <xf numFmtId="0" fontId="21" fillId="0" borderId="17" xfId="0" applyFont="1" applyBorder="1" applyAlignment="1">
      <alignment horizontal="center" vertical="center" wrapText="1"/>
    </xf>
    <xf numFmtId="0" fontId="16" fillId="0" borderId="2" xfId="0" applyFont="1" applyBorder="1" applyAlignment="1">
      <alignment horizontal="center"/>
    </xf>
    <xf numFmtId="0" fontId="22" fillId="0" borderId="16" xfId="0" applyFont="1" applyBorder="1" applyAlignment="1">
      <alignment horizontal="center" vertical="center" wrapText="1"/>
    </xf>
    <xf numFmtId="0" fontId="16" fillId="0" borderId="2" xfId="0" applyFont="1" applyBorder="1" applyAlignment="1">
      <alignment horizontal="center" vertical="center"/>
    </xf>
    <xf numFmtId="0" fontId="21" fillId="0" borderId="15" xfId="0" applyFont="1" applyBorder="1" applyAlignment="1">
      <alignment horizontal="center"/>
    </xf>
    <xf numFmtId="0" fontId="21" fillId="0" borderId="18" xfId="0" applyFont="1" applyBorder="1" applyAlignment="1">
      <alignment horizontal="center"/>
    </xf>
    <xf numFmtId="0" fontId="21" fillId="0" borderId="19" xfId="0" applyFont="1" applyBorder="1" applyAlignment="1">
      <alignment horizontal="center" vertical="center"/>
    </xf>
    <xf numFmtId="0" fontId="16" fillId="0" borderId="20" xfId="0" applyFont="1" applyBorder="1" applyAlignment="1">
      <alignment horizontal="center" vertical="center"/>
    </xf>
    <xf numFmtId="0" fontId="16" fillId="0" borderId="21" xfId="0" applyFont="1" applyBorder="1" applyAlignment="1">
      <alignment horizontal="center" vertical="center"/>
    </xf>
    <xf numFmtId="0" fontId="21" fillId="0" borderId="22" xfId="0" applyFont="1" applyBorder="1" applyAlignment="1">
      <alignment vertical="center" wrapText="1"/>
    </xf>
    <xf numFmtId="0" fontId="21" fillId="0" borderId="18" xfId="0" applyFont="1" applyBorder="1" applyAlignment="1">
      <alignment horizontal="center" vertical="center"/>
    </xf>
    <xf numFmtId="0" fontId="21" fillId="0" borderId="20" xfId="0" applyFont="1" applyBorder="1" applyAlignment="1">
      <alignment horizontal="center" vertical="center"/>
    </xf>
    <xf numFmtId="0" fontId="16" fillId="0" borderId="20" xfId="0" applyFont="1" applyBorder="1" applyAlignment="1">
      <alignment horizontal="center" wrapText="1"/>
    </xf>
    <xf numFmtId="0" fontId="16" fillId="0" borderId="21" xfId="0" applyFont="1" applyBorder="1" applyAlignment="1">
      <alignment horizontal="center"/>
    </xf>
    <xf numFmtId="0" fontId="16" fillId="0" borderId="22" xfId="0" applyFont="1" applyBorder="1" applyAlignment="1">
      <alignment wrapText="1"/>
    </xf>
    <xf numFmtId="0" fontId="16" fillId="0" borderId="0" xfId="0" applyFont="1" applyAlignment="1">
      <alignment horizontal="center"/>
    </xf>
    <xf numFmtId="0" fontId="21" fillId="0" borderId="0" xfId="0" applyFont="1" applyAlignment="1">
      <alignment horizontal="center" vertical="center"/>
    </xf>
    <xf numFmtId="0" fontId="16" fillId="0" borderId="0" xfId="0" applyFont="1" applyAlignment="1">
      <alignment wrapText="1"/>
    </xf>
    <xf numFmtId="0" fontId="16" fillId="0" borderId="0" xfId="0" applyFont="1" applyBorder="1" applyAlignment="1">
      <alignment wrapText="1"/>
    </xf>
    <xf numFmtId="0" fontId="16" fillId="0" borderId="0" xfId="0" applyFont="1" applyBorder="1" applyAlignment="1">
      <alignment horizontal="center" wrapText="1"/>
    </xf>
    <xf numFmtId="0" fontId="16" fillId="0" borderId="0" xfId="0" applyFont="1" applyAlignment="1">
      <alignment horizontal="center" wrapText="1"/>
    </xf>
    <xf numFmtId="0" fontId="0" fillId="0" borderId="0" xfId="0" applyAlignment="1">
      <alignment vertical="top" wrapText="1"/>
    </xf>
    <xf numFmtId="0" fontId="16" fillId="0" borderId="32" xfId="0" applyFont="1" applyBorder="1" applyAlignment="1">
      <alignment horizontal="right" wrapText="1"/>
    </xf>
    <xf numFmtId="2" fontId="5" fillId="0" borderId="33" xfId="0" applyNumberFormat="1" applyFont="1" applyBorder="1" applyAlignment="1">
      <alignment wrapText="1"/>
    </xf>
    <xf numFmtId="0" fontId="16" fillId="0" borderId="5" xfId="0" applyFont="1" applyBorder="1" applyAlignment="1">
      <alignment horizontal="right" wrapText="1"/>
    </xf>
    <xf numFmtId="0" fontId="16" fillId="0" borderId="0" xfId="0" applyFont="1" applyAlignment="1">
      <alignment horizontal="center" vertical="center" textRotation="90" wrapText="1"/>
    </xf>
    <xf numFmtId="0" fontId="0" fillId="0" borderId="0" xfId="0"/>
    <xf numFmtId="0" fontId="0" fillId="0" borderId="0" xfId="0"/>
    <xf numFmtId="0" fontId="25" fillId="0" borderId="0" xfId="0" applyFont="1"/>
    <xf numFmtId="0" fontId="4" fillId="0" borderId="2" xfId="0" applyFont="1" applyBorder="1"/>
    <xf numFmtId="0" fontId="0" fillId="8" borderId="2" xfId="0" applyFill="1" applyBorder="1"/>
    <xf numFmtId="0" fontId="17" fillId="0" borderId="2" xfId="0" applyFont="1" applyBorder="1" applyAlignment="1">
      <alignment horizontal="center" wrapText="1"/>
    </xf>
    <xf numFmtId="0" fontId="17" fillId="8" borderId="2" xfId="0" applyFont="1" applyFill="1" applyBorder="1" applyAlignment="1">
      <alignment horizontal="center" wrapText="1"/>
    </xf>
    <xf numFmtId="9" fontId="0" fillId="0" borderId="2" xfId="0" applyNumberFormat="1" applyBorder="1"/>
    <xf numFmtId="9" fontId="0" fillId="8" borderId="2" xfId="0" applyNumberFormat="1" applyFill="1" applyBorder="1"/>
    <xf numFmtId="0" fontId="4" fillId="8" borderId="2" xfId="0" applyFont="1" applyFill="1" applyBorder="1"/>
    <xf numFmtId="9" fontId="4" fillId="8" borderId="2" xfId="0" applyNumberFormat="1" applyFont="1" applyFill="1" applyBorder="1"/>
    <xf numFmtId="0" fontId="0" fillId="8" borderId="0" xfId="0" applyFill="1"/>
    <xf numFmtId="0" fontId="0" fillId="0" borderId="0" xfId="0"/>
    <xf numFmtId="0" fontId="29" fillId="0" borderId="0" xfId="3" applyFont="1" applyFill="1" applyBorder="1" applyAlignment="1">
      <alignment horizontal="right" vertical="top" textRotation="180" wrapText="1"/>
    </xf>
    <xf numFmtId="0" fontId="3" fillId="0" borderId="0" xfId="1" applyAlignment="1" applyProtection="1">
      <alignment vertical="top" wrapText="1"/>
    </xf>
    <xf numFmtId="0" fontId="1" fillId="0" borderId="0" xfId="0" applyFont="1"/>
    <xf numFmtId="0" fontId="0" fillId="0" borderId="0" xfId="0"/>
    <xf numFmtId="0" fontId="24" fillId="8" borderId="23" xfId="5" applyFont="1" applyFill="1" applyBorder="1" applyAlignment="1">
      <alignment vertical="center"/>
    </xf>
    <xf numFmtId="0" fontId="24" fillId="8" borderId="24" xfId="5" applyFont="1" applyFill="1" applyBorder="1" applyAlignment="1">
      <alignment vertical="center"/>
    </xf>
    <xf numFmtId="0" fontId="10" fillId="0" borderId="53" xfId="5" applyFont="1" applyBorder="1" applyAlignment="1">
      <alignment vertical="center"/>
    </xf>
    <xf numFmtId="0" fontId="1" fillId="0" borderId="0" xfId="5" applyAlignment="1">
      <alignment vertical="center"/>
    </xf>
    <xf numFmtId="0" fontId="9" fillId="10" borderId="23" xfId="5" applyFont="1" applyFill="1" applyBorder="1"/>
    <xf numFmtId="0" fontId="1" fillId="10" borderId="24" xfId="5" applyFill="1" applyBorder="1"/>
    <xf numFmtId="0" fontId="9" fillId="0" borderId="24" xfId="5" applyFont="1" applyFill="1" applyBorder="1"/>
    <xf numFmtId="0" fontId="1" fillId="0" borderId="0" xfId="5"/>
    <xf numFmtId="0" fontId="12" fillId="10" borderId="11" xfId="5" applyFont="1" applyFill="1" applyBorder="1"/>
    <xf numFmtId="0" fontId="1" fillId="10" borderId="51" xfId="5" applyFill="1" applyBorder="1"/>
    <xf numFmtId="0" fontId="18" fillId="10" borderId="51" xfId="5" applyFont="1" applyFill="1" applyBorder="1" applyAlignment="1">
      <alignment horizontal="right"/>
    </xf>
    <xf numFmtId="0" fontId="1" fillId="0" borderId="50" xfId="5" applyFill="1" applyBorder="1"/>
    <xf numFmtId="0" fontId="2" fillId="0" borderId="56" xfId="5" applyFont="1" applyFill="1" applyBorder="1"/>
    <xf numFmtId="2" fontId="2" fillId="0" borderId="58" xfId="5" applyNumberFormat="1" applyFont="1" applyFill="1" applyBorder="1"/>
    <xf numFmtId="0" fontId="2" fillId="0" borderId="58" xfId="5" applyFont="1" applyFill="1" applyBorder="1"/>
    <xf numFmtId="0" fontId="12" fillId="10" borderId="60" xfId="5" applyFont="1" applyFill="1" applyBorder="1"/>
    <xf numFmtId="0" fontId="1" fillId="10" borderId="7" xfId="5" applyFill="1" applyBorder="1"/>
    <xf numFmtId="0" fontId="18" fillId="10" borderId="7" xfId="5" applyFont="1" applyFill="1" applyBorder="1" applyAlignment="1">
      <alignment horizontal="right"/>
    </xf>
    <xf numFmtId="0" fontId="1" fillId="0" borderId="62" xfId="5" applyFill="1" applyBorder="1"/>
    <xf numFmtId="0" fontId="2" fillId="0" borderId="7" xfId="5" applyFont="1" applyFill="1" applyBorder="1"/>
    <xf numFmtId="0" fontId="9" fillId="9" borderId="23" xfId="5" applyFont="1" applyFill="1" applyBorder="1"/>
    <xf numFmtId="0" fontId="13" fillId="9" borderId="24" xfId="5" applyFont="1" applyFill="1" applyBorder="1"/>
    <xf numFmtId="0" fontId="9" fillId="0" borderId="54" xfId="5" applyFont="1" applyFill="1" applyBorder="1"/>
    <xf numFmtId="0" fontId="13" fillId="9" borderId="46" xfId="5" applyFont="1" applyFill="1" applyBorder="1"/>
    <xf numFmtId="0" fontId="4" fillId="9" borderId="46" xfId="5" applyFont="1" applyFill="1" applyBorder="1" applyAlignment="1">
      <alignment horizontal="right"/>
    </xf>
    <xf numFmtId="0" fontId="1" fillId="8" borderId="47" xfId="5" applyFont="1" applyFill="1" applyBorder="1"/>
    <xf numFmtId="0" fontId="1" fillId="0" borderId="46" xfId="5" applyFill="1" applyBorder="1"/>
    <xf numFmtId="0" fontId="1" fillId="8" borderId="47" xfId="5" applyFill="1" applyBorder="1"/>
    <xf numFmtId="0" fontId="1" fillId="8" borderId="65" xfId="5" applyFont="1" applyFill="1" applyBorder="1"/>
    <xf numFmtId="0" fontId="12" fillId="9" borderId="11" xfId="5" applyFont="1" applyFill="1" applyBorder="1"/>
    <xf numFmtId="0" fontId="1" fillId="0" borderId="47" xfId="5" applyFill="1" applyBorder="1"/>
    <xf numFmtId="0" fontId="13" fillId="9" borderId="0" xfId="5" applyFont="1" applyFill="1" applyBorder="1"/>
    <xf numFmtId="0" fontId="18" fillId="9" borderId="0" xfId="5" applyFont="1" applyFill="1" applyBorder="1" applyAlignment="1">
      <alignment horizontal="right"/>
    </xf>
    <xf numFmtId="0" fontId="9" fillId="0" borderId="0" xfId="5" applyFont="1" applyFill="1" applyBorder="1"/>
    <xf numFmtId="0" fontId="19" fillId="0" borderId="66" xfId="5" applyFont="1" applyFill="1" applyBorder="1"/>
    <xf numFmtId="0" fontId="13" fillId="9" borderId="51" xfId="5" applyFont="1" applyFill="1" applyBorder="1"/>
    <xf numFmtId="0" fontId="18" fillId="9" borderId="51" xfId="5" applyFont="1" applyFill="1" applyBorder="1" applyAlignment="1">
      <alignment horizontal="right"/>
    </xf>
    <xf numFmtId="0" fontId="9" fillId="0" borderId="51" xfId="5" applyFont="1" applyFill="1" applyBorder="1"/>
    <xf numFmtId="0" fontId="19" fillId="0" borderId="58" xfId="5" applyFont="1" applyFill="1" applyBorder="1"/>
    <xf numFmtId="0" fontId="4" fillId="9" borderId="0" xfId="5" applyFont="1" applyFill="1" applyBorder="1" applyAlignment="1">
      <alignment horizontal="right"/>
    </xf>
    <xf numFmtId="0" fontId="1" fillId="0" borderId="50" xfId="5" applyFont="1" applyFill="1" applyBorder="1"/>
    <xf numFmtId="0" fontId="1" fillId="0" borderId="51" xfId="5" applyFill="1" applyBorder="1"/>
    <xf numFmtId="0" fontId="1" fillId="0" borderId="67" xfId="5" applyFont="1" applyFill="1" applyBorder="1"/>
    <xf numFmtId="0" fontId="12" fillId="9" borderId="0" xfId="5" applyFont="1" applyFill="1" applyBorder="1" applyAlignment="1">
      <alignment horizontal="right"/>
    </xf>
    <xf numFmtId="9" fontId="2" fillId="0" borderId="45" xfId="5" applyNumberFormat="1" applyFont="1" applyFill="1" applyBorder="1"/>
    <xf numFmtId="0" fontId="1" fillId="0" borderId="0" xfId="5" applyFill="1" applyBorder="1"/>
    <xf numFmtId="0" fontId="2" fillId="0" borderId="45" xfId="5" applyFont="1" applyFill="1" applyBorder="1"/>
    <xf numFmtId="9" fontId="2" fillId="0" borderId="69" xfId="5" applyNumberFormat="1" applyFont="1" applyFill="1" applyBorder="1"/>
    <xf numFmtId="0" fontId="2" fillId="0" borderId="69" xfId="5" applyFont="1" applyFill="1" applyBorder="1"/>
    <xf numFmtId="0" fontId="12" fillId="9" borderId="60" xfId="5" applyFont="1" applyFill="1" applyBorder="1"/>
    <xf numFmtId="0" fontId="13" fillId="9" borderId="7" xfId="5" applyFont="1" applyFill="1" applyBorder="1"/>
    <xf numFmtId="0" fontId="18" fillId="9" borderId="7" xfId="5" applyFont="1" applyFill="1" applyBorder="1" applyAlignment="1">
      <alignment horizontal="right"/>
    </xf>
    <xf numFmtId="9" fontId="2" fillId="0" borderId="71" xfId="5" applyNumberFormat="1" applyFont="1" applyFill="1" applyBorder="1"/>
    <xf numFmtId="0" fontId="9" fillId="0" borderId="7" xfId="5" applyFont="1" applyFill="1" applyBorder="1"/>
    <xf numFmtId="0" fontId="19" fillId="0" borderId="71" xfId="5" applyFont="1" applyFill="1" applyBorder="1"/>
    <xf numFmtId="0" fontId="9" fillId="2" borderId="23" xfId="5" applyFont="1" applyFill="1" applyBorder="1"/>
    <xf numFmtId="0" fontId="13" fillId="2" borderId="24" xfId="5" applyFont="1" applyFill="1" applyBorder="1"/>
    <xf numFmtId="0" fontId="12" fillId="2" borderId="11" xfId="5" applyFont="1" applyFill="1" applyBorder="1"/>
    <xf numFmtId="0" fontId="13" fillId="2" borderId="51" xfId="5" applyFont="1" applyFill="1" applyBorder="1"/>
    <xf numFmtId="0" fontId="18" fillId="2" borderId="51" xfId="5" applyFont="1" applyFill="1" applyBorder="1" applyAlignment="1">
      <alignment horizontal="right"/>
    </xf>
    <xf numFmtId="0" fontId="12" fillId="2" borderId="60" xfId="5" applyFont="1" applyFill="1" applyBorder="1"/>
    <xf numFmtId="0" fontId="13" fillId="2" borderId="7" xfId="5" applyFont="1" applyFill="1" applyBorder="1"/>
    <xf numFmtId="0" fontId="4" fillId="2" borderId="7" xfId="5" applyFont="1" applyFill="1" applyBorder="1" applyAlignment="1">
      <alignment horizontal="right"/>
    </xf>
    <xf numFmtId="0" fontId="1" fillId="8" borderId="62" xfId="5" applyFont="1" applyFill="1" applyBorder="1"/>
    <xf numFmtId="0" fontId="1" fillId="8" borderId="44" xfId="5" applyFont="1" applyFill="1" applyBorder="1"/>
    <xf numFmtId="0" fontId="9" fillId="11" borderId="23" xfId="5" applyFont="1" applyFill="1" applyBorder="1"/>
    <xf numFmtId="0" fontId="13" fillId="11" borderId="24" xfId="5" applyFont="1" applyFill="1" applyBorder="1"/>
    <xf numFmtId="0" fontId="12" fillId="11" borderId="11" xfId="5" applyFont="1" applyFill="1" applyBorder="1"/>
    <xf numFmtId="0" fontId="13" fillId="11" borderId="51" xfId="5" applyFont="1" applyFill="1" applyBorder="1"/>
    <xf numFmtId="0" fontId="18" fillId="11" borderId="51" xfId="5" applyFont="1" applyFill="1" applyBorder="1" applyAlignment="1">
      <alignment horizontal="right"/>
    </xf>
    <xf numFmtId="0" fontId="13" fillId="11" borderId="0" xfId="5" applyFont="1" applyFill="1" applyBorder="1"/>
    <xf numFmtId="0" fontId="4" fillId="11" borderId="0" xfId="5" applyFont="1" applyFill="1" applyBorder="1" applyAlignment="1">
      <alignment horizontal="right"/>
    </xf>
    <xf numFmtId="0" fontId="1" fillId="8" borderId="48" xfId="5" applyFont="1" applyFill="1" applyBorder="1"/>
    <xf numFmtId="0" fontId="1" fillId="0" borderId="45" xfId="5" applyFill="1" applyBorder="1"/>
    <xf numFmtId="0" fontId="12" fillId="11" borderId="60" xfId="5" applyFont="1" applyFill="1" applyBorder="1"/>
    <xf numFmtId="0" fontId="13" fillId="11" borderId="7" xfId="5" applyFont="1" applyFill="1" applyBorder="1"/>
    <xf numFmtId="0" fontId="18" fillId="11" borderId="7" xfId="5" applyFont="1" applyFill="1" applyBorder="1" applyAlignment="1">
      <alignment horizontal="right"/>
    </xf>
    <xf numFmtId="0" fontId="9" fillId="0" borderId="62" xfId="5" applyFont="1" applyFill="1" applyBorder="1"/>
    <xf numFmtId="0" fontId="19" fillId="0" borderId="7" xfId="5" applyFont="1" applyFill="1" applyBorder="1"/>
    <xf numFmtId="0" fontId="31" fillId="12" borderId="11" xfId="5" applyFont="1" applyFill="1" applyBorder="1"/>
    <xf numFmtId="0" fontId="1" fillId="12" borderId="0" xfId="5" applyFill="1" applyBorder="1"/>
    <xf numFmtId="0" fontId="31" fillId="12" borderId="0" xfId="5" applyFont="1" applyFill="1" applyBorder="1"/>
    <xf numFmtId="0" fontId="1" fillId="12" borderId="26" xfId="5" applyFont="1" applyFill="1" applyBorder="1"/>
    <xf numFmtId="0" fontId="1" fillId="0" borderId="0" xfId="5" applyFill="1"/>
    <xf numFmtId="0" fontId="2" fillId="12" borderId="0" xfId="5" applyFont="1" applyFill="1" applyBorder="1"/>
    <xf numFmtId="0" fontId="1" fillId="12" borderId="11" xfId="5" applyFill="1" applyBorder="1"/>
    <xf numFmtId="0" fontId="1" fillId="12" borderId="51" xfId="5" applyFill="1" applyBorder="1"/>
    <xf numFmtId="0" fontId="1" fillId="0" borderId="0" xfId="5" applyBorder="1"/>
    <xf numFmtId="0" fontId="4" fillId="0" borderId="0" xfId="5" applyFont="1" applyBorder="1" applyAlignment="1">
      <alignment horizontal="left" vertical="center"/>
    </xf>
    <xf numFmtId="0" fontId="30" fillId="0" borderId="0" xfId="5" applyFont="1" applyBorder="1"/>
    <xf numFmtId="0" fontId="1" fillId="0" borderId="7" xfId="5" applyBorder="1"/>
    <xf numFmtId="0" fontId="1" fillId="0" borderId="0" xfId="5" applyFont="1"/>
    <xf numFmtId="2" fontId="2" fillId="0" borderId="55" xfId="5" applyNumberFormat="1" applyFont="1" applyFill="1" applyBorder="1"/>
    <xf numFmtId="2" fontId="2" fillId="0" borderId="61" xfId="5" applyNumberFormat="1" applyFont="1" applyFill="1" applyBorder="1"/>
    <xf numFmtId="2" fontId="24" fillId="0" borderId="54" xfId="5" applyNumberFormat="1" applyFont="1" applyFill="1" applyBorder="1"/>
    <xf numFmtId="2" fontId="24" fillId="0" borderId="53" xfId="5" applyNumberFormat="1" applyFont="1" applyFill="1" applyBorder="1"/>
    <xf numFmtId="0" fontId="4" fillId="0" borderId="0" xfId="5" applyFont="1" applyFill="1" applyBorder="1" applyAlignment="1">
      <alignment horizontal="right"/>
    </xf>
    <xf numFmtId="0" fontId="18" fillId="0" borderId="0" xfId="5" applyFont="1" applyFill="1" applyBorder="1" applyAlignment="1">
      <alignment horizontal="right"/>
    </xf>
    <xf numFmtId="168" fontId="0" fillId="0" borderId="0" xfId="2" applyNumberFormat="1" applyFont="1"/>
    <xf numFmtId="10" fontId="0" fillId="0" borderId="0" xfId="2" applyNumberFormat="1" applyFont="1"/>
    <xf numFmtId="167" fontId="0" fillId="0" borderId="0" xfId="0" applyNumberFormat="1"/>
    <xf numFmtId="2" fontId="0" fillId="0" borderId="0" xfId="0" applyNumberFormat="1"/>
    <xf numFmtId="0" fontId="0" fillId="0" borderId="0" xfId="0"/>
    <xf numFmtId="10" fontId="0" fillId="0" borderId="0" xfId="0" applyNumberFormat="1"/>
    <xf numFmtId="10" fontId="0" fillId="14" borderId="0" xfId="0" applyNumberFormat="1" applyFill="1"/>
    <xf numFmtId="10" fontId="0" fillId="13" borderId="0" xfId="0" applyNumberFormat="1" applyFill="1"/>
    <xf numFmtId="2" fontId="2" fillId="0" borderId="66" xfId="5" applyNumberFormat="1" applyFont="1" applyFill="1" applyBorder="1"/>
    <xf numFmtId="2" fontId="1" fillId="0" borderId="47" xfId="5" applyNumberFormat="1" applyFont="1" applyFill="1" applyBorder="1"/>
    <xf numFmtId="0" fontId="13" fillId="11" borderId="24" xfId="5" applyFont="1" applyFill="1" applyBorder="1" applyAlignment="1">
      <alignment horizontal="right"/>
    </xf>
    <xf numFmtId="164" fontId="16" fillId="14" borderId="0" xfId="0" applyNumberFormat="1" applyFont="1" applyFill="1" applyAlignment="1">
      <alignment horizontal="center"/>
    </xf>
    <xf numFmtId="2" fontId="2" fillId="0" borderId="49" xfId="0" applyNumberFormat="1" applyFont="1" applyFill="1" applyBorder="1"/>
    <xf numFmtId="0" fontId="0" fillId="0" borderId="0" xfId="0"/>
    <xf numFmtId="168" fontId="2" fillId="0" borderId="66" xfId="5" applyNumberFormat="1" applyFont="1" applyFill="1" applyBorder="1"/>
    <xf numFmtId="0" fontId="0" fillId="0" borderId="0" xfId="0"/>
    <xf numFmtId="0" fontId="0" fillId="0" borderId="0" xfId="0" applyFont="1"/>
    <xf numFmtId="0" fontId="1" fillId="0" borderId="0" xfId="0" applyFont="1" applyAlignment="1">
      <alignment horizontal="left"/>
    </xf>
    <xf numFmtId="0" fontId="0" fillId="0" borderId="0" xfId="0" applyAlignment="1">
      <alignment horizontal="left"/>
    </xf>
    <xf numFmtId="0" fontId="3" fillId="0" borderId="0" xfId="1" applyAlignment="1" applyProtection="1">
      <alignment horizontal="left"/>
    </xf>
    <xf numFmtId="0" fontId="0" fillId="3" borderId="76" xfId="0" applyFill="1" applyBorder="1" applyProtection="1">
      <protection locked="0"/>
    </xf>
    <xf numFmtId="0" fontId="0" fillId="3" borderId="77" xfId="0" applyFill="1" applyBorder="1" applyProtection="1">
      <protection locked="0"/>
    </xf>
    <xf numFmtId="0" fontId="0" fillId="3" borderId="77" xfId="0" applyFont="1" applyFill="1" applyBorder="1" applyProtection="1">
      <protection locked="0"/>
    </xf>
    <xf numFmtId="0" fontId="0" fillId="3" borderId="78" xfId="0" applyFill="1" applyBorder="1" applyProtection="1">
      <protection locked="0"/>
    </xf>
    <xf numFmtId="0" fontId="0" fillId="5" borderId="80" xfId="0" applyFill="1" applyBorder="1" applyProtection="1">
      <protection locked="0"/>
    </xf>
    <xf numFmtId="0" fontId="0" fillId="5" borderId="82" xfId="0" applyFill="1" applyBorder="1" applyProtection="1">
      <protection locked="0"/>
    </xf>
    <xf numFmtId="0" fontId="0" fillId="5" borderId="63" xfId="0" applyFill="1" applyBorder="1" applyProtection="1">
      <protection locked="0"/>
    </xf>
    <xf numFmtId="0" fontId="0" fillId="4" borderId="79" xfId="0" applyFill="1" applyBorder="1" applyAlignment="1" applyProtection="1">
      <alignment horizontal="left"/>
      <protection locked="0"/>
    </xf>
    <xf numFmtId="0" fontId="0" fillId="4" borderId="81" xfId="0" applyFill="1" applyBorder="1" applyAlignment="1" applyProtection="1">
      <alignment horizontal="left"/>
      <protection locked="0"/>
    </xf>
    <xf numFmtId="0" fontId="0" fillId="4" borderId="81" xfId="0" applyFont="1" applyFill="1" applyBorder="1" applyAlignment="1" applyProtection="1">
      <alignment horizontal="left"/>
      <protection locked="0"/>
    </xf>
    <xf numFmtId="0" fontId="0" fillId="4" borderId="83" xfId="0" applyFill="1" applyBorder="1" applyAlignment="1" applyProtection="1">
      <alignment horizontal="left"/>
      <protection locked="0"/>
    </xf>
    <xf numFmtId="0" fontId="8" fillId="0" borderId="0" xfId="0" applyFont="1" applyAlignment="1">
      <alignment horizontal="center" wrapText="1"/>
    </xf>
    <xf numFmtId="0" fontId="0" fillId="0" borderId="0" xfId="0" applyAlignment="1"/>
    <xf numFmtId="0" fontId="39" fillId="0" borderId="0" xfId="0" applyFont="1" applyAlignment="1">
      <alignment horizontal="center" textRotation="90" wrapText="1"/>
    </xf>
    <xf numFmtId="164" fontId="0" fillId="0" borderId="0" xfId="0" applyNumberFormat="1"/>
    <xf numFmtId="164" fontId="0" fillId="0" borderId="0" xfId="0" applyNumberFormat="1" applyAlignment="1">
      <alignment wrapText="1"/>
    </xf>
    <xf numFmtId="1" fontId="0" fillId="0" borderId="0" xfId="2" applyNumberFormat="1" applyFont="1"/>
    <xf numFmtId="0" fontId="0" fillId="0" borderId="0" xfId="0"/>
    <xf numFmtId="0" fontId="1" fillId="7" borderId="0" xfId="0" applyFont="1" applyFill="1" applyProtection="1">
      <protection locked="0"/>
    </xf>
    <xf numFmtId="10" fontId="0" fillId="15" borderId="0" xfId="0" applyNumberFormat="1" applyFill="1"/>
    <xf numFmtId="0" fontId="0" fillId="15" borderId="0" xfId="0" applyFill="1"/>
    <xf numFmtId="10" fontId="0" fillId="16" borderId="0" xfId="0" applyNumberFormat="1" applyFill="1"/>
    <xf numFmtId="0" fontId="0" fillId="16" borderId="0" xfId="0" applyFill="1"/>
    <xf numFmtId="0" fontId="0" fillId="13" borderId="0" xfId="0" applyFill="1"/>
    <xf numFmtId="0" fontId="0" fillId="14" borderId="0" xfId="0" applyFill="1"/>
    <xf numFmtId="2" fontId="24" fillId="0" borderId="48" xfId="5" applyNumberFormat="1" applyFont="1" applyFill="1" applyBorder="1"/>
    <xf numFmtId="2" fontId="24" fillId="0" borderId="43" xfId="5" applyNumberFormat="1" applyFont="1" applyFill="1" applyBorder="1"/>
    <xf numFmtId="0" fontId="12" fillId="10" borderId="87" xfId="5" applyFont="1" applyFill="1" applyBorder="1"/>
    <xf numFmtId="0" fontId="1" fillId="10" borderId="88" xfId="5" applyFill="1" applyBorder="1"/>
    <xf numFmtId="0" fontId="4" fillId="10" borderId="88" xfId="5" applyFont="1" applyFill="1" applyBorder="1" applyAlignment="1">
      <alignment horizontal="right"/>
    </xf>
    <xf numFmtId="2" fontId="1" fillId="0" borderId="89" xfId="5" applyNumberFormat="1" applyFont="1" applyFill="1" applyBorder="1"/>
    <xf numFmtId="2" fontId="1" fillId="0" borderId="90" xfId="5" applyNumberFormat="1" applyFont="1" applyFill="1" applyBorder="1"/>
    <xf numFmtId="2" fontId="2" fillId="0" borderId="59" xfId="5" applyNumberFormat="1" applyFont="1" applyFill="1" applyBorder="1"/>
    <xf numFmtId="2" fontId="1" fillId="0" borderId="91" xfId="5" applyNumberFormat="1" applyFont="1" applyFill="1" applyBorder="1"/>
    <xf numFmtId="2" fontId="2" fillId="0" borderId="44" xfId="5" applyNumberFormat="1" applyFont="1" applyFill="1" applyBorder="1"/>
    <xf numFmtId="2" fontId="24" fillId="0" borderId="64" xfId="5" applyNumberFormat="1" applyFont="1" applyFill="1" applyBorder="1"/>
    <xf numFmtId="0" fontId="12" fillId="9" borderId="87" xfId="5" applyFont="1" applyFill="1" applyBorder="1"/>
    <xf numFmtId="0" fontId="13" fillId="9" borderId="88" xfId="5" applyFont="1" applyFill="1" applyBorder="1"/>
    <xf numFmtId="0" fontId="4" fillId="9" borderId="88" xfId="5" applyFont="1" applyFill="1" applyBorder="1" applyAlignment="1">
      <alignment horizontal="right"/>
    </xf>
    <xf numFmtId="2" fontId="1" fillId="0" borderId="65" xfId="5" applyNumberFormat="1" applyFont="1" applyFill="1" applyBorder="1"/>
    <xf numFmtId="168" fontId="2" fillId="0" borderId="68" xfId="5" applyNumberFormat="1" applyFont="1" applyFill="1" applyBorder="1"/>
    <xf numFmtId="9" fontId="2" fillId="0" borderId="43" xfId="5" applyNumberFormat="1" applyFont="1" applyFill="1" applyBorder="1"/>
    <xf numFmtId="9" fontId="2" fillId="0" borderId="92" xfId="5" applyNumberFormat="1" applyFont="1" applyFill="1" applyBorder="1"/>
    <xf numFmtId="9" fontId="2" fillId="0" borderId="72" xfId="5" applyNumberFormat="1" applyFont="1" applyFill="1" applyBorder="1"/>
    <xf numFmtId="0" fontId="12" fillId="2" borderId="87" xfId="5" applyFont="1" applyFill="1" applyBorder="1"/>
    <xf numFmtId="0" fontId="13" fillId="2" borderId="88" xfId="5" applyFont="1" applyFill="1" applyBorder="1"/>
    <xf numFmtId="0" fontId="4" fillId="2" borderId="88" xfId="5" applyFont="1" applyFill="1" applyBorder="1" applyAlignment="1">
      <alignment horizontal="right"/>
    </xf>
    <xf numFmtId="2" fontId="2" fillId="0" borderId="49" xfId="5" applyNumberFormat="1" applyFont="1" applyFill="1" applyBorder="1"/>
    <xf numFmtId="2" fontId="2" fillId="0" borderId="70" xfId="5" applyNumberFormat="1" applyFont="1" applyFill="1" applyBorder="1"/>
    <xf numFmtId="0" fontId="13" fillId="11" borderId="88" xfId="5" applyFont="1" applyFill="1" applyBorder="1"/>
    <xf numFmtId="0" fontId="4" fillId="11" borderId="88" xfId="5" applyFont="1" applyFill="1" applyBorder="1" applyAlignment="1">
      <alignment horizontal="right"/>
    </xf>
    <xf numFmtId="2" fontId="1" fillId="0" borderId="84" xfId="5" applyNumberFormat="1" applyFont="1" applyFill="1" applyBorder="1"/>
    <xf numFmtId="2" fontId="1" fillId="0" borderId="93" xfId="5" applyNumberFormat="1" applyFont="1" applyFill="1" applyBorder="1"/>
    <xf numFmtId="0" fontId="1" fillId="8" borderId="43" xfId="5" applyFont="1" applyFill="1" applyBorder="1"/>
    <xf numFmtId="0" fontId="18" fillId="11" borderId="0" xfId="5" applyFont="1" applyFill="1" applyBorder="1" applyAlignment="1">
      <alignment horizontal="right"/>
    </xf>
    <xf numFmtId="2" fontId="2" fillId="0" borderId="94" xfId="5" applyNumberFormat="1" applyFont="1" applyFill="1" applyBorder="1"/>
    <xf numFmtId="2" fontId="2" fillId="0" borderId="92" xfId="5" applyNumberFormat="1" applyFont="1" applyFill="1" applyBorder="1"/>
    <xf numFmtId="0" fontId="9" fillId="17" borderId="23" xfId="5" applyFont="1" applyFill="1" applyBorder="1"/>
    <xf numFmtId="0" fontId="1" fillId="17" borderId="24" xfId="5" applyFill="1" applyBorder="1"/>
    <xf numFmtId="0" fontId="31" fillId="17" borderId="24" xfId="5" applyFont="1" applyFill="1" applyBorder="1"/>
    <xf numFmtId="0" fontId="2" fillId="17" borderId="95" xfId="5" applyFont="1" applyFill="1" applyBorder="1" applyAlignment="1">
      <alignment horizontal="right"/>
    </xf>
    <xf numFmtId="0" fontId="1" fillId="0" borderId="96" xfId="5" applyBorder="1"/>
    <xf numFmtId="0" fontId="1" fillId="0" borderId="97" xfId="5" applyBorder="1"/>
    <xf numFmtId="0" fontId="31" fillId="17" borderId="11" xfId="5" applyFont="1" applyFill="1" applyBorder="1"/>
    <xf numFmtId="0" fontId="2" fillId="17" borderId="0" xfId="5" applyFont="1" applyFill="1" applyBorder="1"/>
    <xf numFmtId="0" fontId="1" fillId="17" borderId="0" xfId="5" applyFill="1" applyBorder="1"/>
    <xf numFmtId="0" fontId="31" fillId="17" borderId="0" xfId="5" applyFont="1" applyFill="1" applyBorder="1"/>
    <xf numFmtId="0" fontId="2" fillId="17" borderId="98" xfId="5" applyFont="1" applyFill="1" applyBorder="1" applyAlignment="1">
      <alignment horizontal="right"/>
    </xf>
    <xf numFmtId="0" fontId="1" fillId="0" borderId="99" xfId="5" applyBorder="1"/>
    <xf numFmtId="0" fontId="1" fillId="0" borderId="70" xfId="5" applyBorder="1"/>
    <xf numFmtId="0" fontId="1" fillId="17" borderId="60" xfId="5" applyFill="1" applyBorder="1"/>
    <xf numFmtId="0" fontId="2" fillId="17" borderId="7" xfId="5" applyFont="1" applyFill="1" applyBorder="1"/>
    <xf numFmtId="0" fontId="1" fillId="17" borderId="7" xfId="5" applyFill="1" applyBorder="1"/>
    <xf numFmtId="0" fontId="2" fillId="17" borderId="100" xfId="5" applyFont="1" applyFill="1" applyBorder="1" applyAlignment="1">
      <alignment horizontal="right"/>
    </xf>
    <xf numFmtId="0" fontId="1" fillId="0" borderId="71" xfId="5" applyBorder="1"/>
    <xf numFmtId="0" fontId="1" fillId="0" borderId="72" xfId="5" applyBorder="1"/>
    <xf numFmtId="0" fontId="1" fillId="0" borderId="0" xfId="5" applyAlignment="1">
      <alignment horizontal="center"/>
    </xf>
    <xf numFmtId="0" fontId="1" fillId="0" borderId="0" xfId="5" applyAlignment="1">
      <alignment horizontal="center" vertical="center"/>
    </xf>
    <xf numFmtId="0" fontId="4" fillId="0" borderId="0" xfId="5" applyFont="1"/>
    <xf numFmtId="0" fontId="4" fillId="0" borderId="0" xfId="5" applyFont="1" applyAlignment="1">
      <alignment horizontal="center"/>
    </xf>
    <xf numFmtId="0" fontId="1" fillId="0" borderId="101" xfId="5" applyFill="1" applyBorder="1"/>
    <xf numFmtId="0" fontId="1" fillId="0" borderId="102" xfId="5" applyFill="1" applyBorder="1"/>
    <xf numFmtId="0" fontId="1" fillId="0" borderId="91" xfId="5" applyFill="1" applyBorder="1"/>
    <xf numFmtId="2" fontId="1" fillId="0" borderId="47" xfId="5" applyNumberFormat="1" applyBorder="1"/>
    <xf numFmtId="2" fontId="2" fillId="0" borderId="94" xfId="0" applyNumberFormat="1" applyFont="1" applyFill="1" applyBorder="1"/>
    <xf numFmtId="0" fontId="1" fillId="8" borderId="73" xfId="5" applyFont="1" applyFill="1" applyBorder="1"/>
    <xf numFmtId="0" fontId="1" fillId="0" borderId="73" xfId="5" applyFill="1" applyBorder="1"/>
    <xf numFmtId="0" fontId="1" fillId="8" borderId="73" xfId="5" applyFill="1" applyBorder="1"/>
    <xf numFmtId="0" fontId="2" fillId="0" borderId="0" xfId="5" applyFont="1" applyFill="1" applyBorder="1"/>
    <xf numFmtId="0" fontId="1" fillId="8" borderId="104" xfId="5" applyFont="1" applyFill="1" applyBorder="1"/>
    <xf numFmtId="0" fontId="1" fillId="8" borderId="46" xfId="5" applyFill="1" applyBorder="1"/>
    <xf numFmtId="2" fontId="2" fillId="0" borderId="106" xfId="0" applyNumberFormat="1" applyFont="1" applyFill="1" applyBorder="1"/>
    <xf numFmtId="0" fontId="0" fillId="0" borderId="0" xfId="0"/>
    <xf numFmtId="0" fontId="1" fillId="3" borderId="77" xfId="0" applyFont="1" applyFill="1" applyBorder="1" applyProtection="1">
      <protection locked="0"/>
    </xf>
    <xf numFmtId="164" fontId="2" fillId="0" borderId="0" xfId="0" applyNumberFormat="1" applyFont="1" applyFill="1" applyAlignment="1">
      <alignment horizontal="center"/>
    </xf>
    <xf numFmtId="0" fontId="21" fillId="0" borderId="0" xfId="5" applyFont="1" applyAlignment="1">
      <alignment horizontal="center"/>
    </xf>
    <xf numFmtId="0" fontId="21" fillId="0" borderId="0" xfId="5" applyFont="1" applyAlignment="1">
      <alignment horizontal="center" vertical="center"/>
    </xf>
    <xf numFmtId="0" fontId="2" fillId="0" borderId="0" xfId="5" applyFont="1" applyAlignment="1">
      <alignment horizontal="center"/>
    </xf>
    <xf numFmtId="0" fontId="1" fillId="0" borderId="0" xfId="5" applyAlignment="1">
      <alignment wrapText="1"/>
    </xf>
    <xf numFmtId="0" fontId="21" fillId="0" borderId="85" xfId="5" applyFont="1" applyBorder="1" applyAlignment="1">
      <alignment horizontal="center" vertical="center" wrapText="1"/>
    </xf>
    <xf numFmtId="0" fontId="21" fillId="0" borderId="86" xfId="5" applyFont="1" applyBorder="1" applyAlignment="1">
      <alignment horizontal="center" vertical="center" wrapText="1"/>
    </xf>
    <xf numFmtId="0" fontId="21" fillId="0" borderId="110" xfId="5" applyFont="1" applyBorder="1" applyAlignment="1">
      <alignment horizontal="center" vertical="center"/>
    </xf>
    <xf numFmtId="0" fontId="21" fillId="0" borderId="111" xfId="5" applyFont="1" applyBorder="1" applyAlignment="1">
      <alignment horizontal="center" vertical="center"/>
    </xf>
    <xf numFmtId="0" fontId="21" fillId="0" borderId="112" xfId="5" applyFont="1" applyBorder="1" applyAlignment="1">
      <alignment horizontal="center" vertical="center"/>
    </xf>
    <xf numFmtId="0" fontId="21" fillId="0" borderId="113" xfId="5" applyFont="1" applyBorder="1" applyAlignment="1">
      <alignment horizontal="center" vertical="center"/>
    </xf>
    <xf numFmtId="0" fontId="21" fillId="0" borderId="111" xfId="5" applyFont="1" applyBorder="1" applyAlignment="1">
      <alignment vertical="center" wrapText="1"/>
    </xf>
    <xf numFmtId="164" fontId="2" fillId="0" borderId="0" xfId="5" applyNumberFormat="1" applyFont="1"/>
    <xf numFmtId="0" fontId="2" fillId="0" borderId="0" xfId="5" applyFont="1"/>
    <xf numFmtId="0" fontId="21" fillId="0" borderId="15" xfId="5" applyFont="1" applyBorder="1" applyAlignment="1">
      <alignment horizontal="center" vertical="center"/>
    </xf>
    <xf numFmtId="0" fontId="21" fillId="0" borderId="16" xfId="5" applyFont="1" applyBorder="1" applyAlignment="1">
      <alignment horizontal="center" vertical="center"/>
    </xf>
    <xf numFmtId="0" fontId="21" fillId="0" borderId="17" xfId="5" applyFont="1" applyBorder="1" applyAlignment="1">
      <alignment horizontal="center" vertical="center"/>
    </xf>
    <xf numFmtId="0" fontId="21" fillId="0" borderId="2" xfId="5" applyFont="1" applyBorder="1" applyAlignment="1">
      <alignment horizontal="center" vertical="center"/>
    </xf>
    <xf numFmtId="0" fontId="21" fillId="0" borderId="16" xfId="5" applyFont="1" applyBorder="1" applyAlignment="1">
      <alignment vertical="center" wrapText="1"/>
    </xf>
    <xf numFmtId="0" fontId="21" fillId="0" borderId="16" xfId="5" applyFont="1" applyBorder="1" applyAlignment="1">
      <alignment horizontal="center" vertical="center" wrapText="1"/>
    </xf>
    <xf numFmtId="0" fontId="21" fillId="0" borderId="17" xfId="5" applyFont="1" applyBorder="1" applyAlignment="1">
      <alignment horizontal="center" vertical="center" wrapText="1"/>
    </xf>
    <xf numFmtId="0" fontId="21" fillId="0" borderId="15" xfId="5" applyFont="1" applyBorder="1" applyAlignment="1">
      <alignment horizontal="center"/>
    </xf>
    <xf numFmtId="0" fontId="21" fillId="0" borderId="18" xfId="5" applyFont="1" applyBorder="1" applyAlignment="1">
      <alignment horizontal="center"/>
    </xf>
    <xf numFmtId="0" fontId="21" fillId="0" borderId="19" xfId="5" applyFont="1" applyBorder="1" applyAlignment="1">
      <alignment horizontal="center" vertical="center"/>
    </xf>
    <xf numFmtId="0" fontId="2" fillId="0" borderId="20" xfId="5" applyFont="1" applyBorder="1" applyAlignment="1">
      <alignment horizontal="center" vertical="center"/>
    </xf>
    <xf numFmtId="0" fontId="2" fillId="0" borderId="21" xfId="5" applyFont="1" applyBorder="1" applyAlignment="1">
      <alignment horizontal="center" vertical="center"/>
    </xf>
    <xf numFmtId="0" fontId="21" fillId="0" borderId="22" xfId="5" applyFont="1" applyBorder="1" applyAlignment="1">
      <alignment vertical="center" wrapText="1"/>
    </xf>
    <xf numFmtId="0" fontId="2" fillId="0" borderId="0" xfId="5" applyFont="1" applyAlignment="1">
      <alignment wrapText="1"/>
    </xf>
    <xf numFmtId="0" fontId="21" fillId="0" borderId="0" xfId="5" applyFont="1" applyBorder="1" applyAlignment="1">
      <alignment horizontal="center" wrapText="1"/>
    </xf>
    <xf numFmtId="0" fontId="21" fillId="0" borderId="111" xfId="5" applyFont="1" applyBorder="1" applyAlignment="1">
      <alignment horizontal="center" vertical="center" wrapText="1"/>
    </xf>
    <xf numFmtId="0" fontId="2" fillId="0" borderId="2" xfId="5" applyFont="1" applyBorder="1" applyAlignment="1">
      <alignment horizontal="center" vertical="center"/>
    </xf>
    <xf numFmtId="0" fontId="21" fillId="0" borderId="18" xfId="5" applyFont="1" applyBorder="1" applyAlignment="1">
      <alignment horizontal="center" vertical="center"/>
    </xf>
    <xf numFmtId="0" fontId="21" fillId="0" borderId="20" xfId="5" applyFont="1" applyBorder="1" applyAlignment="1">
      <alignment horizontal="center" vertical="center"/>
    </xf>
    <xf numFmtId="0" fontId="1" fillId="0" borderId="0" xfId="5" applyAlignment="1">
      <alignment horizontal="center" wrapText="1"/>
    </xf>
    <xf numFmtId="0" fontId="21" fillId="0" borderId="111" xfId="5" applyFont="1" applyBorder="1" applyAlignment="1">
      <alignment wrapText="1"/>
    </xf>
    <xf numFmtId="0" fontId="21" fillId="0" borderId="16" xfId="5" applyFont="1" applyFill="1" applyBorder="1" applyAlignment="1">
      <alignment wrapText="1"/>
    </xf>
    <xf numFmtId="0" fontId="21" fillId="0" borderId="16" xfId="5" applyFont="1" applyBorder="1" applyAlignment="1">
      <alignment wrapText="1"/>
    </xf>
    <xf numFmtId="0" fontId="2" fillId="0" borderId="22" xfId="5" applyFont="1" applyBorder="1" applyAlignment="1">
      <alignment wrapText="1"/>
    </xf>
    <xf numFmtId="0" fontId="2" fillId="0" borderId="0" xfId="5" applyFont="1" applyAlignment="1">
      <alignment horizontal="center" wrapText="1"/>
    </xf>
    <xf numFmtId="2" fontId="4" fillId="0" borderId="54" xfId="5" applyNumberFormat="1" applyFont="1" applyFill="1" applyBorder="1"/>
    <xf numFmtId="2" fontId="4" fillId="0" borderId="64" xfId="5" applyNumberFormat="1" applyFont="1" applyFill="1" applyBorder="1"/>
    <xf numFmtId="2" fontId="4" fillId="0" borderId="53" xfId="5" applyNumberFormat="1" applyFont="1" applyFill="1" applyBorder="1"/>
    <xf numFmtId="2" fontId="24" fillId="0" borderId="48" xfId="0" applyNumberFormat="1" applyFont="1" applyFill="1" applyBorder="1"/>
    <xf numFmtId="2" fontId="4" fillId="0" borderId="48" xfId="0" applyNumberFormat="1" applyFont="1" applyFill="1" applyBorder="1"/>
    <xf numFmtId="2" fontId="4" fillId="0" borderId="43" xfId="0" applyNumberFormat="1" applyFont="1" applyFill="1" applyBorder="1"/>
    <xf numFmtId="2" fontId="2" fillId="0" borderId="70" xfId="0" applyNumberFormat="1" applyFont="1" applyFill="1" applyBorder="1"/>
    <xf numFmtId="2" fontId="2" fillId="0" borderId="92" xfId="0" applyNumberFormat="1" applyFont="1" applyFill="1" applyBorder="1"/>
    <xf numFmtId="0" fontId="0" fillId="0" borderId="0" xfId="0"/>
    <xf numFmtId="0" fontId="0" fillId="0" borderId="0" xfId="0"/>
    <xf numFmtId="0" fontId="41" fillId="8" borderId="1" xfId="0" applyFont="1" applyFill="1" applyBorder="1"/>
    <xf numFmtId="0" fontId="41" fillId="8" borderId="114" xfId="0" applyFont="1" applyFill="1" applyBorder="1" applyAlignment="1">
      <alignment horizontal="centerContinuous" wrapText="1"/>
    </xf>
    <xf numFmtId="0" fontId="41" fillId="8" borderId="114" xfId="0" applyFont="1" applyFill="1" applyBorder="1" applyAlignment="1">
      <alignment horizontal="centerContinuous"/>
    </xf>
    <xf numFmtId="0" fontId="41" fillId="8" borderId="115" xfId="0" applyFont="1" applyFill="1" applyBorder="1" applyAlignment="1">
      <alignment horizontal="centerContinuous"/>
    </xf>
    <xf numFmtId="14" fontId="42" fillId="8" borderId="116" xfId="0" applyNumberFormat="1" applyFont="1" applyFill="1" applyBorder="1"/>
    <xf numFmtId="0" fontId="41" fillId="8" borderId="0" xfId="0" applyFont="1" applyFill="1" applyBorder="1" applyAlignment="1">
      <alignment horizontal="centerContinuous" vertical="center" wrapText="1"/>
    </xf>
    <xf numFmtId="0" fontId="41" fillId="8" borderId="0" xfId="0" applyFont="1" applyFill="1" applyBorder="1" applyAlignment="1">
      <alignment horizontal="centerContinuous" vertical="center"/>
    </xf>
    <xf numFmtId="0" fontId="41" fillId="8" borderId="117" xfId="0" applyFont="1" applyFill="1" applyBorder="1" applyAlignment="1">
      <alignment horizontal="centerContinuous" vertical="center"/>
    </xf>
    <xf numFmtId="14" fontId="41" fillId="8" borderId="118" xfId="0" applyNumberFormat="1" applyFont="1" applyFill="1" applyBorder="1" applyAlignment="1">
      <alignment horizontal="centerContinuous" vertical="center" wrapText="1"/>
    </xf>
    <xf numFmtId="0" fontId="41" fillId="8" borderId="119" xfId="0" applyFont="1" applyFill="1" applyBorder="1" applyAlignment="1">
      <alignment horizontal="centerContinuous" vertical="center"/>
    </xf>
    <xf numFmtId="0" fontId="41" fillId="8" borderId="119" xfId="0" applyFont="1" applyFill="1" applyBorder="1" applyAlignment="1">
      <alignment horizontal="centerContinuous" vertical="center" wrapText="1"/>
    </xf>
    <xf numFmtId="0" fontId="41" fillId="8" borderId="120" xfId="0" applyFont="1" applyFill="1" applyBorder="1" applyAlignment="1">
      <alignment horizontal="centerContinuous" vertical="center"/>
    </xf>
    <xf numFmtId="0" fontId="41" fillId="8" borderId="2" xfId="0" applyFont="1" applyFill="1" applyBorder="1" applyAlignment="1">
      <alignment horizontal="center" vertical="center" wrapText="1"/>
    </xf>
    <xf numFmtId="15" fontId="41" fillId="8" borderId="2" xfId="0" applyNumberFormat="1" applyFont="1" applyFill="1" applyBorder="1" applyAlignment="1">
      <alignment horizontal="center" vertical="center" wrapText="1"/>
    </xf>
    <xf numFmtId="0" fontId="41" fillId="0" borderId="2" xfId="0" applyFont="1" applyBorder="1" applyAlignment="1">
      <alignment horizontal="center" vertical="center" wrapText="1"/>
    </xf>
    <xf numFmtId="0" fontId="41" fillId="0" borderId="2" xfId="0" applyFont="1" applyBorder="1" applyAlignment="1">
      <alignment horizontal="left" vertical="top" wrapText="1"/>
    </xf>
    <xf numFmtId="0" fontId="41" fillId="0" borderId="2" xfId="0" applyFont="1" applyBorder="1" applyAlignment="1" applyProtection="1">
      <alignment vertical="top" wrapText="1"/>
      <protection locked="0"/>
    </xf>
    <xf numFmtId="169" fontId="41" fillId="0" borderId="2" xfId="0" applyNumberFormat="1" applyFont="1" applyBorder="1" applyAlignment="1" applyProtection="1">
      <alignment horizontal="center" vertical="top" wrapText="1"/>
      <protection locked="0"/>
    </xf>
    <xf numFmtId="169" fontId="41" fillId="0" borderId="2" xfId="0" applyNumberFormat="1" applyFont="1" applyBorder="1" applyAlignment="1" applyProtection="1">
      <alignment horizontal="center" vertical="top"/>
      <protection locked="0"/>
    </xf>
    <xf numFmtId="0" fontId="41" fillId="0" borderId="2" xfId="0" applyFont="1" applyBorder="1" applyAlignment="1">
      <alignment vertical="top" wrapText="1"/>
    </xf>
    <xf numFmtId="0" fontId="41" fillId="0" borderId="2" xfId="0" applyNumberFormat="1" applyFont="1" applyBorder="1" applyAlignment="1" applyProtection="1">
      <alignment vertical="top" wrapText="1"/>
      <protection locked="0"/>
    </xf>
    <xf numFmtId="14" fontId="41" fillId="0" borderId="2" xfId="0" applyNumberFormat="1" applyFont="1" applyFill="1" applyBorder="1" applyAlignment="1">
      <alignment horizontal="center" vertical="top" wrapText="1"/>
    </xf>
    <xf numFmtId="0" fontId="41" fillId="0" borderId="2" xfId="0" applyNumberFormat="1" applyFont="1" applyBorder="1" applyAlignment="1">
      <alignment horizontal="left" vertical="top" wrapText="1"/>
    </xf>
    <xf numFmtId="9" fontId="41" fillId="8" borderId="114" xfId="0" applyNumberFormat="1" applyFont="1" applyFill="1" applyBorder="1" applyAlignment="1">
      <alignment horizontal="centerContinuous"/>
    </xf>
    <xf numFmtId="9" fontId="41" fillId="8" borderId="0" xfId="0" applyNumberFormat="1" applyFont="1" applyFill="1" applyBorder="1" applyAlignment="1">
      <alignment horizontal="centerContinuous" vertical="center"/>
    </xf>
    <xf numFmtId="9" fontId="41" fillId="8" borderId="119" xfId="0" applyNumberFormat="1" applyFont="1" applyFill="1" applyBorder="1" applyAlignment="1">
      <alignment horizontal="centerContinuous" vertical="center"/>
    </xf>
    <xf numFmtId="1" fontId="0" fillId="0" borderId="0" xfId="0" applyNumberFormat="1"/>
    <xf numFmtId="9" fontId="17" fillId="0" borderId="0" xfId="0" applyNumberFormat="1" applyFont="1" applyAlignment="1">
      <alignment horizontal="center" wrapText="1"/>
    </xf>
    <xf numFmtId="0" fontId="17" fillId="0" borderId="0" xfId="0" applyFont="1" applyAlignment="1">
      <alignment horizontal="center" wrapText="1"/>
    </xf>
    <xf numFmtId="0" fontId="12" fillId="8" borderId="2" xfId="0" applyFont="1" applyFill="1" applyBorder="1" applyAlignment="1">
      <alignment horizontal="center" vertical="center" wrapText="1"/>
    </xf>
    <xf numFmtId="0" fontId="45" fillId="8" borderId="2" xfId="0" applyFont="1" applyFill="1" applyBorder="1" applyAlignment="1">
      <alignment horizontal="center" vertical="center" wrapText="1"/>
    </xf>
    <xf numFmtId="15" fontId="45" fillId="8" borderId="2" xfId="0" applyNumberFormat="1" applyFont="1" applyFill="1" applyBorder="1" applyAlignment="1">
      <alignment horizontal="center" vertical="center" wrapText="1"/>
    </xf>
    <xf numFmtId="0" fontId="1" fillId="0" borderId="2" xfId="0" applyFont="1" applyFill="1" applyBorder="1" applyAlignment="1">
      <alignment horizontal="center" vertical="top" wrapText="1"/>
    </xf>
    <xf numFmtId="0" fontId="1" fillId="0" borderId="2" xfId="0" applyFont="1" applyFill="1" applyBorder="1" applyAlignment="1">
      <alignment vertical="top" wrapText="1"/>
    </xf>
    <xf numFmtId="170" fontId="1" fillId="0" borderId="2" xfId="0" applyNumberFormat="1" applyFont="1" applyFill="1" applyBorder="1" applyAlignment="1">
      <alignment horizontal="center" vertical="top"/>
    </xf>
    <xf numFmtId="170" fontId="1" fillId="0" borderId="2" xfId="0" applyNumberFormat="1" applyFont="1" applyFill="1" applyBorder="1" applyAlignment="1">
      <alignment horizontal="center" vertical="top" wrapText="1"/>
    </xf>
    <xf numFmtId="171" fontId="1" fillId="0" borderId="2" xfId="0" applyNumberFormat="1" applyFont="1" applyFill="1" applyBorder="1" applyAlignment="1">
      <alignment horizontal="center" vertical="top"/>
    </xf>
    <xf numFmtId="171" fontId="1" fillId="0" borderId="2" xfId="0" quotePrefix="1" applyNumberFormat="1" applyFont="1" applyBorder="1" applyAlignment="1">
      <alignment horizontal="center" vertical="top"/>
    </xf>
    <xf numFmtId="171" fontId="1" fillId="0" borderId="2" xfId="0" applyNumberFormat="1" applyFont="1" applyBorder="1" applyAlignment="1">
      <alignment horizontal="center" vertical="top" wrapText="1"/>
    </xf>
    <xf numFmtId="0" fontId="1" fillId="0" borderId="2" xfId="0" applyFont="1" applyBorder="1" applyAlignment="1">
      <alignment horizontal="center" vertical="top" wrapText="1"/>
    </xf>
    <xf numFmtId="0" fontId="1" fillId="0" borderId="2" xfId="0" applyFont="1" applyBorder="1" applyAlignment="1">
      <alignment horizontal="left" vertical="top" wrapText="1"/>
    </xf>
    <xf numFmtId="170" fontId="1" fillId="0" borderId="2" xfId="0" applyNumberFormat="1" applyFont="1" applyBorder="1" applyAlignment="1">
      <alignment horizontal="center" vertical="top"/>
    </xf>
    <xf numFmtId="0" fontId="0" fillId="8" borderId="1" xfId="0" applyFill="1" applyBorder="1"/>
    <xf numFmtId="0" fontId="44" fillId="8" borderId="114" xfId="0" applyFont="1" applyFill="1" applyBorder="1" applyAlignment="1">
      <alignment horizontal="centerContinuous" wrapText="1"/>
    </xf>
    <xf numFmtId="0" fontId="13" fillId="8" borderId="114" xfId="0" applyFont="1" applyFill="1" applyBorder="1" applyAlignment="1">
      <alignment horizontal="centerContinuous"/>
    </xf>
    <xf numFmtId="0" fontId="13" fillId="8" borderId="114" xfId="0" applyFont="1" applyFill="1" applyBorder="1" applyAlignment="1">
      <alignment horizontal="center" vertical="top"/>
    </xf>
    <xf numFmtId="0" fontId="13" fillId="8" borderId="114" xfId="0" applyFont="1" applyFill="1" applyBorder="1" applyAlignment="1">
      <alignment horizontal="center" vertical="top" wrapText="1"/>
    </xf>
    <xf numFmtId="14" fontId="46" fillId="8" borderId="116" xfId="0" applyNumberFormat="1" applyFont="1" applyFill="1" applyBorder="1"/>
    <xf numFmtId="0" fontId="12" fillId="8" borderId="0" xfId="0" applyFont="1" applyFill="1" applyBorder="1" applyAlignment="1">
      <alignment horizontal="centerContinuous" vertical="center" wrapText="1"/>
    </xf>
    <xf numFmtId="0" fontId="0" fillId="8" borderId="0" xfId="0" applyFill="1" applyBorder="1" applyAlignment="1">
      <alignment horizontal="centerContinuous" vertical="center"/>
    </xf>
    <xf numFmtId="0" fontId="0" fillId="8" borderId="0" xfId="0" applyFill="1" applyBorder="1" applyAlignment="1">
      <alignment horizontal="center" vertical="top"/>
    </xf>
    <xf numFmtId="0" fontId="0" fillId="8" borderId="0" xfId="0" applyFill="1" applyBorder="1" applyAlignment="1">
      <alignment horizontal="center" vertical="top" wrapText="1"/>
    </xf>
    <xf numFmtId="14" fontId="12" fillId="8" borderId="118" xfId="0" applyNumberFormat="1" applyFont="1" applyFill="1" applyBorder="1" applyAlignment="1">
      <alignment horizontal="centerContinuous" vertical="center" wrapText="1"/>
    </xf>
    <xf numFmtId="0" fontId="12" fillId="8" borderId="119" xfId="0" applyFont="1" applyFill="1" applyBorder="1" applyAlignment="1">
      <alignment horizontal="centerContinuous" vertical="center" wrapText="1"/>
    </xf>
    <xf numFmtId="0" fontId="0" fillId="8" borderId="119" xfId="0" applyFill="1" applyBorder="1" applyAlignment="1">
      <alignment horizontal="centerContinuous" vertical="center"/>
    </xf>
    <xf numFmtId="0" fontId="0" fillId="8" borderId="119" xfId="0" applyFill="1" applyBorder="1" applyAlignment="1">
      <alignment horizontal="center" vertical="top"/>
    </xf>
    <xf numFmtId="0" fontId="0" fillId="8" borderId="119" xfId="0" applyFill="1" applyBorder="1" applyAlignment="1">
      <alignment horizontal="center" vertical="top" wrapText="1"/>
    </xf>
    <xf numFmtId="0" fontId="15" fillId="8" borderId="2" xfId="0" applyFont="1" applyFill="1" applyBorder="1" applyAlignment="1">
      <alignment horizontal="center" vertical="center" wrapText="1"/>
    </xf>
    <xf numFmtId="0" fontId="15" fillId="8" borderId="121" xfId="0" applyFont="1" applyFill="1" applyBorder="1" applyAlignment="1">
      <alignment horizontal="center" vertical="center" wrapText="1"/>
    </xf>
    <xf numFmtId="0" fontId="15" fillId="8" borderId="2" xfId="0" applyFont="1" applyFill="1" applyBorder="1" applyAlignment="1">
      <alignment horizontal="center" vertical="top" wrapText="1"/>
    </xf>
    <xf numFmtId="15" fontId="15" fillId="8" borderId="2" xfId="0" applyNumberFormat="1" applyFont="1" applyFill="1" applyBorder="1" applyAlignment="1">
      <alignment horizontal="center" vertical="top" wrapText="1"/>
    </xf>
    <xf numFmtId="0" fontId="15" fillId="0" borderId="0" xfId="0" applyFont="1" applyFill="1" applyBorder="1" applyAlignment="1">
      <alignment horizontal="center" wrapText="1"/>
    </xf>
    <xf numFmtId="0" fontId="15" fillId="0" borderId="120" xfId="0" applyFont="1" applyFill="1" applyBorder="1" applyAlignment="1">
      <alignment horizontal="center" vertical="center" wrapText="1"/>
    </xf>
    <xf numFmtId="0" fontId="15" fillId="0" borderId="122" xfId="0" applyFont="1" applyFill="1" applyBorder="1" applyAlignment="1">
      <alignment horizontal="center" vertical="center" wrapText="1"/>
    </xf>
    <xf numFmtId="15" fontId="15" fillId="0" borderId="122" xfId="0" applyNumberFormat="1" applyFont="1" applyFill="1" applyBorder="1" applyAlignment="1">
      <alignment horizontal="center" vertical="center" wrapText="1"/>
    </xf>
    <xf numFmtId="0" fontId="47" fillId="0" borderId="2" xfId="0" applyFont="1" applyBorder="1" applyAlignment="1">
      <alignment horizontal="center" vertical="center"/>
    </xf>
    <xf numFmtId="14" fontId="2" fillId="0" borderId="2" xfId="0" applyNumberFormat="1" applyFont="1" applyBorder="1" applyAlignment="1">
      <alignment horizontal="center" vertical="top"/>
    </xf>
    <xf numFmtId="0" fontId="2" fillId="0" borderId="2" xfId="0" applyFont="1" applyBorder="1" applyAlignment="1">
      <alignment vertical="top" wrapText="1"/>
    </xf>
    <xf numFmtId="0" fontId="18" fillId="0" borderId="2" xfId="0" applyFont="1" applyBorder="1" applyAlignment="1">
      <alignment horizontal="center" vertical="center"/>
    </xf>
    <xf numFmtId="0" fontId="2" fillId="0" borderId="4" xfId="0" applyFont="1" applyBorder="1" applyAlignment="1">
      <alignment horizontal="center" vertical="center"/>
    </xf>
    <xf numFmtId="0" fontId="0" fillId="0" borderId="3" xfId="0" applyBorder="1" applyAlignment="1"/>
    <xf numFmtId="0" fontId="0" fillId="0" borderId="122" xfId="0" applyBorder="1" applyAlignment="1"/>
    <xf numFmtId="0" fontId="2" fillId="11" borderId="3" xfId="0" applyFont="1" applyFill="1" applyBorder="1" applyAlignment="1">
      <alignment vertical="top" wrapText="1"/>
    </xf>
    <xf numFmtId="169" fontId="2" fillId="11" borderId="3" xfId="0" applyNumberFormat="1" applyFont="1" applyFill="1" applyBorder="1" applyAlignment="1">
      <alignment horizontal="center" vertical="top"/>
    </xf>
    <xf numFmtId="169" fontId="2" fillId="11" borderId="3" xfId="0" applyNumberFormat="1" applyFont="1" applyFill="1" applyBorder="1" applyAlignment="1">
      <alignment horizontal="center" vertical="top" wrapText="1"/>
    </xf>
    <xf numFmtId="0" fontId="2" fillId="11" borderId="4" xfId="0" applyFont="1" applyFill="1" applyBorder="1" applyAlignment="1">
      <alignment vertical="top" wrapText="1"/>
    </xf>
    <xf numFmtId="169" fontId="2" fillId="11" borderId="4" xfId="0" applyNumberFormat="1" applyFont="1" applyFill="1" applyBorder="1" applyAlignment="1">
      <alignment horizontal="center" vertical="top"/>
    </xf>
    <xf numFmtId="0" fontId="2" fillId="11" borderId="0" xfId="0" applyFont="1" applyFill="1" applyBorder="1" applyAlignment="1">
      <alignment vertical="top" wrapText="1"/>
    </xf>
    <xf numFmtId="169" fontId="2" fillId="11" borderId="0" xfId="0" applyNumberFormat="1" applyFont="1" applyFill="1" applyBorder="1" applyAlignment="1">
      <alignment horizontal="center" vertical="top"/>
    </xf>
    <xf numFmtId="0" fontId="2" fillId="11" borderId="122" xfId="0" applyFont="1" applyFill="1" applyBorder="1" applyAlignment="1">
      <alignment vertical="top" wrapText="1"/>
    </xf>
    <xf numFmtId="169" fontId="2" fillId="11" borderId="122" xfId="0" applyNumberFormat="1" applyFont="1" applyFill="1" applyBorder="1" applyAlignment="1">
      <alignment horizontal="center" vertical="top"/>
    </xf>
    <xf numFmtId="169" fontId="2" fillId="11" borderId="122" xfId="0" applyNumberFormat="1" applyFont="1" applyFill="1" applyBorder="1" applyAlignment="1">
      <alignment horizontal="center" vertical="top" wrapText="1"/>
    </xf>
    <xf numFmtId="0" fontId="2" fillId="11" borderId="2" xfId="0" applyFont="1" applyFill="1" applyBorder="1" applyAlignment="1">
      <alignment vertical="top" wrapText="1"/>
    </xf>
    <xf numFmtId="169" fontId="2" fillId="11" borderId="2" xfId="0" applyNumberFormat="1" applyFont="1" applyFill="1" applyBorder="1" applyAlignment="1">
      <alignment horizontal="center" vertical="top" wrapText="1"/>
    </xf>
    <xf numFmtId="169" fontId="2" fillId="11" borderId="2" xfId="0" applyNumberFormat="1" applyFont="1" applyFill="1" applyBorder="1" applyAlignment="1">
      <alignment horizontal="center" vertical="top"/>
    </xf>
    <xf numFmtId="0" fontId="18" fillId="11" borderId="2" xfId="0" applyFont="1" applyFill="1" applyBorder="1" applyAlignment="1">
      <alignment horizontal="center" vertical="center"/>
    </xf>
    <xf numFmtId="0" fontId="0" fillId="11" borderId="3" xfId="0" applyFill="1" applyBorder="1" applyAlignment="1"/>
    <xf numFmtId="0" fontId="0" fillId="11" borderId="122" xfId="0" applyFill="1" applyBorder="1" applyAlignment="1"/>
    <xf numFmtId="0" fontId="17" fillId="11" borderId="4" xfId="0" applyFont="1" applyFill="1" applyBorder="1" applyAlignment="1">
      <alignment vertical="top"/>
    </xf>
    <xf numFmtId="9" fontId="13" fillId="8" borderId="114" xfId="0" applyNumberFormat="1" applyFont="1" applyFill="1" applyBorder="1" applyAlignment="1">
      <alignment horizontal="center" vertical="top"/>
    </xf>
    <xf numFmtId="9" fontId="0" fillId="8" borderId="0" xfId="0" applyNumberFormat="1" applyFill="1" applyBorder="1" applyAlignment="1">
      <alignment horizontal="center" vertical="top"/>
    </xf>
    <xf numFmtId="9" fontId="0" fillId="8" borderId="119" xfId="0" applyNumberFormat="1" applyFill="1" applyBorder="1" applyAlignment="1">
      <alignment horizontal="center" vertical="top"/>
    </xf>
    <xf numFmtId="0" fontId="13" fillId="8" borderId="114" xfId="0" applyFont="1" applyFill="1" applyBorder="1" applyAlignment="1">
      <alignment horizontal="centerContinuous" wrapText="1"/>
    </xf>
    <xf numFmtId="0" fontId="0" fillId="8" borderId="0" xfId="0" applyFill="1" applyBorder="1" applyAlignment="1">
      <alignment horizontal="centerContinuous" vertical="center" wrapText="1"/>
    </xf>
    <xf numFmtId="0" fontId="0" fillId="8" borderId="119" xfId="0" applyFill="1" applyBorder="1" applyAlignment="1">
      <alignment horizontal="centerContinuous" vertical="center" wrapText="1"/>
    </xf>
    <xf numFmtId="0" fontId="48" fillId="8" borderId="2" xfId="0" applyFont="1" applyFill="1" applyBorder="1" applyAlignment="1">
      <alignment horizontal="center" vertical="center" wrapText="1"/>
    </xf>
    <xf numFmtId="0" fontId="48" fillId="8" borderId="121" xfId="0" applyFont="1" applyFill="1" applyBorder="1" applyAlignment="1">
      <alignment horizontal="center" vertical="center" wrapText="1"/>
    </xf>
    <xf numFmtId="15" fontId="48" fillId="8" borderId="2" xfId="0" applyNumberFormat="1" applyFont="1" applyFill="1" applyBorder="1" applyAlignment="1">
      <alignment horizontal="center" vertical="center" wrapText="1"/>
    </xf>
    <xf numFmtId="0" fontId="2" fillId="0" borderId="2" xfId="0" applyFont="1" applyFill="1" applyBorder="1" applyAlignment="1">
      <alignment vertical="top" wrapText="1"/>
    </xf>
    <xf numFmtId="14" fontId="2" fillId="0" borderId="2" xfId="0" applyNumberFormat="1" applyFont="1" applyFill="1" applyBorder="1" applyAlignment="1">
      <alignment horizontal="center" vertical="top"/>
    </xf>
    <xf numFmtId="0" fontId="2" fillId="0" borderId="2" xfId="0" quotePrefix="1" applyFont="1" applyBorder="1" applyAlignment="1">
      <alignment vertical="top" wrapText="1"/>
    </xf>
    <xf numFmtId="9" fontId="13" fillId="8" borderId="114" xfId="0" applyNumberFormat="1" applyFont="1" applyFill="1" applyBorder="1" applyAlignment="1">
      <alignment horizontal="centerContinuous"/>
    </xf>
    <xf numFmtId="9" fontId="0" fillId="8" borderId="0" xfId="0" applyNumberFormat="1" applyFill="1" applyBorder="1" applyAlignment="1">
      <alignment horizontal="centerContinuous" vertical="center"/>
    </xf>
    <xf numFmtId="9" fontId="0" fillId="8" borderId="119" xfId="0" applyNumberFormat="1" applyFill="1" applyBorder="1" applyAlignment="1">
      <alignment horizontal="centerContinuous" vertical="center"/>
    </xf>
    <xf numFmtId="0" fontId="0" fillId="8" borderId="123" xfId="0" applyFill="1" applyBorder="1"/>
    <xf numFmtId="0" fontId="49" fillId="8" borderId="124" xfId="0" applyFont="1" applyFill="1" applyBorder="1" applyAlignment="1">
      <alignment horizontal="center"/>
    </xf>
    <xf numFmtId="0" fontId="50" fillId="8" borderId="124" xfId="0" applyFont="1" applyFill="1" applyBorder="1" applyAlignment="1">
      <alignment horizontal="center"/>
    </xf>
    <xf numFmtId="0" fontId="49" fillId="8" borderId="124" xfId="0" applyFont="1" applyFill="1" applyBorder="1" applyAlignment="1">
      <alignment horizontal="centerContinuous"/>
    </xf>
    <xf numFmtId="0" fontId="19" fillId="8" borderId="124" xfId="0" applyFont="1" applyFill="1" applyBorder="1" applyAlignment="1">
      <alignment horizontal="center"/>
    </xf>
    <xf numFmtId="0" fontId="2" fillId="0" borderId="0" xfId="0" applyFont="1" applyFill="1"/>
    <xf numFmtId="0" fontId="9" fillId="8" borderId="48" xfId="0" applyFont="1" applyFill="1" applyBorder="1" applyAlignment="1">
      <alignment horizontal="center" vertical="center"/>
    </xf>
    <xf numFmtId="0" fontId="9" fillId="8" borderId="0" xfId="0" applyFont="1" applyFill="1" applyBorder="1" applyAlignment="1">
      <alignment horizontal="center" vertical="center"/>
    </xf>
    <xf numFmtId="0" fontId="12" fillId="8" borderId="129" xfId="0" applyFont="1" applyFill="1" applyBorder="1" applyAlignment="1">
      <alignment horizontal="center" vertical="center" wrapText="1"/>
    </xf>
    <xf numFmtId="15" fontId="12" fillId="8" borderId="129" xfId="0" applyNumberFormat="1" applyFont="1" applyFill="1" applyBorder="1" applyAlignment="1">
      <alignment horizontal="center" vertical="center" wrapText="1"/>
    </xf>
    <xf numFmtId="170" fontId="12" fillId="8" borderId="129" xfId="0" applyNumberFormat="1" applyFont="1" applyFill="1" applyBorder="1" applyAlignment="1">
      <alignment horizontal="center" vertical="center" wrapText="1"/>
    </xf>
    <xf numFmtId="0" fontId="1" fillId="18" borderId="2" xfId="0" applyFont="1" applyFill="1" applyBorder="1" applyAlignment="1">
      <alignment horizontal="center" vertical="center" wrapText="1"/>
    </xf>
    <xf numFmtId="0" fontId="51" fillId="0" borderId="2" xfId="0" applyFont="1" applyBorder="1" applyAlignment="1">
      <alignment vertical="top" wrapText="1"/>
    </xf>
    <xf numFmtId="0" fontId="26" fillId="0" borderId="2" xfId="0" applyFont="1" applyBorder="1" applyAlignment="1">
      <alignment vertical="top" wrapText="1"/>
    </xf>
    <xf numFmtId="173" fontId="1" fillId="0" borderId="2" xfId="0" applyNumberFormat="1" applyFont="1" applyBorder="1" applyAlignment="1">
      <alignment horizontal="center" vertical="top"/>
    </xf>
    <xf numFmtId="14" fontId="1" fillId="0" borderId="2" xfId="0" applyNumberFormat="1" applyFont="1" applyBorder="1" applyAlignment="1">
      <alignment horizontal="center" vertical="top" wrapText="1"/>
    </xf>
    <xf numFmtId="0" fontId="1" fillId="0" borderId="2" xfId="0" applyFont="1" applyFill="1" applyBorder="1" applyAlignment="1">
      <alignment horizontal="center" vertical="center" wrapText="1"/>
    </xf>
    <xf numFmtId="0" fontId="4" fillId="0" borderId="2" xfId="0" applyFont="1" applyBorder="1" applyAlignment="1">
      <alignment vertical="top" wrapText="1"/>
    </xf>
    <xf numFmtId="0" fontId="54" fillId="0" borderId="2" xfId="0" applyFont="1" applyBorder="1" applyAlignment="1">
      <alignment vertical="top" wrapText="1"/>
    </xf>
    <xf numFmtId="172" fontId="1" fillId="0" borderId="2" xfId="0" applyNumberFormat="1" applyFont="1" applyBorder="1" applyAlignment="1">
      <alignment horizontal="center" vertical="top"/>
    </xf>
    <xf numFmtId="172" fontId="1" fillId="0" borderId="2" xfId="0" applyNumberFormat="1" applyFont="1" applyBorder="1" applyAlignment="1">
      <alignment horizontal="center" vertical="top" wrapText="1"/>
    </xf>
    <xf numFmtId="173" fontId="1" fillId="0" borderId="2" xfId="0" quotePrefix="1" applyNumberFormat="1" applyFont="1" applyBorder="1" applyAlignment="1">
      <alignment horizontal="center" vertical="top"/>
    </xf>
    <xf numFmtId="172" fontId="1" fillId="0" borderId="2" xfId="0" quotePrefix="1" applyNumberFormat="1" applyFont="1" applyBorder="1" applyAlignment="1">
      <alignment horizontal="center" vertical="top"/>
    </xf>
    <xf numFmtId="0" fontId="1" fillId="18" borderId="2" xfId="0" applyNumberFormat="1" applyFont="1" applyFill="1" applyBorder="1" applyAlignment="1">
      <alignment horizontal="center" vertical="center" wrapText="1"/>
    </xf>
    <xf numFmtId="0" fontId="30" fillId="0" borderId="0" xfId="0" applyFont="1" applyBorder="1" applyAlignment="1"/>
    <xf numFmtId="0" fontId="0" fillId="0" borderId="0" xfId="0" applyBorder="1" applyAlignment="1"/>
    <xf numFmtId="0" fontId="30" fillId="0" borderId="0" xfId="0" applyFont="1"/>
    <xf numFmtId="0" fontId="2" fillId="0" borderId="0" xfId="0" applyFont="1" applyAlignment="1">
      <alignment wrapText="1"/>
    </xf>
    <xf numFmtId="15" fontId="2" fillId="0" borderId="0" xfId="0" applyNumberFormat="1" applyFont="1"/>
    <xf numFmtId="9" fontId="49" fillId="8" borderId="124" xfId="0" applyNumberFormat="1" applyFont="1" applyFill="1" applyBorder="1" applyAlignment="1">
      <alignment horizontal="center"/>
    </xf>
    <xf numFmtId="9" fontId="9" fillId="8" borderId="0" xfId="0" applyNumberFormat="1" applyFont="1" applyFill="1" applyBorder="1" applyAlignment="1">
      <alignment horizontal="center"/>
    </xf>
    <xf numFmtId="168" fontId="1" fillId="0" borderId="0" xfId="0" applyNumberFormat="1" applyFont="1" applyFill="1"/>
    <xf numFmtId="0" fontId="1" fillId="0" borderId="0" xfId="0" applyFont="1" applyFill="1"/>
    <xf numFmtId="168" fontId="1" fillId="0" borderId="0" xfId="0" applyNumberFormat="1" applyFont="1"/>
    <xf numFmtId="0" fontId="12" fillId="8" borderId="121" xfId="0" applyFont="1" applyFill="1" applyBorder="1" applyAlignment="1">
      <alignment horizontal="center" vertical="center" wrapText="1"/>
    </xf>
    <xf numFmtId="15" fontId="12" fillId="8" borderId="2" xfId="0" applyNumberFormat="1" applyFont="1" applyFill="1" applyBorder="1" applyAlignment="1">
      <alignment horizontal="center" vertical="center" wrapText="1"/>
    </xf>
    <xf numFmtId="170" fontId="12" fillId="8" borderId="2" xfId="0" applyNumberFormat="1" applyFont="1" applyFill="1" applyBorder="1" applyAlignment="1">
      <alignment horizontal="center" vertical="center" wrapText="1"/>
    </xf>
    <xf numFmtId="0" fontId="9" fillId="19" borderId="130" xfId="0" applyFont="1" applyFill="1" applyBorder="1" applyAlignment="1">
      <alignment horizontal="left" vertical="center"/>
    </xf>
    <xf numFmtId="0" fontId="0" fillId="19" borderId="131" xfId="0" applyFill="1" applyBorder="1" applyAlignment="1">
      <alignment horizontal="left"/>
    </xf>
    <xf numFmtId="170" fontId="0" fillId="19" borderId="131" xfId="0" applyNumberFormat="1" applyFill="1" applyBorder="1" applyAlignment="1">
      <alignment horizontal="left"/>
    </xf>
    <xf numFmtId="0" fontId="13" fillId="20" borderId="2" xfId="0" applyFont="1" applyFill="1" applyBorder="1" applyAlignment="1">
      <alignment horizontal="center" vertical="center"/>
    </xf>
    <xf numFmtId="0" fontId="4" fillId="0" borderId="2" xfId="0" applyFont="1" applyFill="1" applyBorder="1" applyAlignment="1">
      <alignment horizontal="left" vertical="top" wrapText="1"/>
    </xf>
    <xf numFmtId="171" fontId="1" fillId="0" borderId="2" xfId="0" applyNumberFormat="1" applyFont="1" applyBorder="1" applyAlignment="1">
      <alignment horizontal="center" vertical="top"/>
    </xf>
    <xf numFmtId="0" fontId="13" fillId="0" borderId="2" xfId="0" applyFont="1" applyFill="1" applyBorder="1" applyAlignment="1">
      <alignment horizontal="center" vertical="center"/>
    </xf>
    <xf numFmtId="0" fontId="4" fillId="0" borderId="122" xfId="0" applyFont="1" applyBorder="1" applyAlignment="1">
      <alignment horizontal="left" vertical="top" wrapText="1"/>
    </xf>
    <xf numFmtId="170" fontId="1" fillId="0" borderId="2" xfId="0" applyNumberFormat="1" applyFont="1" applyBorder="1" applyAlignment="1">
      <alignment horizontal="center" vertical="top" wrapText="1"/>
    </xf>
    <xf numFmtId="0" fontId="54" fillId="0" borderId="2" xfId="0" applyFont="1" applyFill="1" applyBorder="1" applyAlignment="1">
      <alignment vertical="top" wrapText="1"/>
    </xf>
    <xf numFmtId="0" fontId="4" fillId="0" borderId="122" xfId="0" applyFont="1" applyFill="1" applyBorder="1" applyAlignment="1">
      <alignment horizontal="left" vertical="top" wrapText="1"/>
    </xf>
    <xf numFmtId="0" fontId="13" fillId="0" borderId="130" xfId="0" applyFont="1" applyFill="1" applyBorder="1" applyAlignment="1">
      <alignment horizontal="center" vertical="center"/>
    </xf>
    <xf numFmtId="49" fontId="9" fillId="19" borderId="130" xfId="0" quotePrefix="1" applyNumberFormat="1" applyFont="1" applyFill="1" applyBorder="1" applyAlignment="1">
      <alignment horizontal="left" vertical="center"/>
    </xf>
    <xf numFmtId="0" fontId="13" fillId="18" borderId="2" xfId="0" applyFont="1" applyFill="1" applyBorder="1" applyAlignment="1">
      <alignment horizontal="center" vertical="center"/>
    </xf>
    <xf numFmtId="0" fontId="1" fillId="0" borderId="2" xfId="0" applyFont="1" applyBorder="1" applyAlignment="1">
      <alignment vertical="top" wrapText="1"/>
    </xf>
    <xf numFmtId="15" fontId="15" fillId="8" borderId="2" xfId="0" applyNumberFormat="1" applyFont="1" applyFill="1" applyBorder="1" applyAlignment="1">
      <alignment horizontal="center" vertical="center" wrapText="1"/>
    </xf>
    <xf numFmtId="0" fontId="2" fillId="0" borderId="2" xfId="0" applyFont="1" applyBorder="1" applyAlignment="1">
      <alignment horizontal="center" vertical="top" wrapText="1"/>
    </xf>
    <xf numFmtId="14" fontId="2" fillId="0" borderId="2" xfId="0" applyNumberFormat="1" applyFont="1" applyBorder="1" applyAlignment="1">
      <alignment horizontal="center" vertical="top" wrapText="1"/>
    </xf>
    <xf numFmtId="0" fontId="2" fillId="0" borderId="2" xfId="0" quotePrefix="1" applyFont="1" applyBorder="1" applyAlignment="1">
      <alignment horizontal="left" vertical="top" wrapText="1"/>
    </xf>
    <xf numFmtId="0" fontId="58" fillId="0" borderId="2" xfId="0" applyFont="1" applyBorder="1" applyAlignment="1">
      <alignment horizontal="left" vertical="top" wrapText="1"/>
    </xf>
    <xf numFmtId="0" fontId="2" fillId="0" borderId="2" xfId="0" quotePrefix="1" applyFont="1" applyFill="1" applyBorder="1" applyAlignment="1">
      <alignment horizontal="left" vertical="top" wrapText="1"/>
    </xf>
    <xf numFmtId="0" fontId="2" fillId="0" borderId="2" xfId="0" applyFont="1" applyFill="1" applyBorder="1" applyAlignment="1">
      <alignment horizontal="left" vertical="top" wrapText="1"/>
    </xf>
    <xf numFmtId="0" fontId="2" fillId="0" borderId="2" xfId="0" quotePrefix="1" applyNumberFormat="1" applyFont="1" applyBorder="1" applyAlignment="1">
      <alignment horizontal="left" vertical="top" wrapText="1"/>
    </xf>
    <xf numFmtId="0" fontId="2" fillId="0" borderId="2" xfId="0" applyFont="1" applyBorder="1" applyAlignment="1">
      <alignment horizontal="left" vertical="top" wrapText="1"/>
    </xf>
    <xf numFmtId="0" fontId="2" fillId="0" borderId="2" xfId="0" quotePrefix="1" applyFont="1" applyBorder="1" applyAlignment="1">
      <alignment horizontal="center" vertical="top" wrapText="1"/>
    </xf>
    <xf numFmtId="169" fontId="2" fillId="0" borderId="2" xfId="0" applyNumberFormat="1" applyFont="1" applyBorder="1" applyAlignment="1">
      <alignment horizontal="center" vertical="top"/>
    </xf>
    <xf numFmtId="0" fontId="0" fillId="0" borderId="0" xfId="0"/>
    <xf numFmtId="0" fontId="0" fillId="0" borderId="0" xfId="0"/>
    <xf numFmtId="0" fontId="0" fillId="0" borderId="0" xfId="0"/>
    <xf numFmtId="0" fontId="1" fillId="15" borderId="0" xfId="0" applyFont="1" applyFill="1" applyProtection="1">
      <protection locked="0"/>
    </xf>
    <xf numFmtId="0" fontId="4" fillId="0" borderId="0" xfId="0" applyFont="1" applyAlignment="1">
      <alignment horizontal="center" wrapText="1"/>
    </xf>
    <xf numFmtId="0" fontId="0" fillId="6" borderId="17" xfId="0" applyFill="1" applyBorder="1"/>
    <xf numFmtId="0" fontId="0" fillId="6" borderId="20" xfId="0" applyFill="1" applyBorder="1"/>
    <xf numFmtId="0" fontId="0" fillId="6" borderId="79" xfId="0" applyFill="1" applyBorder="1" applyAlignment="1" applyProtection="1">
      <alignment horizontal="center" wrapText="1"/>
      <protection locked="0"/>
    </xf>
    <xf numFmtId="0" fontId="0" fillId="6" borderId="80" xfId="0" applyFill="1" applyBorder="1" applyAlignment="1" applyProtection="1">
      <alignment horizontal="center" wrapText="1"/>
      <protection locked="0"/>
    </xf>
    <xf numFmtId="0" fontId="0" fillId="6" borderId="81" xfId="0" applyFill="1" applyBorder="1" applyAlignment="1" applyProtection="1">
      <alignment horizontal="center"/>
      <protection locked="0"/>
    </xf>
    <xf numFmtId="0" fontId="0" fillId="6" borderId="82" xfId="0" applyFill="1" applyBorder="1" applyAlignment="1" applyProtection="1">
      <alignment horizontal="center"/>
      <protection locked="0"/>
    </xf>
    <xf numFmtId="0" fontId="0" fillId="6" borderId="83" xfId="0" applyFill="1" applyBorder="1" applyAlignment="1" applyProtection="1">
      <alignment horizontal="center"/>
      <protection locked="0"/>
    </xf>
    <xf numFmtId="0" fontId="0" fillId="6" borderId="63" xfId="0" applyFill="1" applyBorder="1" applyAlignment="1" applyProtection="1">
      <alignment horizontal="center"/>
      <protection locked="0"/>
    </xf>
    <xf numFmtId="0" fontId="24" fillId="0" borderId="0" xfId="0" applyFont="1" applyAlignment="1">
      <alignment wrapText="1"/>
    </xf>
    <xf numFmtId="0" fontId="0" fillId="0" borderId="0" xfId="0" applyFill="1" applyBorder="1" applyProtection="1">
      <protection locked="0"/>
    </xf>
    <xf numFmtId="0" fontId="0" fillId="0" borderId="0" xfId="0" applyFill="1" applyBorder="1"/>
    <xf numFmtId="0" fontId="0" fillId="6" borderId="16" xfId="0" applyFill="1" applyBorder="1" applyAlignment="1">
      <alignment horizontal="center"/>
    </xf>
    <xf numFmtId="0" fontId="0" fillId="6" borderId="22" xfId="0" applyFill="1" applyBorder="1" applyAlignment="1">
      <alignment horizontal="center"/>
    </xf>
    <xf numFmtId="0" fontId="0" fillId="0" borderId="0" xfId="0" applyFill="1" applyBorder="1" applyAlignment="1">
      <alignment horizontal="center"/>
    </xf>
    <xf numFmtId="0" fontId="0" fillId="6" borderId="79" xfId="0" applyFill="1" applyBorder="1"/>
    <xf numFmtId="0" fontId="0" fillId="6" borderId="132" xfId="0" applyFill="1" applyBorder="1" applyAlignment="1">
      <alignment horizontal="center"/>
    </xf>
    <xf numFmtId="0" fontId="0" fillId="6" borderId="20" xfId="0" applyFill="1" applyBorder="1" applyAlignment="1">
      <alignment horizontal="center"/>
    </xf>
    <xf numFmtId="0" fontId="24" fillId="0" borderId="0" xfId="0" applyFont="1" applyFill="1"/>
    <xf numFmtId="0" fontId="24" fillId="0" borderId="0" xfId="0" applyFont="1" applyFill="1" applyBorder="1"/>
    <xf numFmtId="0" fontId="27" fillId="0" borderId="138" xfId="3" applyFont="1" applyFill="1" applyBorder="1" applyAlignment="1">
      <alignment horizontal="right" vertical="top" textRotation="180" wrapText="1"/>
    </xf>
    <xf numFmtId="0" fontId="28" fillId="0" borderId="139" xfId="3" applyFont="1" applyFill="1" applyBorder="1" applyAlignment="1">
      <alignment horizontal="right" vertical="top" textRotation="180" wrapText="1"/>
    </xf>
    <xf numFmtId="0" fontId="29" fillId="0" borderId="140" xfId="3" applyFont="1" applyFill="1" applyBorder="1" applyAlignment="1">
      <alignment horizontal="right" vertical="top" textRotation="180" wrapText="1"/>
    </xf>
    <xf numFmtId="0" fontId="24" fillId="0" borderId="141" xfId="3" applyFont="1" applyFill="1" applyBorder="1">
      <alignment wrapText="1"/>
    </xf>
    <xf numFmtId="0" fontId="24" fillId="0" borderId="142" xfId="3" applyFont="1" applyFill="1" applyBorder="1">
      <alignment wrapText="1"/>
    </xf>
    <xf numFmtId="0" fontId="24" fillId="0" borderId="143" xfId="3" applyFont="1" applyFill="1" applyBorder="1">
      <alignment wrapText="1"/>
    </xf>
    <xf numFmtId="0" fontId="1" fillId="0" borderId="17" xfId="3" applyFont="1" applyFill="1" applyBorder="1">
      <alignment wrapText="1"/>
    </xf>
    <xf numFmtId="0" fontId="1" fillId="0" borderId="2" xfId="3" applyFont="1" applyFill="1" applyBorder="1">
      <alignment wrapText="1"/>
    </xf>
    <xf numFmtId="0" fontId="1" fillId="0" borderId="16" xfId="3" applyFont="1" applyFill="1" applyBorder="1">
      <alignment wrapText="1"/>
    </xf>
    <xf numFmtId="0" fontId="1" fillId="0" borderId="20" xfId="3" applyFont="1" applyFill="1" applyBorder="1">
      <alignment wrapText="1"/>
    </xf>
    <xf numFmtId="0" fontId="1" fillId="0" borderId="21" xfId="3" applyFont="1" applyFill="1" applyBorder="1">
      <alignment wrapText="1"/>
    </xf>
    <xf numFmtId="0" fontId="1" fillId="0" borderId="22" xfId="3" applyFont="1" applyFill="1" applyBorder="1">
      <alignment wrapText="1"/>
    </xf>
    <xf numFmtId="0" fontId="1" fillId="0" borderId="38" xfId="3" applyFont="1" applyFill="1" applyBorder="1">
      <alignment wrapText="1"/>
    </xf>
    <xf numFmtId="0" fontId="1" fillId="0" borderId="39" xfId="3" applyFont="1" applyFill="1" applyBorder="1">
      <alignment wrapText="1"/>
    </xf>
    <xf numFmtId="0" fontId="1" fillId="0" borderId="40" xfId="3" applyFont="1" applyFill="1" applyBorder="1">
      <alignment wrapText="1"/>
    </xf>
    <xf numFmtId="0" fontId="27" fillId="0" borderId="144" xfId="3" applyFont="1" applyFill="1" applyBorder="1" applyAlignment="1">
      <alignment horizontal="right" vertical="top" textRotation="180" wrapText="1"/>
    </xf>
    <xf numFmtId="0" fontId="28" fillId="0" borderId="145" xfId="3" applyFont="1" applyFill="1" applyBorder="1" applyAlignment="1">
      <alignment horizontal="right" vertical="top" textRotation="180" wrapText="1"/>
    </xf>
    <xf numFmtId="0" fontId="29" fillId="0" borderId="146" xfId="3" applyFont="1" applyFill="1" applyBorder="1" applyAlignment="1">
      <alignment horizontal="right" vertical="top" textRotation="180" wrapText="1"/>
    </xf>
    <xf numFmtId="0" fontId="24" fillId="0" borderId="147" xfId="3" applyFont="1" applyFill="1" applyBorder="1">
      <alignment wrapText="1"/>
    </xf>
    <xf numFmtId="0" fontId="24" fillId="0" borderId="148" xfId="3" applyFont="1" applyFill="1" applyBorder="1">
      <alignment wrapText="1"/>
    </xf>
    <xf numFmtId="0" fontId="27" fillId="0" borderId="149" xfId="3" applyFont="1" applyFill="1" applyBorder="1" applyAlignment="1">
      <alignment horizontal="right" vertical="top" textRotation="180" wrapText="1"/>
    </xf>
    <xf numFmtId="0" fontId="24" fillId="0" borderId="150" xfId="3" applyFont="1" applyFill="1" applyBorder="1">
      <alignment wrapText="1"/>
    </xf>
    <xf numFmtId="0" fontId="24" fillId="0" borderId="151" xfId="3" applyFont="1" applyFill="1" applyBorder="1">
      <alignment wrapText="1"/>
    </xf>
    <xf numFmtId="0" fontId="29" fillId="0" borderId="152" xfId="3" applyFont="1" applyFill="1" applyBorder="1" applyAlignment="1">
      <alignment horizontal="right" vertical="top" textRotation="180" wrapText="1"/>
    </xf>
    <xf numFmtId="0" fontId="24" fillId="0" borderId="153" xfId="3" applyFont="1" applyFill="1" applyBorder="1">
      <alignment wrapText="1"/>
    </xf>
    <xf numFmtId="49" fontId="1" fillId="0" borderId="0" xfId="0" applyNumberFormat="1" applyFont="1"/>
    <xf numFmtId="0" fontId="0" fillId="21" borderId="38" xfId="0" applyFill="1" applyBorder="1" applyProtection="1">
      <protection locked="0"/>
    </xf>
    <xf numFmtId="0" fontId="1" fillId="21" borderId="40" xfId="5" applyFill="1" applyBorder="1" applyAlignment="1">
      <alignment horizontal="center"/>
    </xf>
    <xf numFmtId="0" fontId="0" fillId="21" borderId="17" xfId="0" applyFill="1" applyBorder="1" applyProtection="1">
      <protection locked="0"/>
    </xf>
    <xf numFmtId="0" fontId="1" fillId="21" borderId="16" xfId="5" applyFill="1" applyBorder="1" applyAlignment="1">
      <alignment horizontal="center"/>
    </xf>
    <xf numFmtId="0" fontId="0" fillId="21" borderId="17" xfId="0" applyFont="1" applyFill="1" applyBorder="1" applyProtection="1">
      <protection locked="0"/>
    </xf>
    <xf numFmtId="0" fontId="1" fillId="21" borderId="17" xfId="5" applyFill="1" applyBorder="1"/>
    <xf numFmtId="0" fontId="1" fillId="21" borderId="20" xfId="5" applyFill="1" applyBorder="1"/>
    <xf numFmtId="0" fontId="1" fillId="21" borderId="22" xfId="5" applyFill="1" applyBorder="1" applyAlignment="1">
      <alignment horizontal="center"/>
    </xf>
    <xf numFmtId="0" fontId="1" fillId="0" borderId="0" xfId="0" quotePrefix="1" applyFont="1"/>
    <xf numFmtId="0" fontId="1" fillId="0" borderId="0" xfId="5" applyFill="1" applyBorder="1" applyAlignment="1">
      <alignment horizontal="center"/>
    </xf>
    <xf numFmtId="2" fontId="1" fillId="0" borderId="0" xfId="5" applyNumberFormat="1"/>
    <xf numFmtId="168" fontId="1" fillId="0" borderId="0" xfId="5" applyNumberFormat="1"/>
    <xf numFmtId="9" fontId="1" fillId="0" borderId="0" xfId="5" applyNumberFormat="1"/>
    <xf numFmtId="0" fontId="0" fillId="0" borderId="0" xfId="0"/>
    <xf numFmtId="0" fontId="0" fillId="0" borderId="0" xfId="0"/>
    <xf numFmtId="0" fontId="0" fillId="0" borderId="0" xfId="0"/>
    <xf numFmtId="0" fontId="2" fillId="0" borderId="38" xfId="0" applyFont="1" applyBorder="1" applyAlignment="1">
      <alignment wrapText="1"/>
    </xf>
    <xf numFmtId="2" fontId="2" fillId="0" borderId="39" xfId="0" applyNumberFormat="1" applyFont="1" applyBorder="1" applyAlignment="1">
      <alignment wrapText="1"/>
    </xf>
    <xf numFmtId="0" fontId="2" fillId="0" borderId="39" xfId="0" applyFont="1" applyBorder="1" applyAlignment="1">
      <alignment horizontal="right" wrapText="1"/>
    </xf>
    <xf numFmtId="0" fontId="2" fillId="0" borderId="40" xfId="0" applyFont="1" applyBorder="1" applyAlignment="1">
      <alignment wrapText="1"/>
    </xf>
    <xf numFmtId="0" fontId="2" fillId="0" borderId="17" xfId="0" applyFont="1" applyBorder="1" applyAlignment="1">
      <alignment wrapText="1"/>
    </xf>
    <xf numFmtId="2" fontId="2" fillId="0" borderId="2" xfId="0" applyNumberFormat="1" applyFont="1" applyBorder="1" applyAlignment="1">
      <alignment wrapText="1"/>
    </xf>
    <xf numFmtId="0" fontId="2" fillId="0" borderId="2" xfId="0" applyFont="1" applyBorder="1" applyAlignment="1">
      <alignment horizontal="right" wrapText="1"/>
    </xf>
    <xf numFmtId="0" fontId="2" fillId="0" borderId="16" xfId="0" applyFont="1" applyBorder="1" applyAlignment="1">
      <alignment wrapText="1"/>
    </xf>
    <xf numFmtId="0" fontId="2" fillId="0" borderId="2" xfId="0" applyFont="1" applyBorder="1" applyAlignment="1">
      <alignment wrapText="1"/>
    </xf>
    <xf numFmtId="0" fontId="2" fillId="0" borderId="20" xfId="0" applyFont="1" applyBorder="1" applyAlignment="1">
      <alignment wrapText="1"/>
    </xf>
    <xf numFmtId="0" fontId="2" fillId="0" borderId="21" xfId="0" applyFont="1" applyBorder="1" applyAlignment="1">
      <alignment wrapText="1"/>
    </xf>
    <xf numFmtId="0" fontId="2" fillId="0" borderId="22" xfId="0" applyFont="1" applyBorder="1" applyAlignment="1">
      <alignment wrapText="1"/>
    </xf>
    <xf numFmtId="0" fontId="2" fillId="0" borderId="21" xfId="0" applyFont="1" applyBorder="1" applyAlignment="1">
      <alignment horizontal="right" wrapText="1"/>
    </xf>
    <xf numFmtId="164" fontId="2" fillId="0" borderId="0" xfId="5" applyNumberFormat="1" applyFont="1" applyAlignment="1">
      <alignment horizontal="center"/>
    </xf>
    <xf numFmtId="0" fontId="0" fillId="21" borderId="76" xfId="0" applyFill="1" applyBorder="1" applyProtection="1">
      <protection locked="0"/>
    </xf>
    <xf numFmtId="0" fontId="5" fillId="21" borderId="38" xfId="3" applyFill="1" applyBorder="1" applyProtection="1">
      <alignment wrapText="1"/>
      <protection locked="0"/>
    </xf>
    <xf numFmtId="0" fontId="5" fillId="21" borderId="39" xfId="3" applyFill="1" applyBorder="1" applyProtection="1">
      <alignment wrapText="1"/>
      <protection locked="0"/>
    </xf>
    <xf numFmtId="0" fontId="5" fillId="21" borderId="40" xfId="3" applyFill="1" applyBorder="1" applyProtection="1">
      <alignment wrapText="1"/>
      <protection locked="0"/>
    </xf>
    <xf numFmtId="0" fontId="0" fillId="21" borderId="77" xfId="0" applyFill="1" applyBorder="1" applyProtection="1">
      <protection locked="0"/>
    </xf>
    <xf numFmtId="0" fontId="5" fillId="21" borderId="17" xfId="3" applyFill="1" applyBorder="1" applyProtection="1">
      <alignment wrapText="1"/>
      <protection locked="0"/>
    </xf>
    <xf numFmtId="0" fontId="5" fillId="21" borderId="2" xfId="3" applyFill="1" applyBorder="1" applyProtection="1">
      <alignment wrapText="1"/>
      <protection locked="0"/>
    </xf>
    <xf numFmtId="165" fontId="5" fillId="21" borderId="16" xfId="3" applyNumberFormat="1" applyFill="1" applyBorder="1" applyProtection="1">
      <alignment wrapText="1"/>
      <protection locked="0"/>
    </xf>
    <xf numFmtId="0" fontId="0" fillId="21" borderId="77" xfId="0" applyFont="1" applyFill="1" applyBorder="1" applyProtection="1">
      <protection locked="0"/>
    </xf>
    <xf numFmtId="0" fontId="1" fillId="21" borderId="77" xfId="0" applyFont="1" applyFill="1" applyBorder="1" applyProtection="1">
      <protection locked="0"/>
    </xf>
    <xf numFmtId="0" fontId="0" fillId="21" borderId="2" xfId="0" applyFill="1" applyBorder="1" applyProtection="1">
      <protection locked="0"/>
    </xf>
    <xf numFmtId="0" fontId="0" fillId="21" borderId="16" xfId="0" applyFill="1" applyBorder="1" applyProtection="1">
      <protection locked="0"/>
    </xf>
    <xf numFmtId="0" fontId="0" fillId="21" borderId="121" xfId="0" applyFill="1" applyBorder="1" applyProtection="1">
      <protection locked="0"/>
    </xf>
    <xf numFmtId="0" fontId="0" fillId="21" borderId="130" xfId="0" applyFill="1" applyBorder="1" applyProtection="1">
      <protection locked="0"/>
    </xf>
    <xf numFmtId="0" fontId="0" fillId="21" borderId="78" xfId="0" applyFill="1" applyBorder="1" applyProtection="1">
      <protection locked="0"/>
    </xf>
    <xf numFmtId="0" fontId="0" fillId="21" borderId="20" xfId="0" applyFill="1" applyBorder="1" applyProtection="1">
      <protection locked="0"/>
    </xf>
    <xf numFmtId="0" fontId="0" fillId="21" borderId="21" xfId="0" applyFill="1" applyBorder="1" applyProtection="1">
      <protection locked="0"/>
    </xf>
    <xf numFmtId="0" fontId="0" fillId="21" borderId="22" xfId="0" applyFill="1" applyBorder="1" applyProtection="1">
      <protection locked="0"/>
    </xf>
    <xf numFmtId="0" fontId="0" fillId="21" borderId="133" xfId="0" applyFill="1" applyBorder="1" applyProtection="1">
      <protection locked="0"/>
    </xf>
    <xf numFmtId="0" fontId="0" fillId="21" borderId="134" xfId="0" applyFill="1" applyBorder="1" applyProtection="1">
      <protection locked="0"/>
    </xf>
    <xf numFmtId="0" fontId="0" fillId="0" borderId="0" xfId="0"/>
    <xf numFmtId="0" fontId="0" fillId="0" borderId="0" xfId="0"/>
    <xf numFmtId="0" fontId="12" fillId="10" borderId="154" xfId="5" applyFont="1" applyFill="1" applyBorder="1"/>
    <xf numFmtId="0" fontId="1" fillId="10" borderId="155" xfId="5" applyFill="1" applyBorder="1"/>
    <xf numFmtId="0" fontId="4" fillId="10" borderId="155" xfId="5" applyFont="1" applyFill="1" applyBorder="1" applyAlignment="1">
      <alignment horizontal="right"/>
    </xf>
    <xf numFmtId="2" fontId="1" fillId="0" borderId="156" xfId="5" applyNumberFormat="1" applyFont="1" applyFill="1" applyBorder="1"/>
    <xf numFmtId="2" fontId="1" fillId="0" borderId="157" xfId="5" applyNumberFormat="1" applyFont="1" applyFill="1" applyBorder="1"/>
    <xf numFmtId="2" fontId="1" fillId="0" borderId="158" xfId="5" applyNumberFormat="1" applyFont="1" applyFill="1" applyBorder="1"/>
    <xf numFmtId="0" fontId="12" fillId="9" borderId="154" xfId="5" applyFont="1" applyFill="1" applyBorder="1"/>
    <xf numFmtId="0" fontId="13" fillId="9" borderId="159" xfId="5" applyFont="1" applyFill="1" applyBorder="1"/>
    <xf numFmtId="0" fontId="4" fillId="9" borderId="159" xfId="5" applyFont="1" applyFill="1" applyBorder="1" applyAlignment="1">
      <alignment horizontal="right"/>
    </xf>
    <xf numFmtId="0" fontId="1" fillId="8" borderId="160" xfId="5" applyFont="1" applyFill="1" applyBorder="1"/>
    <xf numFmtId="0" fontId="1" fillId="8" borderId="161" xfId="5" applyFont="1" applyFill="1" applyBorder="1"/>
    <xf numFmtId="0" fontId="13" fillId="9" borderId="155" xfId="5" applyFont="1" applyFill="1" applyBorder="1"/>
    <xf numFmtId="0" fontId="4" fillId="9" borderId="155" xfId="5" applyFont="1" applyFill="1" applyBorder="1" applyAlignment="1">
      <alignment horizontal="right"/>
    </xf>
    <xf numFmtId="2" fontId="1" fillId="0" borderId="160" xfId="5" applyNumberFormat="1" applyFont="1" applyFill="1" applyBorder="1"/>
    <xf numFmtId="2" fontId="1" fillId="0" borderId="161" xfId="5" applyNumberFormat="1" applyFont="1" applyFill="1" applyBorder="1"/>
    <xf numFmtId="0" fontId="12" fillId="2" borderId="154" xfId="5" applyFont="1" applyFill="1" applyBorder="1"/>
    <xf numFmtId="0" fontId="13" fillId="2" borderId="155" xfId="5" applyFont="1" applyFill="1" applyBorder="1"/>
    <xf numFmtId="0" fontId="4" fillId="2" borderId="155" xfId="5" applyFont="1" applyFill="1" applyBorder="1" applyAlignment="1">
      <alignment horizontal="right"/>
    </xf>
    <xf numFmtId="0" fontId="13" fillId="11" borderId="155" xfId="5" applyFont="1" applyFill="1" applyBorder="1"/>
    <xf numFmtId="0" fontId="4" fillId="11" borderId="155" xfId="5" applyFont="1" applyFill="1" applyBorder="1" applyAlignment="1">
      <alignment horizontal="right"/>
    </xf>
    <xf numFmtId="2" fontId="1" fillId="0" borderId="162" xfId="5" applyNumberFormat="1" applyFont="1" applyFill="1" applyBorder="1"/>
    <xf numFmtId="2" fontId="1" fillId="0" borderId="163" xfId="5" applyNumberFormat="1" applyFont="1" applyFill="1" applyBorder="1"/>
    <xf numFmtId="9" fontId="0" fillId="0" borderId="0" xfId="0" applyNumberFormat="1" applyFill="1" applyBorder="1"/>
    <xf numFmtId="0" fontId="0" fillId="0" borderId="0" xfId="0"/>
    <xf numFmtId="0" fontId="1" fillId="0" borderId="0" xfId="0" applyFont="1" applyAlignment="1">
      <alignment horizontal="center" vertical="center"/>
    </xf>
    <xf numFmtId="0" fontId="24" fillId="0" borderId="8" xfId="5" applyFont="1" applyBorder="1" applyAlignment="1">
      <alignment horizontal="center"/>
    </xf>
    <xf numFmtId="0" fontId="24" fillId="0" borderId="8" xfId="5" applyFont="1" applyBorder="1" applyAlignment="1">
      <alignment horizontal="center" vertical="center" wrapText="1"/>
    </xf>
    <xf numFmtId="0" fontId="24" fillId="0" borderId="8" xfId="5" applyFont="1" applyBorder="1" applyAlignment="1">
      <alignment horizontal="center" wrapText="1"/>
    </xf>
    <xf numFmtId="0" fontId="21" fillId="0" borderId="112" xfId="5" applyFont="1" applyBorder="1" applyAlignment="1">
      <alignment horizontal="center" vertical="center" wrapText="1"/>
    </xf>
    <xf numFmtId="0" fontId="2" fillId="0" borderId="20" xfId="5" applyFont="1" applyBorder="1" applyAlignment="1">
      <alignment horizontal="center" vertical="center" wrapText="1"/>
    </xf>
    <xf numFmtId="0" fontId="14" fillId="0" borderId="17" xfId="5" applyFont="1" applyBorder="1" applyAlignment="1">
      <alignment horizontal="center" wrapText="1"/>
    </xf>
    <xf numFmtId="0" fontId="14" fillId="0" borderId="2" xfId="5" applyFont="1" applyBorder="1" applyAlignment="1">
      <alignment horizontal="center" wrapText="1"/>
    </xf>
    <xf numFmtId="0" fontId="14" fillId="0" borderId="16" xfId="5" applyFont="1" applyBorder="1" applyAlignment="1">
      <alignment horizontal="center" wrapText="1"/>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3" fontId="4" fillId="0" borderId="20" xfId="5" applyNumberFormat="1" applyFont="1" applyBorder="1" applyAlignment="1">
      <alignment horizontal="center" vertical="center"/>
    </xf>
    <xf numFmtId="166" fontId="4" fillId="0" borderId="21" xfId="5" applyNumberFormat="1" applyFont="1" applyBorder="1" applyAlignment="1">
      <alignment horizontal="center" vertical="center"/>
    </xf>
    <xf numFmtId="0" fontId="1" fillId="10" borderId="124" xfId="5" applyFill="1" applyBorder="1"/>
    <xf numFmtId="0" fontId="4" fillId="10" borderId="124" xfId="5" applyFont="1" applyFill="1" applyBorder="1" applyAlignment="1">
      <alignment horizontal="right"/>
    </xf>
    <xf numFmtId="0" fontId="13" fillId="9" borderId="124" xfId="5" applyFont="1" applyFill="1" applyBorder="1"/>
    <xf numFmtId="0" fontId="4" fillId="9" borderId="124" xfId="5" applyFont="1" applyFill="1" applyBorder="1" applyAlignment="1">
      <alignment horizontal="right"/>
    </xf>
    <xf numFmtId="0" fontId="13" fillId="2" borderId="124" xfId="5" applyFont="1" applyFill="1" applyBorder="1"/>
    <xf numFmtId="0" fontId="4" fillId="2" borderId="124" xfId="5" applyFont="1" applyFill="1" applyBorder="1" applyAlignment="1">
      <alignment horizontal="right"/>
    </xf>
    <xf numFmtId="0" fontId="13" fillId="11" borderId="124" xfId="5" applyFont="1" applyFill="1" applyBorder="1"/>
    <xf numFmtId="0" fontId="4" fillId="11" borderId="124" xfId="5" applyFont="1" applyFill="1" applyBorder="1" applyAlignment="1">
      <alignment horizontal="right"/>
    </xf>
    <xf numFmtId="2" fontId="1" fillId="0" borderId="123" xfId="5" applyNumberFormat="1" applyFont="1" applyFill="1" applyBorder="1"/>
    <xf numFmtId="0" fontId="1" fillId="0" borderId="124" xfId="5" applyFill="1" applyBorder="1"/>
    <xf numFmtId="0" fontId="9" fillId="10" borderId="11" xfId="5" applyFont="1" applyFill="1" applyBorder="1"/>
    <xf numFmtId="0" fontId="1" fillId="10" borderId="0" xfId="5" applyFill="1" applyBorder="1"/>
    <xf numFmtId="0" fontId="24" fillId="8" borderId="27" xfId="5" applyFont="1" applyFill="1" applyBorder="1" applyAlignment="1">
      <alignment vertical="center"/>
    </xf>
    <xf numFmtId="0" fontId="24" fillId="8" borderId="28" xfId="5" applyFont="1" applyFill="1" applyBorder="1" applyAlignment="1">
      <alignment vertical="center"/>
    </xf>
    <xf numFmtId="0" fontId="10" fillId="0" borderId="74" xfId="5" applyFont="1" applyBorder="1" applyAlignment="1">
      <alignment vertical="center"/>
    </xf>
    <xf numFmtId="0" fontId="24" fillId="8" borderId="74" xfId="5" applyFont="1" applyFill="1" applyBorder="1" applyAlignment="1">
      <alignment horizontal="center" vertical="center"/>
    </xf>
    <xf numFmtId="0" fontId="24" fillId="0" borderId="85" xfId="5" applyFont="1" applyFill="1" applyBorder="1" applyAlignment="1">
      <alignment vertical="center"/>
    </xf>
    <xf numFmtId="0" fontId="24" fillId="8" borderId="28" xfId="5" applyFont="1" applyFill="1" applyBorder="1" applyAlignment="1">
      <alignment horizontal="center" vertical="center"/>
    </xf>
    <xf numFmtId="0" fontId="24" fillId="8" borderId="28" xfId="5" applyFont="1" applyFill="1" applyBorder="1" applyAlignment="1">
      <alignment horizontal="center" vertical="center" wrapText="1"/>
    </xf>
    <xf numFmtId="0" fontId="24" fillId="8" borderId="29" xfId="5" applyFont="1" applyFill="1" applyBorder="1" applyAlignment="1">
      <alignment horizontal="center" vertical="center"/>
    </xf>
    <xf numFmtId="0" fontId="4" fillId="9" borderId="164" xfId="5" applyFont="1" applyFill="1" applyBorder="1" applyAlignment="1">
      <alignment horizontal="right"/>
    </xf>
    <xf numFmtId="0" fontId="4" fillId="9" borderId="127" xfId="5" applyFont="1" applyFill="1" applyBorder="1" applyAlignment="1">
      <alignment horizontal="right"/>
    </xf>
    <xf numFmtId="0" fontId="18" fillId="2" borderId="128" xfId="5" applyFont="1" applyFill="1" applyBorder="1" applyAlignment="1">
      <alignment horizontal="right"/>
    </xf>
    <xf numFmtId="0" fontId="9" fillId="11" borderId="8" xfId="5" applyFont="1" applyFill="1" applyBorder="1"/>
    <xf numFmtId="0" fontId="13" fillId="11" borderId="9" xfId="5" applyFont="1" applyFill="1" applyBorder="1"/>
    <xf numFmtId="0" fontId="13" fillId="11" borderId="165" xfId="5" applyFont="1" applyFill="1" applyBorder="1" applyAlignment="1">
      <alignment horizontal="right"/>
    </xf>
    <xf numFmtId="174" fontId="35" fillId="0" borderId="68" xfId="2" applyNumberFormat="1" applyFont="1" applyFill="1" applyBorder="1"/>
    <xf numFmtId="174" fontId="37" fillId="0" borderId="68" xfId="2" applyNumberFormat="1" applyFont="1" applyFill="1" applyBorder="1"/>
    <xf numFmtId="174" fontId="37" fillId="0" borderId="70" xfId="2" applyNumberFormat="1" applyFont="1" applyFill="1" applyBorder="1"/>
    <xf numFmtId="174" fontId="37" fillId="0" borderId="72" xfId="2" applyNumberFormat="1" applyFont="1" applyFill="1" applyBorder="1"/>
    <xf numFmtId="175" fontId="38" fillId="0" borderId="64" xfId="2" applyNumberFormat="1" applyFont="1" applyFill="1" applyBorder="1"/>
    <xf numFmtId="175" fontId="34" fillId="0" borderId="108" xfId="2" applyNumberFormat="1" applyFont="1" applyFill="1" applyBorder="1"/>
    <xf numFmtId="175" fontId="35" fillId="0" borderId="59" xfId="2" applyNumberFormat="1" applyFont="1" applyFill="1" applyBorder="1"/>
    <xf numFmtId="175" fontId="35" fillId="0" borderId="92" xfId="2" applyNumberFormat="1" applyFont="1" applyFill="1" applyBorder="1"/>
    <xf numFmtId="175" fontId="1" fillId="8" borderId="103" xfId="5" applyNumberFormat="1" applyFont="1" applyFill="1" applyBorder="1"/>
    <xf numFmtId="175" fontId="38" fillId="0" borderId="25" xfId="2" applyNumberFormat="1" applyFont="1" applyFill="1" applyBorder="1"/>
    <xf numFmtId="175" fontId="34" fillId="0" borderId="109" xfId="2" applyNumberFormat="1" applyFont="1" applyFill="1" applyBorder="1"/>
    <xf numFmtId="175" fontId="35" fillId="0" borderId="26" xfId="2" applyNumberFormat="1" applyFont="1" applyFill="1" applyBorder="1"/>
    <xf numFmtId="175" fontId="1" fillId="8" borderId="105" xfId="5" applyNumberFormat="1" applyFont="1" applyFill="1" applyBorder="1"/>
    <xf numFmtId="175" fontId="34" fillId="0" borderId="107" xfId="2" applyNumberFormat="1" applyFont="1" applyFill="1" applyBorder="1"/>
    <xf numFmtId="175" fontId="35" fillId="0" borderId="30" xfId="2" applyNumberFormat="1" applyFont="1" applyFill="1" applyBorder="1"/>
    <xf numFmtId="175" fontId="33" fillId="0" borderId="26" xfId="2" applyNumberFormat="1" applyFont="1" applyFill="1" applyBorder="1"/>
    <xf numFmtId="175" fontId="35" fillId="0" borderId="57" xfId="2" applyNumberFormat="1" applyFont="1" applyFill="1" applyBorder="1"/>
    <xf numFmtId="175" fontId="36" fillId="0" borderId="108" xfId="2" applyNumberFormat="1" applyFont="1" applyFill="1" applyBorder="1"/>
    <xf numFmtId="175" fontId="37" fillId="0" borderId="59" xfId="2" applyNumberFormat="1" applyFont="1" applyFill="1" applyBorder="1"/>
    <xf numFmtId="175" fontId="36" fillId="0" borderId="107" xfId="2" applyNumberFormat="1" applyFont="1" applyFill="1" applyBorder="1"/>
    <xf numFmtId="175" fontId="35" fillId="0" borderId="63" xfId="2" applyNumberFormat="1" applyFont="1" applyFill="1" applyBorder="1"/>
    <xf numFmtId="175" fontId="1" fillId="0" borderId="65" xfId="5" applyNumberFormat="1" applyFont="1" applyFill="1" applyBorder="1"/>
    <xf numFmtId="166" fontId="4" fillId="0" borderId="134" xfId="5" applyNumberFormat="1" applyFont="1" applyBorder="1" applyAlignment="1">
      <alignment horizontal="center" vertical="center"/>
    </xf>
    <xf numFmtId="166" fontId="4" fillId="0" borderId="133" xfId="5" applyNumberFormat="1" applyFont="1" applyBorder="1" applyAlignment="1">
      <alignment horizontal="center" vertical="center"/>
    </xf>
    <xf numFmtId="3" fontId="4" fillId="0" borderId="134" xfId="5" applyNumberFormat="1" applyFont="1" applyBorder="1" applyAlignment="1">
      <alignment horizontal="center" vertical="center"/>
    </xf>
    <xf numFmtId="3" fontId="4" fillId="0" borderId="133" xfId="5" applyNumberFormat="1" applyFont="1" applyBorder="1" applyAlignment="1">
      <alignment horizontal="center" vertical="center"/>
    </xf>
    <xf numFmtId="3" fontId="4" fillId="0" borderId="63" xfId="5" applyNumberFormat="1" applyFont="1" applyBorder="1" applyAlignment="1">
      <alignment horizontal="center" vertical="center"/>
    </xf>
    <xf numFmtId="0" fontId="10" fillId="0" borderId="74" xfId="5" applyFont="1" applyBorder="1" applyAlignment="1">
      <alignment horizontal="center" vertical="center" wrapText="1"/>
    </xf>
    <xf numFmtId="0" fontId="10" fillId="0" borderId="75" xfId="5" applyFont="1" applyBorder="1" applyAlignment="1">
      <alignment horizontal="center" vertical="center" wrapText="1"/>
    </xf>
    <xf numFmtId="0" fontId="3" fillId="8" borderId="38" xfId="1" applyFill="1" applyBorder="1" applyAlignment="1" applyProtection="1">
      <alignment horizontal="center" vertical="center" wrapText="1"/>
    </xf>
    <xf numFmtId="0" fontId="3" fillId="8" borderId="39" xfId="1" applyFill="1" applyBorder="1" applyAlignment="1" applyProtection="1">
      <alignment horizontal="center" vertical="center" wrapText="1"/>
    </xf>
    <xf numFmtId="0" fontId="3" fillId="8" borderId="40" xfId="1" applyFill="1" applyBorder="1" applyAlignment="1" applyProtection="1">
      <alignment horizontal="center" vertical="center" wrapText="1"/>
    </xf>
    <xf numFmtId="0" fontId="32" fillId="8" borderId="38" xfId="1" applyFont="1" applyFill="1" applyBorder="1" applyAlignment="1" applyProtection="1">
      <alignment horizontal="center" vertical="center" wrapText="1"/>
    </xf>
    <xf numFmtId="0" fontId="32" fillId="8" borderId="39" xfId="1" applyFont="1" applyFill="1" applyBorder="1" applyAlignment="1" applyProtection="1">
      <alignment horizontal="center" vertical="center" wrapText="1"/>
    </xf>
    <xf numFmtId="0" fontId="32" fillId="8" borderId="40" xfId="1" applyFont="1" applyFill="1" applyBorder="1" applyAlignment="1" applyProtection="1">
      <alignment horizontal="center" vertical="center" wrapText="1"/>
    </xf>
    <xf numFmtId="0" fontId="14" fillId="0" borderId="2" xfId="5" applyFont="1" applyBorder="1" applyAlignment="1">
      <alignment horizontal="center" wrapText="1"/>
    </xf>
    <xf numFmtId="0" fontId="14" fillId="0" borderId="16" xfId="5" applyFont="1" applyBorder="1" applyAlignment="1">
      <alignment horizontal="center" wrapText="1"/>
    </xf>
    <xf numFmtId="0" fontId="1" fillId="0" borderId="74" xfId="5" applyFont="1" applyBorder="1" applyAlignment="1">
      <alignment horizontal="center" vertical="center" wrapText="1"/>
    </xf>
    <xf numFmtId="0" fontId="1" fillId="0" borderId="75" xfId="5" applyFont="1" applyBorder="1" applyAlignment="1">
      <alignment horizontal="center" vertical="center" wrapText="1"/>
    </xf>
    <xf numFmtId="0" fontId="0" fillId="0" borderId="31" xfId="0" applyBorder="1" applyAlignment="1">
      <alignment horizontal="center" vertical="center" textRotation="90"/>
    </xf>
    <xf numFmtId="0" fontId="0" fillId="0" borderId="34" xfId="0" applyBorder="1" applyAlignment="1">
      <alignment horizontal="center" vertical="center" textRotation="90"/>
    </xf>
    <xf numFmtId="0" fontId="0" fillId="0" borderId="41" xfId="0" applyBorder="1" applyAlignment="1">
      <alignment horizontal="center" vertical="center" textRotation="90"/>
    </xf>
    <xf numFmtId="0" fontId="22" fillId="0" borderId="35" xfId="0" applyFont="1" applyBorder="1" applyAlignment="1">
      <alignment vertical="top" wrapText="1"/>
    </xf>
    <xf numFmtId="0" fontId="22" fillId="0" borderId="36" xfId="0" applyFont="1" applyBorder="1" applyAlignment="1">
      <alignment vertical="top" wrapText="1"/>
    </xf>
    <xf numFmtId="0" fontId="22" fillId="0" borderId="37" xfId="0" applyFont="1" applyBorder="1" applyAlignment="1">
      <alignment vertical="top" wrapText="1"/>
    </xf>
    <xf numFmtId="0" fontId="16" fillId="0" borderId="42" xfId="0" applyFont="1" applyBorder="1" applyAlignment="1">
      <alignment horizontal="center" vertical="center" textRotation="90" wrapText="1"/>
    </xf>
    <xf numFmtId="0" fontId="16" fillId="0" borderId="43" xfId="0" applyFont="1" applyBorder="1" applyAlignment="1">
      <alignment horizontal="center" vertical="center" textRotation="90" wrapText="1"/>
    </xf>
    <xf numFmtId="0" fontId="16" fillId="0" borderId="44" xfId="0" applyFont="1" applyBorder="1" applyAlignment="1">
      <alignment horizontal="center" vertical="center" textRotation="90" wrapText="1"/>
    </xf>
    <xf numFmtId="0" fontId="5" fillId="0" borderId="27"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29" xfId="0" applyFont="1" applyBorder="1" applyAlignment="1">
      <alignment horizontal="center" vertical="center" wrapText="1"/>
    </xf>
    <xf numFmtId="0" fontId="24" fillId="0" borderId="9" xfId="0" applyFont="1" applyBorder="1" applyAlignment="1">
      <alignment wrapText="1"/>
    </xf>
    <xf numFmtId="0" fontId="24" fillId="0" borderId="10" xfId="0" applyFont="1" applyBorder="1" applyAlignment="1">
      <alignment wrapText="1"/>
    </xf>
    <xf numFmtId="0" fontId="5" fillId="0" borderId="23" xfId="0" applyFont="1" applyBorder="1" applyAlignment="1">
      <alignment horizontal="left" vertical="center" wrapText="1"/>
    </xf>
    <xf numFmtId="0" fontId="5" fillId="0" borderId="24" xfId="0" applyFont="1" applyBorder="1" applyAlignment="1">
      <alignment horizontal="left" vertical="center" wrapText="1"/>
    </xf>
    <xf numFmtId="0" fontId="5" fillId="0" borderId="25" xfId="0" applyFont="1" applyBorder="1" applyAlignment="1">
      <alignment horizontal="left" vertical="center" wrapText="1"/>
    </xf>
    <xf numFmtId="49" fontId="5" fillId="0" borderId="23" xfId="0" applyNumberFormat="1" applyFont="1" applyBorder="1" applyAlignment="1">
      <alignment horizontal="left" vertical="center" wrapText="1"/>
    </xf>
    <xf numFmtId="49" fontId="5" fillId="0" borderId="24" xfId="0" applyNumberFormat="1" applyFont="1" applyBorder="1" applyAlignment="1">
      <alignment horizontal="left" vertical="center" wrapText="1"/>
    </xf>
    <xf numFmtId="49" fontId="5" fillId="0" borderId="25" xfId="0" applyNumberFormat="1" applyFont="1" applyBorder="1" applyAlignment="1">
      <alignment horizontal="left" vertical="center" wrapText="1"/>
    </xf>
    <xf numFmtId="0" fontId="22" fillId="0" borderId="23" xfId="0" applyFont="1" applyBorder="1" applyAlignment="1">
      <alignment horizontal="left" vertical="center" wrapText="1"/>
    </xf>
    <xf numFmtId="0" fontId="22" fillId="0" borderId="24" xfId="0" applyFont="1" applyBorder="1" applyAlignment="1">
      <alignment horizontal="left" vertical="center" wrapText="1"/>
    </xf>
    <xf numFmtId="0" fontId="22" fillId="0" borderId="25" xfId="0" applyFont="1" applyBorder="1" applyAlignment="1">
      <alignment horizontal="left" vertical="center" wrapText="1"/>
    </xf>
    <xf numFmtId="0" fontId="16" fillId="0" borderId="26" xfId="0" applyFont="1" applyBorder="1" applyAlignment="1">
      <alignment horizontal="center" vertical="center" textRotation="90" wrapText="1"/>
    </xf>
    <xf numFmtId="0" fontId="16" fillId="0" borderId="30" xfId="0" applyFont="1" applyBorder="1" applyAlignment="1">
      <alignment horizontal="center" vertical="center" textRotation="90" wrapText="1"/>
    </xf>
    <xf numFmtId="0" fontId="20" fillId="0" borderId="7" xfId="0" applyFont="1" applyBorder="1" applyAlignment="1">
      <alignment horizontal="center"/>
    </xf>
    <xf numFmtId="0" fontId="20" fillId="0" borderId="7" xfId="0" applyFont="1" applyBorder="1" applyAlignment="1">
      <alignment horizontal="center" wrapText="1"/>
    </xf>
    <xf numFmtId="0" fontId="23" fillId="0" borderId="8" xfId="0" applyFont="1" applyBorder="1" applyAlignment="1">
      <alignment horizontal="center" wrapText="1"/>
    </xf>
    <xf numFmtId="0" fontId="23" fillId="0" borderId="9" xfId="0" applyFont="1" applyBorder="1" applyAlignment="1">
      <alignment horizontal="center" wrapText="1"/>
    </xf>
    <xf numFmtId="0" fontId="23" fillId="0" borderId="10" xfId="0" applyFont="1" applyBorder="1" applyAlignment="1">
      <alignment horizontal="center" wrapText="1"/>
    </xf>
    <xf numFmtId="0" fontId="23" fillId="0" borderId="8" xfId="0" applyFont="1" applyBorder="1" applyAlignment="1">
      <alignment horizontal="center"/>
    </xf>
    <xf numFmtId="0" fontId="23" fillId="0" borderId="9" xfId="0" applyFont="1" applyBorder="1" applyAlignment="1">
      <alignment horizontal="center"/>
    </xf>
    <xf numFmtId="0" fontId="23" fillId="0" borderId="10" xfId="0" applyFont="1" applyBorder="1" applyAlignment="1">
      <alignment horizontal="center"/>
    </xf>
    <xf numFmtId="0" fontId="23" fillId="0" borderId="9" xfId="0" applyFont="1" applyBorder="1" applyAlignment="1">
      <alignment horizontal="center" vertical="center"/>
    </xf>
    <xf numFmtId="0" fontId="23" fillId="0" borderId="10" xfId="0" applyFont="1" applyBorder="1" applyAlignment="1">
      <alignment horizontal="center" vertical="center"/>
    </xf>
    <xf numFmtId="0" fontId="23" fillId="0" borderId="9" xfId="5" applyFont="1" applyBorder="1" applyAlignment="1">
      <alignment horizontal="center"/>
    </xf>
    <xf numFmtId="0" fontId="23" fillId="0" borderId="10" xfId="5" applyFont="1" applyBorder="1" applyAlignment="1">
      <alignment horizontal="center"/>
    </xf>
    <xf numFmtId="0" fontId="23" fillId="0" borderId="9" xfId="5" applyFont="1" applyBorder="1" applyAlignment="1">
      <alignment horizontal="center" wrapText="1"/>
    </xf>
    <xf numFmtId="0" fontId="23" fillId="0" borderId="10" xfId="5" applyFont="1" applyBorder="1" applyAlignment="1">
      <alignment horizontal="center" wrapText="1"/>
    </xf>
    <xf numFmtId="0" fontId="0" fillId="0" borderId="0" xfId="0"/>
    <xf numFmtId="0" fontId="44" fillId="8" borderId="1" xfId="0" applyFont="1" applyFill="1" applyBorder="1" applyAlignment="1">
      <alignment horizontal="center" wrapText="1"/>
    </xf>
    <xf numFmtId="0" fontId="44" fillId="8" borderId="114" xfId="0" applyFont="1" applyFill="1" applyBorder="1" applyAlignment="1">
      <alignment horizontal="center" wrapText="1"/>
    </xf>
    <xf numFmtId="0" fontId="44" fillId="8" borderId="115" xfId="0" applyFont="1" applyFill="1" applyBorder="1" applyAlignment="1">
      <alignment horizontal="center" wrapText="1"/>
    </xf>
    <xf numFmtId="0" fontId="4" fillId="8" borderId="118" xfId="0" applyFont="1" applyFill="1" applyBorder="1" applyAlignment="1">
      <alignment horizontal="center" vertical="center" wrapText="1"/>
    </xf>
    <xf numFmtId="0" fontId="14" fillId="8" borderId="119" xfId="0" applyFont="1" applyFill="1" applyBorder="1" applyAlignment="1">
      <alignment horizontal="center" vertical="center" wrapText="1"/>
    </xf>
    <xf numFmtId="0" fontId="14" fillId="8" borderId="120" xfId="0" applyFont="1" applyFill="1" applyBorder="1" applyAlignment="1">
      <alignment horizontal="center" vertical="center" wrapText="1"/>
    </xf>
    <xf numFmtId="0" fontId="2" fillId="0" borderId="115" xfId="0" applyFont="1" applyBorder="1" applyAlignment="1">
      <alignment horizontal="center" vertical="center"/>
    </xf>
    <xf numFmtId="0" fontId="0" fillId="0" borderId="117" xfId="0" applyBorder="1" applyAlignment="1"/>
    <xf numFmtId="0" fontId="0" fillId="0" borderId="120" xfId="0" applyBorder="1" applyAlignment="1"/>
    <xf numFmtId="0" fontId="17" fillId="11" borderId="4" xfId="0" applyFont="1" applyFill="1" applyBorder="1" applyAlignment="1">
      <alignment vertical="top"/>
    </xf>
    <xf numFmtId="0" fontId="0" fillId="11" borderId="3" xfId="0" applyFill="1" applyBorder="1" applyAlignment="1">
      <alignment vertical="top"/>
    </xf>
    <xf numFmtId="0" fontId="0" fillId="11" borderId="122" xfId="0" applyFill="1" applyBorder="1" applyAlignment="1">
      <alignment vertical="top"/>
    </xf>
    <xf numFmtId="0" fontId="2" fillId="0" borderId="4" xfId="0" applyFont="1" applyBorder="1" applyAlignment="1">
      <alignment horizontal="center" vertical="center"/>
    </xf>
    <xf numFmtId="0" fontId="0" fillId="0" borderId="3" xfId="0" applyBorder="1" applyAlignment="1"/>
    <xf numFmtId="0" fontId="0" fillId="0" borderId="122" xfId="0" applyBorder="1" applyAlignment="1"/>
    <xf numFmtId="0" fontId="17" fillId="11" borderId="4" xfId="0" applyFont="1" applyFill="1" applyBorder="1" applyAlignment="1">
      <alignment vertical="top" wrapText="1"/>
    </xf>
    <xf numFmtId="0" fontId="0" fillId="11" borderId="3" xfId="0" applyFill="1" applyBorder="1" applyAlignment="1"/>
    <xf numFmtId="0" fontId="0" fillId="11" borderId="122" xfId="0" applyFill="1" applyBorder="1" applyAlignment="1"/>
    <xf numFmtId="0" fontId="0" fillId="11" borderId="3" xfId="0" applyFill="1" applyBorder="1" applyAlignment="1">
      <alignment wrapText="1"/>
    </xf>
    <xf numFmtId="0" fontId="0" fillId="11" borderId="122" xfId="0" applyFill="1" applyBorder="1" applyAlignment="1">
      <alignment wrapText="1"/>
    </xf>
    <xf numFmtId="0" fontId="1" fillId="8" borderId="124" xfId="0" applyFont="1" applyFill="1" applyBorder="1" applyAlignment="1">
      <alignment horizontal="left" wrapText="1"/>
    </xf>
    <xf numFmtId="0" fontId="0" fillId="0" borderId="124" xfId="0" applyBorder="1" applyAlignment="1">
      <alignment horizontal="left"/>
    </xf>
    <xf numFmtId="0" fontId="0" fillId="0" borderId="125" xfId="0" applyBorder="1" applyAlignment="1">
      <alignment horizontal="left"/>
    </xf>
    <xf numFmtId="0" fontId="13" fillId="8" borderId="126" xfId="0" applyFont="1" applyFill="1" applyBorder="1" applyAlignment="1">
      <alignment horizontal="center" vertical="top" wrapText="1"/>
    </xf>
    <xf numFmtId="0" fontId="13" fillId="8" borderId="127" xfId="0" applyFont="1" applyFill="1" applyBorder="1" applyAlignment="1">
      <alignment horizontal="center" vertical="top" wrapText="1"/>
    </xf>
    <xf numFmtId="0" fontId="13" fillId="8" borderId="116" xfId="0" applyFont="1" applyFill="1" applyBorder="1" applyAlignment="1">
      <alignment horizontal="center" vertical="top" wrapText="1"/>
    </xf>
    <xf numFmtId="0" fontId="13" fillId="8" borderId="98" xfId="0" applyFont="1" applyFill="1" applyBorder="1" applyAlignment="1">
      <alignment horizontal="center" vertical="top" wrapText="1"/>
    </xf>
    <xf numFmtId="0" fontId="3" fillId="8" borderId="52" xfId="1" applyFont="1" applyFill="1" applyBorder="1" applyAlignment="1" applyProtection="1">
      <alignment horizontal="center" vertical="center"/>
    </xf>
    <xf numFmtId="0" fontId="3" fillId="0" borderId="128" xfId="1" applyBorder="1" applyAlignment="1" applyProtection="1">
      <alignment horizontal="center" vertical="center"/>
    </xf>
    <xf numFmtId="0" fontId="12" fillId="8" borderId="1" xfId="0" applyFont="1" applyFill="1" applyBorder="1" applyAlignment="1">
      <alignment horizontal="center"/>
    </xf>
    <xf numFmtId="0" fontId="0" fillId="0" borderId="114" xfId="0" applyBorder="1" applyAlignment="1"/>
    <xf numFmtId="0" fontId="0" fillId="0" borderId="115" xfId="0" applyBorder="1" applyAlignment="1"/>
    <xf numFmtId="0" fontId="12" fillId="8" borderId="116" xfId="0" applyFont="1" applyFill="1" applyBorder="1" applyAlignment="1">
      <alignment horizontal="center"/>
    </xf>
    <xf numFmtId="0" fontId="0" fillId="0" borderId="0" xfId="0" applyBorder="1" applyAlignment="1"/>
    <xf numFmtId="0" fontId="12" fillId="8" borderId="118" xfId="0" quotePrefix="1" applyFont="1" applyFill="1" applyBorder="1" applyAlignment="1">
      <alignment horizontal="center" vertical="center"/>
    </xf>
    <xf numFmtId="0" fontId="0" fillId="0" borderId="119" xfId="0" applyBorder="1" applyAlignment="1"/>
    <xf numFmtId="0" fontId="0" fillId="0" borderId="131" xfId="0" applyBorder="1" applyAlignment="1"/>
    <xf numFmtId="0" fontId="0" fillId="0" borderId="135" xfId="0" applyBorder="1"/>
    <xf numFmtId="0" fontId="0" fillId="0" borderId="136" xfId="0" applyBorder="1"/>
    <xf numFmtId="0" fontId="0" fillId="0" borderId="137" xfId="0" applyBorder="1"/>
    <xf numFmtId="0" fontId="5" fillId="0" borderId="135" xfId="0" applyFont="1" applyBorder="1"/>
  </cellXfs>
  <cellStyles count="6">
    <cellStyle name="Hyperlink" xfId="1" builtinId="8"/>
    <cellStyle name="Hyperlink 2" xfId="4"/>
    <cellStyle name="Normal" xfId="0" builtinId="0"/>
    <cellStyle name="Normal 2" xfId="3"/>
    <cellStyle name="Normal 3" xfId="5"/>
    <cellStyle name="Percent" xfId="2" builtinId="5"/>
  </cellStyles>
  <dxfs count="89">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
      <alignment horizontal="general" vertical="bottom" textRotation="0" wrapText="1" indent="0" relativeIndent="255" justifyLastLine="0" shrinkToFit="0" readingOrder="0"/>
    </dxf>
  </dxfs>
  <tableStyles count="0" defaultTableStyle="TableStyleMedium9" defaultPivotStyle="PivotStyleLight16"/>
  <colors>
    <mruColors>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attachedToolbars" Target="attachedToolbars.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barChart>
        <c:barDir val="col"/>
        <c:grouping val="clustered"/>
        <c:ser>
          <c:idx val="0"/>
          <c:order val="0"/>
          <c:cat>
            <c:strRef>
              <c:f>Teams!$B$30:$B$44</c:f>
              <c:strCache>
                <c:ptCount val="15"/>
                <c:pt idx="0">
                  <c:v>All IT</c:v>
                </c:pt>
                <c:pt idx="1">
                  <c:v>eBusiness</c:v>
                </c:pt>
                <c:pt idx="2">
                  <c:v>Help Desk</c:v>
                </c:pt>
                <c:pt idx="3">
                  <c:v>Inforce Workflow</c:v>
                </c:pt>
                <c:pt idx="4">
                  <c:v>IT Operations - Help Desk</c:v>
                </c:pt>
                <c:pt idx="5">
                  <c:v>IT Operations - Server</c:v>
                </c:pt>
                <c:pt idx="6">
                  <c:v>New Business Workflow</c:v>
                </c:pt>
                <c:pt idx="7">
                  <c:v>Other</c:v>
                </c:pt>
                <c:pt idx="8">
                  <c:v>Producer Admin</c:v>
                </c:pt>
                <c:pt idx="9">
                  <c:v>Producer CRM</c:v>
                </c:pt>
                <c:pt idx="10">
                  <c:v>Product Admin</c:v>
                </c:pt>
                <c:pt idx="11">
                  <c:v>Sales</c:v>
                </c:pt>
                <c:pt idx="12">
                  <c:v>Sales System Integration</c:v>
                </c:pt>
                <c:pt idx="13">
                  <c:v>Service</c:v>
                </c:pt>
                <c:pt idx="14">
                  <c:v>Technology Services</c:v>
                </c:pt>
              </c:strCache>
            </c:strRef>
          </c:cat>
          <c:val>
            <c:numRef>
              <c:f>Teams!$G$30:$G$44</c:f>
              <c:numCache>
                <c:formatCode>General</c:formatCode>
                <c:ptCount val="15"/>
                <c:pt idx="1">
                  <c:v>6</c:v>
                </c:pt>
                <c:pt idx="6">
                  <c:v>10</c:v>
                </c:pt>
                <c:pt idx="8">
                  <c:v>8</c:v>
                </c:pt>
                <c:pt idx="9">
                  <c:v>14</c:v>
                </c:pt>
                <c:pt idx="10">
                  <c:v>7</c:v>
                </c:pt>
                <c:pt idx="11">
                  <c:v>4</c:v>
                </c:pt>
                <c:pt idx="12">
                  <c:v>4</c:v>
                </c:pt>
                <c:pt idx="13">
                  <c:v>15</c:v>
                </c:pt>
                <c:pt idx="14">
                  <c:v>8</c:v>
                </c:pt>
              </c:numCache>
            </c:numRef>
          </c:val>
        </c:ser>
        <c:ser>
          <c:idx val="1"/>
          <c:order val="1"/>
          <c:cat>
            <c:strRef>
              <c:f>Teams!$B$30:$B$44</c:f>
              <c:strCache>
                <c:ptCount val="15"/>
                <c:pt idx="0">
                  <c:v>All IT</c:v>
                </c:pt>
                <c:pt idx="1">
                  <c:v>eBusiness</c:v>
                </c:pt>
                <c:pt idx="2">
                  <c:v>Help Desk</c:v>
                </c:pt>
                <c:pt idx="3">
                  <c:v>Inforce Workflow</c:v>
                </c:pt>
                <c:pt idx="4">
                  <c:v>IT Operations - Help Desk</c:v>
                </c:pt>
                <c:pt idx="5">
                  <c:v>IT Operations - Server</c:v>
                </c:pt>
                <c:pt idx="6">
                  <c:v>New Business Workflow</c:v>
                </c:pt>
                <c:pt idx="7">
                  <c:v>Other</c:v>
                </c:pt>
                <c:pt idx="8">
                  <c:v>Producer Admin</c:v>
                </c:pt>
                <c:pt idx="9">
                  <c:v>Producer CRM</c:v>
                </c:pt>
                <c:pt idx="10">
                  <c:v>Product Admin</c:v>
                </c:pt>
                <c:pt idx="11">
                  <c:v>Sales</c:v>
                </c:pt>
                <c:pt idx="12">
                  <c:v>Sales System Integration</c:v>
                </c:pt>
                <c:pt idx="13">
                  <c:v>Service</c:v>
                </c:pt>
                <c:pt idx="14">
                  <c:v>Technology Services</c:v>
                </c:pt>
              </c:strCache>
            </c:strRef>
          </c:cat>
          <c:val>
            <c:numRef>
              <c:f>Teams!$H$30:$H$44</c:f>
              <c:numCache>
                <c:formatCode>General</c:formatCode>
                <c:ptCount val="15"/>
                <c:pt idx="1">
                  <c:v>1</c:v>
                </c:pt>
                <c:pt idx="6">
                  <c:v>5</c:v>
                </c:pt>
                <c:pt idx="8">
                  <c:v>2</c:v>
                </c:pt>
                <c:pt idx="9">
                  <c:v>1</c:v>
                </c:pt>
                <c:pt idx="10">
                  <c:v>1</c:v>
                </c:pt>
                <c:pt idx="11">
                  <c:v>1</c:v>
                </c:pt>
                <c:pt idx="13">
                  <c:v>2</c:v>
                </c:pt>
                <c:pt idx="14">
                  <c:v>1</c:v>
                </c:pt>
              </c:numCache>
            </c:numRef>
          </c:val>
        </c:ser>
        <c:axId val="184497664"/>
        <c:axId val="184499200"/>
      </c:barChart>
      <c:catAx>
        <c:axId val="184497664"/>
        <c:scaling>
          <c:orientation val="minMax"/>
        </c:scaling>
        <c:axPos val="b"/>
        <c:tickLblPos val="nextTo"/>
        <c:crossAx val="184499200"/>
        <c:crosses val="autoZero"/>
        <c:auto val="1"/>
        <c:lblAlgn val="ctr"/>
        <c:lblOffset val="100"/>
      </c:catAx>
      <c:valAx>
        <c:axId val="184499200"/>
        <c:scaling>
          <c:orientation val="minMax"/>
        </c:scaling>
        <c:axPos val="l"/>
        <c:majorGridlines/>
        <c:numFmt formatCode="General" sourceLinked="1"/>
        <c:tickLblPos val="nextTo"/>
        <c:crossAx val="184497664"/>
        <c:crosses val="autoZero"/>
        <c:crossBetween val="between"/>
      </c:valAx>
    </c:plotArea>
    <c:legend>
      <c:legendPos val="r"/>
    </c:legend>
    <c:plotVisOnly val="1"/>
  </c:chart>
  <c:printSettings>
    <c:headerFooter/>
    <c:pageMargins b="0.75000000000000488" l="0.70000000000000062" r="0.70000000000000062" t="0.75000000000000488"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IT took appropriate time to understand my problem or need before solving or meeting it.</a:t>
            </a:r>
          </a:p>
          <a:p>
            <a:pPr>
              <a:defRPr sz="1200" b="1" i="0" u="none" strike="noStrike" baseline="0">
                <a:latin typeface="Arial"/>
                <a:ea typeface="Arial"/>
                <a:cs typeface="Arial"/>
              </a:defRPr>
            </a:pPr>
            <a:r>
              <a:rPr lang="en-US"/>
              <a:t> (0.0 +/- 0.0)</a:t>
            </a:r>
            <a:endParaRPr/>
          </a:p>
        </c:rich>
      </c:tx>
      <c:layout/>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Data'!$F$16:$F$21</c:f>
              <c:numCache>
                <c:formatCode>General</c:formatCode>
                <c:ptCount val="6"/>
                <c:pt idx="0">
                  <c:v>0</c:v>
                </c:pt>
                <c:pt idx="1">
                  <c:v>0</c:v>
                </c:pt>
                <c:pt idx="2">
                  <c:v>0</c:v>
                </c:pt>
                <c:pt idx="3">
                  <c:v>0</c:v>
                </c:pt>
                <c:pt idx="4">
                  <c:v>0</c:v>
                </c:pt>
                <c:pt idx="5">
                  <c:v>0</c:v>
                </c:pt>
              </c:numCache>
            </c:numRef>
          </c:val>
        </c:ser>
        <c:axId val="184425856"/>
        <c:axId val="184456320"/>
      </c:barChart>
      <c:catAx>
        <c:axId val="18442585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4456320"/>
        <c:crosses val="autoZero"/>
        <c:auto val="1"/>
        <c:lblAlgn val="ctr"/>
        <c:lblOffset val="100"/>
      </c:catAx>
      <c:valAx>
        <c:axId val="184456320"/>
        <c:scaling>
          <c:orientation val="minMax"/>
          <c:min val="0"/>
        </c:scaling>
        <c:axPos val="l"/>
        <c:majorGridlines/>
        <c:title>
          <c:tx>
            <c:rich>
              <a:bodyPr rot="-5400000" vert="horz"/>
              <a:lstStyle/>
              <a:p>
                <a:pPr>
                  <a:defRPr/>
                </a:pPr>
                <a:r>
                  <a:rPr lang="en-US"/>
                  <a:t># of Responses</a:t>
                </a:r>
              </a:p>
            </c:rich>
          </c:tx>
          <c:layout/>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442585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had adequate opportunity to review the work effort at the end of Analyze and Design stage, and was given an opportunity to accept, change, or reject it.</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Data'!$H$16:$H$21</c:f>
              <c:numCache>
                <c:formatCode>General</c:formatCode>
                <c:ptCount val="6"/>
                <c:pt idx="0">
                  <c:v>0</c:v>
                </c:pt>
                <c:pt idx="1">
                  <c:v>0</c:v>
                </c:pt>
                <c:pt idx="2">
                  <c:v>0</c:v>
                </c:pt>
                <c:pt idx="3">
                  <c:v>0</c:v>
                </c:pt>
                <c:pt idx="4">
                  <c:v>0</c:v>
                </c:pt>
                <c:pt idx="5">
                  <c:v>0</c:v>
                </c:pt>
              </c:numCache>
            </c:numRef>
          </c:val>
        </c:ser>
        <c:axId val="186656256"/>
        <c:axId val="186657792"/>
      </c:barChart>
      <c:catAx>
        <c:axId val="18665625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657792"/>
        <c:crosses val="autoZero"/>
        <c:auto val="1"/>
        <c:lblAlgn val="ctr"/>
        <c:lblOffset val="100"/>
      </c:catAx>
      <c:valAx>
        <c:axId val="18665779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65625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The quality of the solutions delivered by IT met my expectations.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Data'!$J$16:$J$21</c:f>
              <c:numCache>
                <c:formatCode>General</c:formatCode>
                <c:ptCount val="6"/>
                <c:pt idx="0">
                  <c:v>0</c:v>
                </c:pt>
                <c:pt idx="1">
                  <c:v>0</c:v>
                </c:pt>
                <c:pt idx="2">
                  <c:v>0</c:v>
                </c:pt>
                <c:pt idx="3">
                  <c:v>0</c:v>
                </c:pt>
                <c:pt idx="4">
                  <c:v>0</c:v>
                </c:pt>
                <c:pt idx="5">
                  <c:v>0</c:v>
                </c:pt>
              </c:numCache>
            </c:numRef>
          </c:val>
        </c:ser>
        <c:axId val="186678272"/>
        <c:axId val="186696448"/>
      </c:barChart>
      <c:catAx>
        <c:axId val="18667827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696448"/>
        <c:crosses val="autoZero"/>
        <c:auto val="1"/>
        <c:lblAlgn val="ctr"/>
        <c:lblOffset val="100"/>
      </c:catAx>
      <c:valAx>
        <c:axId val="1866964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67827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Overall, I feel the LDM processes are effective in helping IT to deliver solutions.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Data'!$L$16:$L$21</c:f>
              <c:numCache>
                <c:formatCode>General</c:formatCode>
                <c:ptCount val="6"/>
                <c:pt idx="0">
                  <c:v>0</c:v>
                </c:pt>
                <c:pt idx="1">
                  <c:v>0</c:v>
                </c:pt>
                <c:pt idx="2">
                  <c:v>0</c:v>
                </c:pt>
                <c:pt idx="3">
                  <c:v>0</c:v>
                </c:pt>
                <c:pt idx="4">
                  <c:v>0</c:v>
                </c:pt>
                <c:pt idx="5">
                  <c:v>0</c:v>
                </c:pt>
              </c:numCache>
            </c:numRef>
          </c:val>
        </c:ser>
        <c:axId val="186266368"/>
        <c:axId val="186267904"/>
      </c:barChart>
      <c:catAx>
        <c:axId val="1862663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267904"/>
        <c:crosses val="autoZero"/>
        <c:auto val="1"/>
        <c:lblAlgn val="ctr"/>
        <c:lblOffset val="100"/>
      </c:catAx>
      <c:valAx>
        <c:axId val="1862679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26636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Overall, I feel IT effectively used the LDM processes to deliver solutions.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Data'!$N$16:$N$21</c:f>
              <c:numCache>
                <c:formatCode>General</c:formatCode>
                <c:ptCount val="6"/>
                <c:pt idx="0">
                  <c:v>0</c:v>
                </c:pt>
                <c:pt idx="1">
                  <c:v>0</c:v>
                </c:pt>
                <c:pt idx="2">
                  <c:v>0</c:v>
                </c:pt>
                <c:pt idx="3">
                  <c:v>0</c:v>
                </c:pt>
                <c:pt idx="4">
                  <c:v>0</c:v>
                </c:pt>
                <c:pt idx="5">
                  <c:v>0</c:v>
                </c:pt>
              </c:numCache>
            </c:numRef>
          </c:val>
        </c:ser>
        <c:axId val="186300672"/>
        <c:axId val="186314752"/>
      </c:barChart>
      <c:catAx>
        <c:axId val="18630067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314752"/>
        <c:crosses val="autoZero"/>
        <c:auto val="1"/>
        <c:lblAlgn val="ctr"/>
        <c:lblOffset val="100"/>
      </c:catAx>
      <c:valAx>
        <c:axId val="18631475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30067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am satisfied with the speed and efficiency that issues were resolved by IT.</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Data'!$P$16:$P$21</c:f>
              <c:numCache>
                <c:formatCode>General</c:formatCode>
                <c:ptCount val="6"/>
                <c:pt idx="0">
                  <c:v>0</c:v>
                </c:pt>
                <c:pt idx="1">
                  <c:v>0</c:v>
                </c:pt>
                <c:pt idx="2">
                  <c:v>0</c:v>
                </c:pt>
                <c:pt idx="3">
                  <c:v>0</c:v>
                </c:pt>
                <c:pt idx="4">
                  <c:v>0</c:v>
                </c:pt>
                <c:pt idx="5">
                  <c:v>0</c:v>
                </c:pt>
              </c:numCache>
            </c:numRef>
          </c:val>
        </c:ser>
        <c:axId val="186929152"/>
        <c:axId val="186930688"/>
      </c:barChart>
      <c:catAx>
        <c:axId val="18692915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930688"/>
        <c:crosses val="autoZero"/>
        <c:auto val="1"/>
        <c:lblAlgn val="ctr"/>
        <c:lblOffset val="100"/>
      </c:catAx>
      <c:valAx>
        <c:axId val="18693068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92915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am satisfied with the speed and efficiency that outages (times when production is down) were resolved.</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Data'!$R$16:$R$21</c:f>
              <c:numCache>
                <c:formatCode>General</c:formatCode>
                <c:ptCount val="6"/>
                <c:pt idx="0">
                  <c:v>0</c:v>
                </c:pt>
                <c:pt idx="1">
                  <c:v>0</c:v>
                </c:pt>
                <c:pt idx="2">
                  <c:v>0</c:v>
                </c:pt>
                <c:pt idx="3">
                  <c:v>0</c:v>
                </c:pt>
                <c:pt idx="4">
                  <c:v>0</c:v>
                </c:pt>
                <c:pt idx="5">
                  <c:v>0</c:v>
                </c:pt>
              </c:numCache>
            </c:numRef>
          </c:val>
        </c:ser>
        <c:axId val="186967552"/>
        <c:axId val="186969088"/>
      </c:barChart>
      <c:catAx>
        <c:axId val="18696755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969088"/>
        <c:crosses val="autoZero"/>
        <c:auto val="1"/>
        <c:lblAlgn val="ctr"/>
        <c:lblOffset val="100"/>
      </c:catAx>
      <c:valAx>
        <c:axId val="18696908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96755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IT performed adequate research and performed effective and timely follow up when requested.</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Data'!$T$16:$T$21</c:f>
              <c:numCache>
                <c:formatCode>General</c:formatCode>
                <c:ptCount val="6"/>
                <c:pt idx="0">
                  <c:v>0</c:v>
                </c:pt>
                <c:pt idx="1">
                  <c:v>0</c:v>
                </c:pt>
                <c:pt idx="2">
                  <c:v>0</c:v>
                </c:pt>
                <c:pt idx="3">
                  <c:v>0</c:v>
                </c:pt>
                <c:pt idx="4">
                  <c:v>0</c:v>
                </c:pt>
                <c:pt idx="5">
                  <c:v>0</c:v>
                </c:pt>
              </c:numCache>
            </c:numRef>
          </c:val>
        </c:ser>
        <c:axId val="186866688"/>
        <c:axId val="186880768"/>
      </c:barChart>
      <c:catAx>
        <c:axId val="1868666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6880768"/>
        <c:crosses val="autoZero"/>
        <c:auto val="1"/>
        <c:lblAlgn val="ctr"/>
        <c:lblOffset val="100"/>
      </c:catAx>
      <c:valAx>
        <c:axId val="1868807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686668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IT staff provided support in a professional and courteous manner and considered input and suggestions from others.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Data'!$V$16:$V$21</c:f>
              <c:numCache>
                <c:formatCode>General</c:formatCode>
                <c:ptCount val="6"/>
                <c:pt idx="0">
                  <c:v>0</c:v>
                </c:pt>
                <c:pt idx="1">
                  <c:v>0</c:v>
                </c:pt>
                <c:pt idx="2">
                  <c:v>0</c:v>
                </c:pt>
                <c:pt idx="3">
                  <c:v>0</c:v>
                </c:pt>
                <c:pt idx="4">
                  <c:v>0</c:v>
                </c:pt>
                <c:pt idx="5">
                  <c:v>0</c:v>
                </c:pt>
              </c:numCache>
            </c:numRef>
          </c:val>
        </c:ser>
        <c:axId val="188035840"/>
        <c:axId val="188037376"/>
      </c:barChart>
      <c:catAx>
        <c:axId val="18803584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037376"/>
        <c:crosses val="autoZero"/>
        <c:auto val="1"/>
        <c:lblAlgn val="ctr"/>
        <c:lblOffset val="100"/>
      </c:catAx>
      <c:valAx>
        <c:axId val="18803737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03584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IT staff members are knowledgeable about my business and the applications I depend on, and they understood the impact issues can have on my business.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Data'!$X$16:$X$21</c:f>
              <c:numCache>
                <c:formatCode>General</c:formatCode>
                <c:ptCount val="6"/>
                <c:pt idx="0">
                  <c:v>0</c:v>
                </c:pt>
                <c:pt idx="1">
                  <c:v>0</c:v>
                </c:pt>
                <c:pt idx="2">
                  <c:v>0</c:v>
                </c:pt>
                <c:pt idx="3">
                  <c:v>0</c:v>
                </c:pt>
                <c:pt idx="4">
                  <c:v>0</c:v>
                </c:pt>
                <c:pt idx="5">
                  <c:v>0</c:v>
                </c:pt>
              </c:numCache>
            </c:numRef>
          </c:val>
        </c:ser>
        <c:axId val="188057856"/>
        <c:axId val="188080128"/>
      </c:barChart>
      <c:catAx>
        <c:axId val="18805785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080128"/>
        <c:crosses val="autoZero"/>
        <c:auto val="1"/>
        <c:lblAlgn val="ctr"/>
        <c:lblOffset val="100"/>
      </c:catAx>
      <c:valAx>
        <c:axId val="1880801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05785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Overall, IT communicated adequate, clear, timely and useful information to me.</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Data'!$Z$16:$Z$21</c:f>
              <c:numCache>
                <c:formatCode>General</c:formatCode>
                <c:ptCount val="6"/>
                <c:pt idx="0">
                  <c:v>0</c:v>
                </c:pt>
                <c:pt idx="1">
                  <c:v>0</c:v>
                </c:pt>
                <c:pt idx="2">
                  <c:v>0</c:v>
                </c:pt>
                <c:pt idx="3">
                  <c:v>0</c:v>
                </c:pt>
                <c:pt idx="4">
                  <c:v>0</c:v>
                </c:pt>
                <c:pt idx="5">
                  <c:v>0</c:v>
                </c:pt>
              </c:numCache>
            </c:numRef>
          </c:val>
        </c:ser>
        <c:axId val="188105088"/>
        <c:axId val="188106624"/>
      </c:barChart>
      <c:catAx>
        <c:axId val="18810508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106624"/>
        <c:crosses val="autoZero"/>
        <c:auto val="1"/>
        <c:lblAlgn val="ctr"/>
        <c:lblOffset val="100"/>
      </c:catAx>
      <c:valAx>
        <c:axId val="18810662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10508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Overall, IT did a good job managing their resources and ensuring follow-through on commitments.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Data'!$AB$16:$AB$21</c:f>
              <c:numCache>
                <c:formatCode>General</c:formatCode>
                <c:ptCount val="6"/>
                <c:pt idx="0">
                  <c:v>0</c:v>
                </c:pt>
                <c:pt idx="1">
                  <c:v>0</c:v>
                </c:pt>
                <c:pt idx="2">
                  <c:v>0</c:v>
                </c:pt>
                <c:pt idx="3">
                  <c:v>0</c:v>
                </c:pt>
                <c:pt idx="4">
                  <c:v>0</c:v>
                </c:pt>
                <c:pt idx="5">
                  <c:v>0</c:v>
                </c:pt>
              </c:numCache>
            </c:numRef>
          </c:val>
        </c:ser>
        <c:axId val="188151680"/>
        <c:axId val="188153216"/>
      </c:barChart>
      <c:catAx>
        <c:axId val="1881516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153216"/>
        <c:crosses val="autoZero"/>
        <c:auto val="1"/>
        <c:lblAlgn val="ctr"/>
        <c:lblOffset val="100"/>
      </c:catAx>
      <c:valAx>
        <c:axId val="1881532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15168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Overall, I am satisfied with IT staff's support of production applications.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Data'!$AD$16:$AD$21</c:f>
              <c:numCache>
                <c:formatCode>General</c:formatCode>
                <c:ptCount val="6"/>
                <c:pt idx="0">
                  <c:v>0</c:v>
                </c:pt>
                <c:pt idx="1">
                  <c:v>0</c:v>
                </c:pt>
                <c:pt idx="2">
                  <c:v>0</c:v>
                </c:pt>
                <c:pt idx="3">
                  <c:v>0</c:v>
                </c:pt>
                <c:pt idx="4">
                  <c:v>0</c:v>
                </c:pt>
                <c:pt idx="5">
                  <c:v>0</c:v>
                </c:pt>
              </c:numCache>
            </c:numRef>
          </c:val>
        </c:ser>
        <c:axId val="188190080"/>
        <c:axId val="188191872"/>
      </c:barChart>
      <c:catAx>
        <c:axId val="1881900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191872"/>
        <c:crosses val="autoZero"/>
        <c:auto val="1"/>
        <c:lblAlgn val="ctr"/>
        <c:lblOffset val="100"/>
      </c:catAx>
      <c:valAx>
        <c:axId val="18819187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19008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IT properly managed deployments, including deployments that were dependent on other App Team deployments.</a:t>
            </a:r>
          </a:p>
          <a:p>
            <a:pPr>
              <a:defRPr sz="1200" b="1" i="0" u="none" strike="noStrike" baseline="0">
                <a:latin typeface="Arial"/>
                <a:ea typeface="Arial"/>
                <a:cs typeface="Arial"/>
              </a:defRPr>
            </a:pPr>
            <a:r>
              <a:rPr lang="en-US"/>
              <a:t> (0.0 +/- 0.0)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'Business Survey Data'!$E$16:$E$21</c:f>
              <c:strCache>
                <c:ptCount val="6"/>
                <c:pt idx="0">
                  <c:v>Strongly Agree</c:v>
                </c:pt>
                <c:pt idx="1">
                  <c:v>Agree</c:v>
                </c:pt>
                <c:pt idx="2">
                  <c:v>Neutral</c:v>
                </c:pt>
                <c:pt idx="3">
                  <c:v>Disagree</c:v>
                </c:pt>
                <c:pt idx="4">
                  <c:v>Strongly Disagree</c:v>
                </c:pt>
                <c:pt idx="5">
                  <c:v>Not Applicable</c:v>
                </c:pt>
              </c:strCache>
            </c:strRef>
          </c:cat>
          <c:val>
            <c:numRef>
              <c:f>'Business Survey Data'!$AF$16:$AF$21</c:f>
              <c:numCache>
                <c:formatCode>General</c:formatCode>
                <c:ptCount val="6"/>
                <c:pt idx="0">
                  <c:v>0</c:v>
                </c:pt>
                <c:pt idx="1">
                  <c:v>0</c:v>
                </c:pt>
                <c:pt idx="2">
                  <c:v>0</c:v>
                </c:pt>
                <c:pt idx="3">
                  <c:v>0</c:v>
                </c:pt>
                <c:pt idx="4">
                  <c:v>0</c:v>
                </c:pt>
                <c:pt idx="5">
                  <c:v>0</c:v>
                </c:pt>
              </c:numCache>
            </c:numRef>
          </c:val>
        </c:ser>
        <c:axId val="188212736"/>
        <c:axId val="188214272"/>
      </c:barChart>
      <c:catAx>
        <c:axId val="18821273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214272"/>
        <c:crosses val="autoZero"/>
        <c:auto val="1"/>
        <c:lblAlgn val="ctr"/>
        <c:lblOffset val="100"/>
      </c:catAx>
      <c:valAx>
        <c:axId val="188214272"/>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21273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Q1 - The recognition I receive is appropriate for the contributions that I make.</a:t>
            </a:r>
          </a:p>
          <a:p>
            <a:pPr>
              <a:defRPr sz="1200" b="1" i="0" u="none" strike="noStrike" baseline="0">
                <a:latin typeface="Arial"/>
                <a:ea typeface="Arial"/>
                <a:cs typeface="Arial"/>
              </a:defRPr>
            </a:pPr>
            <a:r>
              <a:rPr lang="en-US"/>
              <a:t> (3.8 +/- 0.8)</a:t>
            </a:r>
            <a:endParaRPr/>
          </a:p>
        </c:rich>
      </c:tx>
      <c:layout/>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Data'!$F$16:$F$21</c:f>
              <c:numCache>
                <c:formatCode>General</c:formatCode>
                <c:ptCount val="6"/>
                <c:pt idx="0">
                  <c:v>1</c:v>
                </c:pt>
                <c:pt idx="1">
                  <c:v>3</c:v>
                </c:pt>
                <c:pt idx="2">
                  <c:v>0</c:v>
                </c:pt>
                <c:pt idx="3">
                  <c:v>0</c:v>
                </c:pt>
                <c:pt idx="4">
                  <c:v>0</c:v>
                </c:pt>
                <c:pt idx="5">
                  <c:v>0</c:v>
                </c:pt>
              </c:numCache>
            </c:numRef>
          </c:val>
        </c:ser>
        <c:axId val="188690816"/>
        <c:axId val="188692352"/>
      </c:barChart>
      <c:catAx>
        <c:axId val="18869081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692352"/>
        <c:crosses val="autoZero"/>
        <c:auto val="1"/>
        <c:lblAlgn val="ctr"/>
        <c:lblOffset val="100"/>
      </c:catAx>
      <c:valAx>
        <c:axId val="188692352"/>
        <c:scaling>
          <c:orientation val="minMax"/>
          <c:min val="0"/>
        </c:scaling>
        <c:axPos val="l"/>
        <c:majorGridlines/>
        <c:title>
          <c:tx>
            <c:rich>
              <a:bodyPr rot="-5400000" vert="horz"/>
              <a:lstStyle/>
              <a:p>
                <a:pPr>
                  <a:defRPr/>
                </a:pPr>
                <a:r>
                  <a:rPr lang="en-US"/>
                  <a:t># of Responses</a:t>
                </a:r>
              </a:p>
            </c:rich>
          </c:tx>
          <c:layout/>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69081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Q2 - I am aware of the options available to express my opinion and feel it is taken into account.</a:t>
            </a:r>
          </a:p>
          <a:p>
            <a:pPr>
              <a:defRPr sz="1200" b="1" i="0" u="none" strike="noStrike" baseline="0">
                <a:latin typeface="Arial"/>
                <a:ea typeface="Arial"/>
                <a:cs typeface="Arial"/>
              </a:defRPr>
            </a:pPr>
            <a:r>
              <a:rPr lang="en-US"/>
              <a:t> (3.9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Data'!$H$16:$H$21</c:f>
              <c:numCache>
                <c:formatCode>General</c:formatCode>
                <c:ptCount val="6"/>
                <c:pt idx="0">
                  <c:v>0</c:v>
                </c:pt>
                <c:pt idx="1">
                  <c:v>4</c:v>
                </c:pt>
                <c:pt idx="2">
                  <c:v>0</c:v>
                </c:pt>
                <c:pt idx="3">
                  <c:v>0</c:v>
                </c:pt>
                <c:pt idx="4">
                  <c:v>0</c:v>
                </c:pt>
                <c:pt idx="5">
                  <c:v>0</c:v>
                </c:pt>
              </c:numCache>
            </c:numRef>
          </c:val>
        </c:ser>
        <c:axId val="188716928"/>
        <c:axId val="188718464"/>
      </c:barChart>
      <c:catAx>
        <c:axId val="18871692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718464"/>
        <c:crosses val="autoZero"/>
        <c:auto val="1"/>
        <c:lblAlgn val="ctr"/>
        <c:lblOffset val="100"/>
      </c:catAx>
      <c:valAx>
        <c:axId val="18871846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71692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Q3 - I am adequately trained to do my job.</a:t>
            </a:r>
          </a:p>
          <a:p>
            <a:pPr>
              <a:defRPr sz="1200" b="1" i="0" u="none" strike="noStrike" baseline="0">
                <a:latin typeface="Arial"/>
                <a:ea typeface="Arial"/>
                <a:cs typeface="Arial"/>
              </a:defRPr>
            </a:pPr>
            <a:r>
              <a:rPr lang="en-US"/>
              <a:t> (3.8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Data'!$J$16:$J$21</c:f>
              <c:numCache>
                <c:formatCode>General</c:formatCode>
                <c:ptCount val="6"/>
                <c:pt idx="0">
                  <c:v>0</c:v>
                </c:pt>
                <c:pt idx="1">
                  <c:v>4</c:v>
                </c:pt>
                <c:pt idx="2">
                  <c:v>0</c:v>
                </c:pt>
                <c:pt idx="3">
                  <c:v>0</c:v>
                </c:pt>
                <c:pt idx="4">
                  <c:v>0</c:v>
                </c:pt>
                <c:pt idx="5">
                  <c:v>0</c:v>
                </c:pt>
              </c:numCache>
            </c:numRef>
          </c:val>
        </c:ser>
        <c:axId val="188759424"/>
        <c:axId val="188773504"/>
      </c:barChart>
      <c:catAx>
        <c:axId val="18875942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773504"/>
        <c:crosses val="autoZero"/>
        <c:auto val="1"/>
        <c:lblAlgn val="ctr"/>
        <c:lblOffset val="100"/>
      </c:catAx>
      <c:valAx>
        <c:axId val="1887735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759424"/>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Q4 - I feel am adequately trained to apply the LDM to my work.</a:t>
            </a:r>
          </a:p>
          <a:p>
            <a:pPr>
              <a:defRPr sz="1200" b="1" i="0" u="none" strike="noStrike" baseline="0">
                <a:latin typeface="Arial"/>
                <a:ea typeface="Arial"/>
                <a:cs typeface="Arial"/>
              </a:defRPr>
            </a:pPr>
            <a:r>
              <a:rPr lang="en-US"/>
              <a:t> (4.0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Data'!$L$16:$L$21</c:f>
              <c:numCache>
                <c:formatCode>General</c:formatCode>
                <c:ptCount val="6"/>
                <c:pt idx="0">
                  <c:v>0</c:v>
                </c:pt>
                <c:pt idx="1">
                  <c:v>2</c:v>
                </c:pt>
                <c:pt idx="2">
                  <c:v>1</c:v>
                </c:pt>
                <c:pt idx="3">
                  <c:v>1</c:v>
                </c:pt>
                <c:pt idx="4">
                  <c:v>0</c:v>
                </c:pt>
                <c:pt idx="5">
                  <c:v>0</c:v>
                </c:pt>
              </c:numCache>
            </c:numRef>
          </c:val>
        </c:ser>
        <c:axId val="188798080"/>
        <c:axId val="188799616"/>
      </c:barChart>
      <c:catAx>
        <c:axId val="18879808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799616"/>
        <c:crosses val="autoZero"/>
        <c:auto val="1"/>
        <c:lblAlgn val="ctr"/>
        <c:lblOffset val="100"/>
      </c:catAx>
      <c:valAx>
        <c:axId val="18879961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79808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Q5 - I have the tools, materials and equipment to accomplish my job.</a:t>
            </a:r>
          </a:p>
          <a:p>
            <a:pPr>
              <a:defRPr sz="1200" b="1" i="0" u="none" strike="noStrike" baseline="0">
                <a:latin typeface="Arial"/>
                <a:ea typeface="Arial"/>
                <a:cs typeface="Arial"/>
              </a:defRPr>
            </a:pPr>
            <a:r>
              <a:rPr lang="en-US"/>
              <a:t> (4.0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Data'!$N$16:$N$21</c:f>
              <c:numCache>
                <c:formatCode>General</c:formatCode>
                <c:ptCount val="6"/>
                <c:pt idx="0">
                  <c:v>0</c:v>
                </c:pt>
                <c:pt idx="1">
                  <c:v>4</c:v>
                </c:pt>
                <c:pt idx="2">
                  <c:v>0</c:v>
                </c:pt>
                <c:pt idx="3">
                  <c:v>0</c:v>
                </c:pt>
                <c:pt idx="4">
                  <c:v>0</c:v>
                </c:pt>
                <c:pt idx="5">
                  <c:v>0</c:v>
                </c:pt>
              </c:numCache>
            </c:numRef>
          </c:val>
        </c:ser>
        <c:axId val="188832384"/>
        <c:axId val="188842368"/>
      </c:barChart>
      <c:catAx>
        <c:axId val="18883238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842368"/>
        <c:crosses val="autoZero"/>
        <c:auto val="1"/>
        <c:lblAlgn val="ctr"/>
        <c:lblOffset val="100"/>
      </c:catAx>
      <c:valAx>
        <c:axId val="18884236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832384"/>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Q6 - I understand and support the Life IT Vision and Mission.</a:t>
            </a:r>
          </a:p>
          <a:p>
            <a:pPr>
              <a:defRPr sz="1200" b="1" i="0" u="none" strike="noStrike" baseline="0">
                <a:latin typeface="Arial"/>
                <a:ea typeface="Arial"/>
                <a:cs typeface="Arial"/>
              </a:defRPr>
            </a:pPr>
            <a:r>
              <a:rPr lang="en-US"/>
              <a:t> (4.3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Data'!$P$16:$P$21</c:f>
              <c:numCache>
                <c:formatCode>General</c:formatCode>
                <c:ptCount val="6"/>
                <c:pt idx="0">
                  <c:v>0</c:v>
                </c:pt>
                <c:pt idx="1">
                  <c:v>4</c:v>
                </c:pt>
                <c:pt idx="2">
                  <c:v>0</c:v>
                </c:pt>
                <c:pt idx="3">
                  <c:v>0</c:v>
                </c:pt>
                <c:pt idx="4">
                  <c:v>0</c:v>
                </c:pt>
                <c:pt idx="5">
                  <c:v>0</c:v>
                </c:pt>
              </c:numCache>
            </c:numRef>
          </c:val>
        </c:ser>
        <c:axId val="188952960"/>
        <c:axId val="188954496"/>
      </c:barChart>
      <c:catAx>
        <c:axId val="18895296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954496"/>
        <c:crosses val="autoZero"/>
        <c:auto val="1"/>
        <c:lblAlgn val="ctr"/>
        <c:lblOffset val="100"/>
      </c:catAx>
      <c:valAx>
        <c:axId val="1889544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95296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Q7 - I understand my customers and their expectations of me and my team.</a:t>
            </a:r>
          </a:p>
          <a:p>
            <a:pPr>
              <a:defRPr sz="1200" b="1" i="0" u="none" strike="noStrike" baseline="0">
                <a:latin typeface="Arial"/>
                <a:ea typeface="Arial"/>
                <a:cs typeface="Arial"/>
              </a:defRPr>
            </a:pPr>
            <a:r>
              <a:rPr lang="en-US"/>
              <a:t> (4.3 +/- 0.6)</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Data'!$R$16:$R$21</c:f>
              <c:numCache>
                <c:formatCode>General</c:formatCode>
                <c:ptCount val="6"/>
                <c:pt idx="0">
                  <c:v>1</c:v>
                </c:pt>
                <c:pt idx="1">
                  <c:v>3</c:v>
                </c:pt>
                <c:pt idx="2">
                  <c:v>0</c:v>
                </c:pt>
                <c:pt idx="3">
                  <c:v>0</c:v>
                </c:pt>
                <c:pt idx="4">
                  <c:v>0</c:v>
                </c:pt>
                <c:pt idx="5">
                  <c:v>0</c:v>
                </c:pt>
              </c:numCache>
            </c:numRef>
          </c:val>
        </c:ser>
        <c:axId val="188950400"/>
        <c:axId val="188951936"/>
      </c:barChart>
      <c:catAx>
        <c:axId val="18895040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8951936"/>
        <c:crosses val="autoZero"/>
        <c:auto val="1"/>
        <c:lblAlgn val="ctr"/>
        <c:lblOffset val="100"/>
      </c:catAx>
      <c:valAx>
        <c:axId val="18895193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895040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Q8 - I understand my job responsibilities and work related roles.</a:t>
            </a:r>
          </a:p>
          <a:p>
            <a:pPr>
              <a:defRPr sz="1200" b="1" i="0" u="none" strike="noStrike" baseline="0">
                <a:latin typeface="Arial"/>
                <a:ea typeface="Arial"/>
                <a:cs typeface="Arial"/>
              </a:defRPr>
            </a:pPr>
            <a:r>
              <a:rPr lang="en-US"/>
              <a:t> (4.4 +/- 0.5)</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Data'!$T$16:$T$21</c:f>
              <c:numCache>
                <c:formatCode>General</c:formatCode>
                <c:ptCount val="6"/>
                <c:pt idx="0">
                  <c:v>1</c:v>
                </c:pt>
                <c:pt idx="1">
                  <c:v>3</c:v>
                </c:pt>
                <c:pt idx="2">
                  <c:v>0</c:v>
                </c:pt>
                <c:pt idx="3">
                  <c:v>0</c:v>
                </c:pt>
                <c:pt idx="4">
                  <c:v>0</c:v>
                </c:pt>
                <c:pt idx="5">
                  <c:v>0</c:v>
                </c:pt>
              </c:numCache>
            </c:numRef>
          </c:val>
        </c:ser>
        <c:axId val="189025664"/>
        <c:axId val="189035648"/>
      </c:barChart>
      <c:catAx>
        <c:axId val="18902566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035648"/>
        <c:crosses val="autoZero"/>
        <c:auto val="1"/>
        <c:lblAlgn val="ctr"/>
        <c:lblOffset val="100"/>
      </c:catAx>
      <c:valAx>
        <c:axId val="1890356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025664"/>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Q9 - I understand how I am being evaluated.</a:t>
            </a:r>
          </a:p>
          <a:p>
            <a:pPr>
              <a:defRPr sz="1200" b="1" i="0" u="none" strike="noStrike" baseline="0">
                <a:latin typeface="Arial"/>
                <a:ea typeface="Arial"/>
                <a:cs typeface="Arial"/>
              </a:defRPr>
            </a:pPr>
            <a:r>
              <a:rPr lang="en-US"/>
              <a:t> (3.9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Data'!$V$16:$V$21</c:f>
              <c:numCache>
                <c:formatCode>General</c:formatCode>
                <c:ptCount val="6"/>
                <c:pt idx="0">
                  <c:v>1</c:v>
                </c:pt>
                <c:pt idx="1">
                  <c:v>3</c:v>
                </c:pt>
                <c:pt idx="2">
                  <c:v>0</c:v>
                </c:pt>
                <c:pt idx="3">
                  <c:v>0</c:v>
                </c:pt>
                <c:pt idx="4">
                  <c:v>0</c:v>
                </c:pt>
                <c:pt idx="5">
                  <c:v>0</c:v>
                </c:pt>
              </c:numCache>
            </c:numRef>
          </c:val>
        </c:ser>
        <c:axId val="189064320"/>
        <c:axId val="189065856"/>
      </c:barChart>
      <c:catAx>
        <c:axId val="18906432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065856"/>
        <c:crosses val="autoZero"/>
        <c:auto val="1"/>
        <c:lblAlgn val="ctr"/>
        <c:lblOffset val="100"/>
      </c:catAx>
      <c:valAx>
        <c:axId val="18906585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06432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Q10 - I feel that I meet frequently enough with my supervisor to discuss and review my performance.</a:t>
            </a:r>
          </a:p>
          <a:p>
            <a:pPr>
              <a:defRPr sz="1200" b="1" i="0" u="none" strike="noStrike" baseline="0">
                <a:latin typeface="Arial"/>
                <a:ea typeface="Arial"/>
                <a:cs typeface="Arial"/>
              </a:defRPr>
            </a:pPr>
            <a:r>
              <a:rPr lang="en-US"/>
              <a:t> (4.1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Data'!$X$16:$X$21</c:f>
              <c:numCache>
                <c:formatCode>General</c:formatCode>
                <c:ptCount val="6"/>
                <c:pt idx="0">
                  <c:v>2</c:v>
                </c:pt>
                <c:pt idx="1">
                  <c:v>0</c:v>
                </c:pt>
                <c:pt idx="2">
                  <c:v>2</c:v>
                </c:pt>
                <c:pt idx="3">
                  <c:v>0</c:v>
                </c:pt>
                <c:pt idx="4">
                  <c:v>0</c:v>
                </c:pt>
                <c:pt idx="5">
                  <c:v>0</c:v>
                </c:pt>
              </c:numCache>
            </c:numRef>
          </c:val>
        </c:ser>
        <c:axId val="189106816"/>
        <c:axId val="189112704"/>
      </c:barChart>
      <c:catAx>
        <c:axId val="18910681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112704"/>
        <c:crosses val="autoZero"/>
        <c:auto val="1"/>
        <c:lblAlgn val="ctr"/>
        <c:lblOffset val="100"/>
      </c:catAx>
      <c:valAx>
        <c:axId val="1891127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10681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Q11 - My supervisor communicates effectively with me.</a:t>
            </a:r>
          </a:p>
          <a:p>
            <a:pPr>
              <a:defRPr sz="1200" b="1" i="0" u="none" strike="noStrike" baseline="0">
                <a:latin typeface="Arial"/>
                <a:ea typeface="Arial"/>
                <a:cs typeface="Arial"/>
              </a:defRPr>
            </a:pPr>
            <a:r>
              <a:rPr lang="en-US"/>
              <a:t> (4.2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Data'!$Z$16:$Z$21</c:f>
              <c:numCache>
                <c:formatCode>General</c:formatCode>
                <c:ptCount val="6"/>
                <c:pt idx="0">
                  <c:v>1</c:v>
                </c:pt>
                <c:pt idx="1">
                  <c:v>3</c:v>
                </c:pt>
                <c:pt idx="2">
                  <c:v>0</c:v>
                </c:pt>
                <c:pt idx="3">
                  <c:v>0</c:v>
                </c:pt>
                <c:pt idx="4">
                  <c:v>0</c:v>
                </c:pt>
                <c:pt idx="5">
                  <c:v>0</c:v>
                </c:pt>
              </c:numCache>
            </c:numRef>
          </c:val>
        </c:ser>
        <c:axId val="189149568"/>
        <c:axId val="189151104"/>
      </c:barChart>
      <c:catAx>
        <c:axId val="18914956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151104"/>
        <c:crosses val="autoZero"/>
        <c:auto val="1"/>
        <c:lblAlgn val="ctr"/>
        <c:lblOffset val="100"/>
      </c:catAx>
      <c:valAx>
        <c:axId val="18915110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14956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Q12 - I have sufficient access to my supervisor to meet my needs.</a:t>
            </a:r>
          </a:p>
          <a:p>
            <a:pPr>
              <a:defRPr sz="1200" b="1" i="0" u="none" strike="noStrike" baseline="0">
                <a:latin typeface="Arial"/>
                <a:ea typeface="Arial"/>
                <a:cs typeface="Arial"/>
              </a:defRPr>
            </a:pPr>
            <a:r>
              <a:rPr lang="en-US"/>
              <a:t> (4.3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Data'!$AB$16:$AB$21</c:f>
              <c:numCache>
                <c:formatCode>General</c:formatCode>
                <c:ptCount val="6"/>
                <c:pt idx="0">
                  <c:v>1</c:v>
                </c:pt>
                <c:pt idx="1">
                  <c:v>2</c:v>
                </c:pt>
                <c:pt idx="2">
                  <c:v>1</c:v>
                </c:pt>
                <c:pt idx="3">
                  <c:v>0</c:v>
                </c:pt>
                <c:pt idx="4">
                  <c:v>0</c:v>
                </c:pt>
                <c:pt idx="5">
                  <c:v>0</c:v>
                </c:pt>
              </c:numCache>
            </c:numRef>
          </c:val>
        </c:ser>
        <c:axId val="189110144"/>
        <c:axId val="189111680"/>
      </c:barChart>
      <c:catAx>
        <c:axId val="189110144"/>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111680"/>
        <c:crosses val="autoZero"/>
        <c:auto val="1"/>
        <c:lblAlgn val="ctr"/>
        <c:lblOffset val="100"/>
      </c:catAx>
      <c:valAx>
        <c:axId val="189111680"/>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110144"/>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Q13 - My team is able to appropriately size and tailor the LDM for the kinds of work we do.</a:t>
            </a:r>
          </a:p>
          <a:p>
            <a:pPr>
              <a:defRPr sz="1200" b="1" i="0" u="none" strike="noStrike" baseline="0">
                <a:latin typeface="Arial"/>
                <a:ea typeface="Arial"/>
                <a:cs typeface="Arial"/>
              </a:defRPr>
            </a:pPr>
            <a:r>
              <a:rPr lang="en-US"/>
              <a:t> (3.8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Data'!$AD$16:$AD$21</c:f>
              <c:numCache>
                <c:formatCode>General</c:formatCode>
                <c:ptCount val="6"/>
                <c:pt idx="0">
                  <c:v>0</c:v>
                </c:pt>
                <c:pt idx="1">
                  <c:v>1</c:v>
                </c:pt>
                <c:pt idx="2">
                  <c:v>0</c:v>
                </c:pt>
                <c:pt idx="3">
                  <c:v>0</c:v>
                </c:pt>
                <c:pt idx="4">
                  <c:v>0</c:v>
                </c:pt>
                <c:pt idx="5">
                  <c:v>3</c:v>
                </c:pt>
              </c:numCache>
            </c:numRef>
          </c:val>
        </c:ser>
        <c:axId val="189218176"/>
        <c:axId val="189240448"/>
      </c:barChart>
      <c:catAx>
        <c:axId val="189218176"/>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240448"/>
        <c:crosses val="autoZero"/>
        <c:auto val="1"/>
        <c:lblAlgn val="ctr"/>
        <c:lblOffset val="100"/>
      </c:catAx>
      <c:valAx>
        <c:axId val="18924044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218176"/>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Q14 - The LDM enables me and my team be more effective in the work we perform.</a:t>
            </a:r>
          </a:p>
          <a:p>
            <a:pPr>
              <a:defRPr sz="1200" b="1" i="0" u="none" strike="noStrike" baseline="0">
                <a:latin typeface="Arial"/>
                <a:ea typeface="Arial"/>
                <a:cs typeface="Arial"/>
              </a:defRPr>
            </a:pPr>
            <a:r>
              <a:rPr lang="en-US"/>
              <a:t> (3.7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Data'!$AF$16:$AF$21</c:f>
              <c:numCache>
                <c:formatCode>General</c:formatCode>
                <c:ptCount val="6"/>
                <c:pt idx="0">
                  <c:v>0</c:v>
                </c:pt>
                <c:pt idx="1">
                  <c:v>1</c:v>
                </c:pt>
                <c:pt idx="2">
                  <c:v>0</c:v>
                </c:pt>
                <c:pt idx="3">
                  <c:v>0</c:v>
                </c:pt>
                <c:pt idx="4">
                  <c:v>0</c:v>
                </c:pt>
                <c:pt idx="5">
                  <c:v>3</c:v>
                </c:pt>
              </c:numCache>
            </c:numRef>
          </c:val>
        </c:ser>
        <c:axId val="189265408"/>
        <c:axId val="189266944"/>
      </c:barChart>
      <c:catAx>
        <c:axId val="1892654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266944"/>
        <c:crosses val="autoZero"/>
        <c:auto val="1"/>
        <c:lblAlgn val="ctr"/>
        <c:lblOffset val="100"/>
      </c:catAx>
      <c:valAx>
        <c:axId val="18926694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26540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Q15 - My work products are regularly reviewed by others.</a:t>
            </a:r>
          </a:p>
          <a:p>
            <a:pPr>
              <a:defRPr sz="1200" b="1" i="0" u="none" strike="noStrike" baseline="0">
                <a:latin typeface="Arial"/>
                <a:ea typeface="Arial"/>
                <a:cs typeface="Arial"/>
              </a:defRPr>
            </a:pPr>
            <a:r>
              <a:rPr lang="en-US"/>
              <a:t> (4.0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Data'!$AH$16:$AH$21</c:f>
              <c:numCache>
                <c:formatCode>General</c:formatCode>
                <c:ptCount val="6"/>
                <c:pt idx="0">
                  <c:v>0</c:v>
                </c:pt>
                <c:pt idx="1">
                  <c:v>2</c:v>
                </c:pt>
                <c:pt idx="2">
                  <c:v>1</c:v>
                </c:pt>
                <c:pt idx="3">
                  <c:v>0</c:v>
                </c:pt>
                <c:pt idx="4">
                  <c:v>0</c:v>
                </c:pt>
                <c:pt idx="5">
                  <c:v>1</c:v>
                </c:pt>
              </c:numCache>
            </c:numRef>
          </c:val>
        </c:ser>
        <c:axId val="189303808"/>
        <c:axId val="189309696"/>
      </c:barChart>
      <c:catAx>
        <c:axId val="1893038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309696"/>
        <c:crosses val="autoZero"/>
        <c:auto val="1"/>
        <c:lblAlgn val="ctr"/>
        <c:lblOffset val="100"/>
      </c:catAx>
      <c:valAx>
        <c:axId val="18930969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30380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Q16 - I regularly participate in the review of other people's work products.</a:t>
            </a:r>
          </a:p>
          <a:p>
            <a:pPr>
              <a:defRPr sz="1200" b="1" i="0" u="none" strike="noStrike" baseline="0">
                <a:latin typeface="Arial"/>
                <a:ea typeface="Arial"/>
                <a:cs typeface="Arial"/>
              </a:defRPr>
            </a:pPr>
            <a:r>
              <a:rPr lang="en-US"/>
              <a:t> (3.8 +/- 1.0)</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Data'!$AJ$16:$AJ$21</c:f>
              <c:numCache>
                <c:formatCode>General</c:formatCode>
                <c:ptCount val="6"/>
                <c:pt idx="0">
                  <c:v>0</c:v>
                </c:pt>
                <c:pt idx="1">
                  <c:v>1</c:v>
                </c:pt>
                <c:pt idx="2">
                  <c:v>0</c:v>
                </c:pt>
                <c:pt idx="3">
                  <c:v>0</c:v>
                </c:pt>
                <c:pt idx="4">
                  <c:v>0</c:v>
                </c:pt>
                <c:pt idx="5">
                  <c:v>3</c:v>
                </c:pt>
              </c:numCache>
            </c:numRef>
          </c:val>
        </c:ser>
        <c:axId val="189416192"/>
        <c:axId val="189417728"/>
      </c:barChart>
      <c:catAx>
        <c:axId val="18941619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417728"/>
        <c:crosses val="autoZero"/>
        <c:auto val="1"/>
        <c:lblAlgn val="ctr"/>
        <c:lblOffset val="100"/>
      </c:catAx>
      <c:valAx>
        <c:axId val="1894177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41619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Q17 - I understand how my team's Scorecard is created and the impact I can have on it.</a:t>
            </a:r>
          </a:p>
          <a:p>
            <a:pPr>
              <a:defRPr sz="1200" b="1" i="0" u="none" strike="noStrike" baseline="0">
                <a:latin typeface="Arial"/>
                <a:ea typeface="Arial"/>
                <a:cs typeface="Arial"/>
              </a:defRPr>
            </a:pPr>
            <a:r>
              <a:rPr lang="en-US"/>
              <a:t> (3.7 +/- 0.9)</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Data'!$AL$16:$AL$21</c:f>
              <c:numCache>
                <c:formatCode>General</c:formatCode>
                <c:ptCount val="6"/>
                <c:pt idx="0">
                  <c:v>0</c:v>
                </c:pt>
                <c:pt idx="1">
                  <c:v>1</c:v>
                </c:pt>
                <c:pt idx="2">
                  <c:v>0</c:v>
                </c:pt>
                <c:pt idx="3">
                  <c:v>1</c:v>
                </c:pt>
                <c:pt idx="4">
                  <c:v>0</c:v>
                </c:pt>
                <c:pt idx="5">
                  <c:v>2</c:v>
                </c:pt>
              </c:numCache>
            </c:numRef>
          </c:val>
        </c:ser>
        <c:axId val="189438208"/>
        <c:axId val="189452288"/>
      </c:barChart>
      <c:catAx>
        <c:axId val="18943820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452288"/>
        <c:crosses val="autoZero"/>
        <c:auto val="1"/>
        <c:lblAlgn val="ctr"/>
        <c:lblOffset val="100"/>
      </c:catAx>
      <c:valAx>
        <c:axId val="18945228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43820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Q18 - I feel other members of my team are working diligently and effectively.</a:t>
            </a:r>
          </a:p>
          <a:p>
            <a:pPr>
              <a:defRPr sz="1200" b="1" i="0" u="none" strike="noStrike" baseline="0">
                <a:latin typeface="Arial"/>
                <a:ea typeface="Arial"/>
                <a:cs typeface="Arial"/>
              </a:defRPr>
            </a:pPr>
            <a:r>
              <a:rPr lang="en-US"/>
              <a:t> (4.1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Data'!$AN$16:$AN$21</c:f>
              <c:numCache>
                <c:formatCode>General</c:formatCode>
                <c:ptCount val="6"/>
                <c:pt idx="0">
                  <c:v>0</c:v>
                </c:pt>
                <c:pt idx="1">
                  <c:v>2</c:v>
                </c:pt>
                <c:pt idx="2">
                  <c:v>0</c:v>
                </c:pt>
                <c:pt idx="3">
                  <c:v>0</c:v>
                </c:pt>
                <c:pt idx="4">
                  <c:v>0</c:v>
                </c:pt>
                <c:pt idx="5">
                  <c:v>2</c:v>
                </c:pt>
              </c:numCache>
            </c:numRef>
          </c:val>
        </c:ser>
        <c:axId val="189345792"/>
        <c:axId val="189347328"/>
      </c:barChart>
      <c:catAx>
        <c:axId val="189345792"/>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347328"/>
        <c:crosses val="autoZero"/>
        <c:auto val="1"/>
        <c:lblAlgn val="ctr"/>
        <c:lblOffset val="100"/>
      </c:catAx>
      <c:valAx>
        <c:axId val="189347328"/>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345792"/>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Q19 - I feel other IT teams are working diligently and effectively.</a:t>
            </a:r>
          </a:p>
          <a:p>
            <a:pPr>
              <a:defRPr sz="1200" b="1" i="0" u="none" strike="noStrike" baseline="0">
                <a:latin typeface="Arial"/>
                <a:ea typeface="Arial"/>
                <a:cs typeface="Arial"/>
              </a:defRPr>
            </a:pPr>
            <a:r>
              <a:rPr lang="en-US"/>
              <a:t> (3.7 +/- 0.7)</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Data'!$AP$16:$AP$21</c:f>
              <c:numCache>
                <c:formatCode>General</c:formatCode>
                <c:ptCount val="6"/>
                <c:pt idx="0">
                  <c:v>0</c:v>
                </c:pt>
                <c:pt idx="1">
                  <c:v>4</c:v>
                </c:pt>
                <c:pt idx="2">
                  <c:v>0</c:v>
                </c:pt>
                <c:pt idx="3">
                  <c:v>0</c:v>
                </c:pt>
                <c:pt idx="4">
                  <c:v>0</c:v>
                </c:pt>
                <c:pt idx="5">
                  <c:v>0</c:v>
                </c:pt>
              </c:numCache>
            </c:numRef>
          </c:val>
        </c:ser>
        <c:axId val="189376000"/>
        <c:axId val="189377536"/>
      </c:barChart>
      <c:catAx>
        <c:axId val="189376000"/>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377536"/>
        <c:crosses val="autoZero"/>
        <c:auto val="1"/>
        <c:lblAlgn val="ctr"/>
        <c:lblOffset val="100"/>
      </c:catAx>
      <c:valAx>
        <c:axId val="189377536"/>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376000"/>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200" b="1" i="0" u="none" strike="noStrike" baseline="0">
                <a:latin typeface="Arial"/>
                <a:ea typeface="Arial"/>
                <a:cs typeface="Arial"/>
              </a:defRPr>
            </a:pPr>
            <a:r>
              <a:rPr lang="en-US"/>
              <a:t>Q20 - When we have been dependent on work from other teams (in the last 6 months), it was delivered on time, and as committed.</a:t>
            </a:r>
          </a:p>
          <a:p>
            <a:pPr>
              <a:defRPr sz="1200" b="1" i="0" u="none" strike="noStrike" baseline="0">
                <a:latin typeface="Arial"/>
                <a:ea typeface="Arial"/>
                <a:cs typeface="Arial"/>
              </a:defRPr>
            </a:pPr>
            <a:r>
              <a:rPr lang="en-US"/>
              <a:t> (3.6 +/- 0.8)</a:t>
            </a:r>
            <a:endParaRPr/>
          </a:p>
        </c:rich>
      </c:tx>
      <c:spPr>
        <a:effectLst/>
      </c:spPr>
    </c:title>
    <c:plotArea>
      <c:layout/>
      <c:barChart>
        <c:barDir val="col"/>
        <c:grouping val="clustered"/>
        <c:ser>
          <c:idx val="0"/>
          <c:order val="0"/>
          <c:dLbls>
            <c:spPr>
              <a:effectLst/>
            </c:spPr>
            <c:txPr>
              <a:bodyPr/>
              <a:lstStyle/>
              <a:p>
                <a:pPr>
                  <a:defRPr sz="1200" b="0" i="0" u="none" strike="noStrike" baseline="0">
                    <a:latin typeface="Arial"/>
                    <a:ea typeface="Arial"/>
                    <a:cs typeface="Arial"/>
                  </a:defRPr>
                </a:pPr>
                <a:endParaRPr lang="en-US"/>
              </a:p>
            </c:txPr>
            <c:dLblPos val="outEnd"/>
            <c:showVal val="1"/>
          </c:dLbls>
          <c:cat>
            <c:strRef>
              <c:f>'IT Survey Data'!$E$16:$E$21</c:f>
              <c:strCache>
                <c:ptCount val="6"/>
                <c:pt idx="0">
                  <c:v>Strongly Agree</c:v>
                </c:pt>
                <c:pt idx="1">
                  <c:v>Agree</c:v>
                </c:pt>
                <c:pt idx="2">
                  <c:v>Neutral</c:v>
                </c:pt>
                <c:pt idx="3">
                  <c:v>Disagree</c:v>
                </c:pt>
                <c:pt idx="4">
                  <c:v>Strongly Disagree</c:v>
                </c:pt>
                <c:pt idx="5">
                  <c:v>Not Applicable</c:v>
                </c:pt>
              </c:strCache>
            </c:strRef>
          </c:cat>
          <c:val>
            <c:numRef>
              <c:f>'IT Survey Data'!$AR$16:$AR$21</c:f>
              <c:numCache>
                <c:formatCode>General</c:formatCode>
                <c:ptCount val="6"/>
                <c:pt idx="0">
                  <c:v>0</c:v>
                </c:pt>
                <c:pt idx="1">
                  <c:v>1</c:v>
                </c:pt>
                <c:pt idx="2">
                  <c:v>0</c:v>
                </c:pt>
                <c:pt idx="3">
                  <c:v>0</c:v>
                </c:pt>
                <c:pt idx="4">
                  <c:v>0</c:v>
                </c:pt>
                <c:pt idx="5">
                  <c:v>3</c:v>
                </c:pt>
              </c:numCache>
            </c:numRef>
          </c:val>
        </c:ser>
        <c:axId val="189493248"/>
        <c:axId val="189494784"/>
      </c:barChart>
      <c:catAx>
        <c:axId val="189493248"/>
        <c:scaling>
          <c:orientation val="minMax"/>
        </c:scaling>
        <c:axPos val="b"/>
        <c:tickLblPos val="nextTo"/>
        <c:spPr>
          <a:effectLst/>
        </c:spPr>
        <c:txPr>
          <a:bodyPr/>
          <a:lstStyle/>
          <a:p>
            <a:pPr>
              <a:defRPr sz="1200" b="0" i="0" u="none" strike="noStrike" baseline="0">
                <a:latin typeface="Arial"/>
                <a:ea typeface="Arial"/>
                <a:cs typeface="Arial"/>
              </a:defRPr>
            </a:pPr>
            <a:endParaRPr lang="en-US"/>
          </a:p>
        </c:txPr>
        <c:crossAx val="189494784"/>
        <c:crosses val="autoZero"/>
        <c:auto val="1"/>
        <c:lblAlgn val="ctr"/>
        <c:lblOffset val="100"/>
      </c:catAx>
      <c:valAx>
        <c:axId val="189494784"/>
        <c:scaling>
          <c:orientation val="minMax"/>
          <c:min val="0"/>
        </c:scaling>
        <c:axPos val="l"/>
        <c:majorGridlines/>
        <c:title>
          <c:tx>
            <c:rich>
              <a:bodyPr rot="-5400000" vert="horz"/>
              <a:lstStyle/>
              <a:p>
                <a:pPr>
                  <a:defRPr/>
                </a:pPr>
                <a:r>
                  <a:rPr lang="en-US"/>
                  <a:t># of Responses</a:t>
                </a:r>
              </a:p>
            </c:rich>
          </c:tx>
        </c:title>
        <c:numFmt formatCode="General" sourceLinked="1"/>
        <c:tickLblPos val="nextTo"/>
        <c:spPr>
          <a:effectLst/>
        </c:spPr>
        <c:txPr>
          <a:bodyPr/>
          <a:lstStyle/>
          <a:p>
            <a:pPr>
              <a:defRPr sz="1200" b="0" i="0" u="none" strike="noStrike" baseline="0">
                <a:latin typeface="Arial"/>
                <a:ea typeface="Arial"/>
                <a:cs typeface="Arial"/>
              </a:defRPr>
            </a:pPr>
            <a:endParaRPr lang="en-US"/>
          </a:p>
        </c:txPr>
        <c:crossAx val="189493248"/>
        <c:crosses val="autoZero"/>
        <c:crossBetween val="between"/>
        <c:minorUnit val="1"/>
      </c:valAx>
    </c:plotArea>
    <c:plotVisOnly val="1"/>
  </c:chart>
  <c:printSettings>
    <c:headerFooter/>
    <c:pageMargins b="0.75000000000000699" l="0.70000000000000062" r="0.70000000000000062" t="0.75000000000000699"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 Id="rId14" Type="http://schemas.openxmlformats.org/officeDocument/2006/relationships/chart" Target="../charts/chart15.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18" Type="http://schemas.openxmlformats.org/officeDocument/2006/relationships/chart" Target="../charts/chart33.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17" Type="http://schemas.openxmlformats.org/officeDocument/2006/relationships/chart" Target="../charts/chart32.xml"/><Relationship Id="rId2" Type="http://schemas.openxmlformats.org/officeDocument/2006/relationships/chart" Target="../charts/chart17.xml"/><Relationship Id="rId16" Type="http://schemas.openxmlformats.org/officeDocument/2006/relationships/chart" Target="../charts/chart31.xml"/><Relationship Id="rId20" Type="http://schemas.openxmlformats.org/officeDocument/2006/relationships/chart" Target="../charts/chart35.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19" Type="http://schemas.openxmlformats.org/officeDocument/2006/relationships/chart" Target="../charts/chart34.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drawing1.xml><?xml version="1.0" encoding="utf-8"?>
<xdr:wsDr xmlns:xdr="http://schemas.openxmlformats.org/drawingml/2006/spreadsheetDrawing" xmlns:a="http://schemas.openxmlformats.org/drawingml/2006/main">
  <xdr:twoCellAnchor>
    <xdr:from>
      <xdr:col>15</xdr:col>
      <xdr:colOff>0</xdr:colOff>
      <xdr:row>0</xdr:row>
      <xdr:rowOff>76199</xdr:rowOff>
    </xdr:from>
    <xdr:to>
      <xdr:col>17</xdr:col>
      <xdr:colOff>1</xdr:colOff>
      <xdr:row>4</xdr:row>
      <xdr:rowOff>66674</xdr:rowOff>
    </xdr:to>
    <xdr:sp macro="" textlink="">
      <xdr:nvSpPr>
        <xdr:cNvPr id="2" name="Rectangle 1"/>
        <xdr:cNvSpPr/>
      </xdr:nvSpPr>
      <xdr:spPr>
        <a:xfrm>
          <a:off x="8829675" y="76199"/>
          <a:ext cx="2257426" cy="962025"/>
        </a:xfrm>
        <a:prstGeom prst="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l"/>
          <a:r>
            <a:rPr lang="en-US" sz="800" baseline="0"/>
            <a:t>Use this section to map current teams to columns on the </a:t>
          </a:r>
          <a:r>
            <a:rPr lang="en-US" sz="800" b="1" baseline="0"/>
            <a:t>Scorecard - Previous Period </a:t>
          </a:r>
          <a:r>
            <a:rPr lang="en-US" sz="800" baseline="0"/>
            <a:t>worksheet</a:t>
          </a:r>
        </a:p>
        <a:p>
          <a:pPr algn="l"/>
          <a:endParaRPr lang="en-US" sz="800" baseline="0"/>
        </a:p>
        <a:p>
          <a:pPr algn="l"/>
          <a:r>
            <a:rPr lang="en-US" sz="800" baseline="0"/>
            <a:t>The </a:t>
          </a:r>
          <a:r>
            <a:rPr lang="en-US" sz="800" b="1" baseline="0"/>
            <a:t>Previous_Period_Team_Vector and Previous_Period_Value_Vector </a:t>
          </a:r>
          <a:r>
            <a:rPr lang="en-US" sz="800" baseline="0"/>
            <a:t>defined names specifiy the locations and are used in the formulas in the Previous Score column on the left</a:t>
          </a:r>
          <a:endParaRPr lang="en-US" sz="8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495299</xdr:colOff>
      <xdr:row>29</xdr:row>
      <xdr:rowOff>114300</xdr:rowOff>
    </xdr:from>
    <xdr:to>
      <xdr:col>17</xdr:col>
      <xdr:colOff>466724</xdr:colOff>
      <xdr:row>46</xdr:row>
      <xdr:rowOff>95250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22</xdr:col>
      <xdr:colOff>6705600</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225425</xdr:colOff>
      <xdr:row>0</xdr:row>
      <xdr:rowOff>12700</xdr:rowOff>
    </xdr:from>
    <xdr:to>
      <xdr:col>24</xdr:col>
      <xdr:colOff>6702425</xdr:colOff>
      <xdr:row>21</xdr:row>
      <xdr:rowOff>41275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222250</xdr:colOff>
      <xdr:row>0</xdr:row>
      <xdr:rowOff>12700</xdr:rowOff>
    </xdr:from>
    <xdr:to>
      <xdr:col>26</xdr:col>
      <xdr:colOff>6699250</xdr:colOff>
      <xdr:row>21</xdr:row>
      <xdr:rowOff>41275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219075</xdr:colOff>
      <xdr:row>0</xdr:row>
      <xdr:rowOff>12700</xdr:rowOff>
    </xdr:from>
    <xdr:to>
      <xdr:col>28</xdr:col>
      <xdr:colOff>6696075</xdr:colOff>
      <xdr:row>21</xdr:row>
      <xdr:rowOff>41275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215900</xdr:colOff>
      <xdr:row>0</xdr:row>
      <xdr:rowOff>12700</xdr:rowOff>
    </xdr:from>
    <xdr:to>
      <xdr:col>30</xdr:col>
      <xdr:colOff>6692900</xdr:colOff>
      <xdr:row>21</xdr:row>
      <xdr:rowOff>41275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212725</xdr:colOff>
      <xdr:row>0</xdr:row>
      <xdr:rowOff>12700</xdr:rowOff>
    </xdr:from>
    <xdr:to>
      <xdr:col>32</xdr:col>
      <xdr:colOff>6689725</xdr:colOff>
      <xdr:row>21</xdr:row>
      <xdr:rowOff>41275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254000</xdr:colOff>
      <xdr:row>0</xdr:row>
      <xdr:rowOff>12700</xdr:rowOff>
    </xdr:from>
    <xdr:to>
      <xdr:col>6</xdr:col>
      <xdr:colOff>6731000</xdr:colOff>
      <xdr:row>21</xdr:row>
      <xdr:rowOff>41275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250825</xdr:colOff>
      <xdr:row>0</xdr:row>
      <xdr:rowOff>12700</xdr:rowOff>
    </xdr:from>
    <xdr:to>
      <xdr:col>8</xdr:col>
      <xdr:colOff>6727825</xdr:colOff>
      <xdr:row>21</xdr:row>
      <xdr:rowOff>41275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247650</xdr:colOff>
      <xdr:row>0</xdr:row>
      <xdr:rowOff>12700</xdr:rowOff>
    </xdr:from>
    <xdr:to>
      <xdr:col>10</xdr:col>
      <xdr:colOff>6724650</xdr:colOff>
      <xdr:row>21</xdr:row>
      <xdr:rowOff>41275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244475</xdr:colOff>
      <xdr:row>0</xdr:row>
      <xdr:rowOff>12700</xdr:rowOff>
    </xdr:from>
    <xdr:to>
      <xdr:col>12</xdr:col>
      <xdr:colOff>6721475</xdr:colOff>
      <xdr:row>21</xdr:row>
      <xdr:rowOff>41275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241300</xdr:colOff>
      <xdr:row>0</xdr:row>
      <xdr:rowOff>12700</xdr:rowOff>
    </xdr:from>
    <xdr:to>
      <xdr:col>14</xdr:col>
      <xdr:colOff>6718300</xdr:colOff>
      <xdr:row>21</xdr:row>
      <xdr:rowOff>41275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238125</xdr:colOff>
      <xdr:row>0</xdr:row>
      <xdr:rowOff>12700</xdr:rowOff>
    </xdr:from>
    <xdr:to>
      <xdr:col>16</xdr:col>
      <xdr:colOff>6715125</xdr:colOff>
      <xdr:row>21</xdr:row>
      <xdr:rowOff>41275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234950</xdr:colOff>
      <xdr:row>0</xdr:row>
      <xdr:rowOff>12700</xdr:rowOff>
    </xdr:from>
    <xdr:to>
      <xdr:col>18</xdr:col>
      <xdr:colOff>6711950</xdr:colOff>
      <xdr:row>21</xdr:row>
      <xdr:rowOff>41275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19</xdr:col>
      <xdr:colOff>231775</xdr:colOff>
      <xdr:row>0</xdr:row>
      <xdr:rowOff>12700</xdr:rowOff>
    </xdr:from>
    <xdr:to>
      <xdr:col>20</xdr:col>
      <xdr:colOff>6708775</xdr:colOff>
      <xdr:row>21</xdr:row>
      <xdr:rowOff>41275</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21</xdr:col>
      <xdr:colOff>228600</xdr:colOff>
      <xdr:row>0</xdr:row>
      <xdr:rowOff>12700</xdr:rowOff>
    </xdr:from>
    <xdr:to>
      <xdr:col>22</xdr:col>
      <xdr:colOff>6705600</xdr:colOff>
      <xdr:row>21</xdr:row>
      <xdr:rowOff>41275</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23</xdr:col>
      <xdr:colOff>225425</xdr:colOff>
      <xdr:row>0</xdr:row>
      <xdr:rowOff>12700</xdr:rowOff>
    </xdr:from>
    <xdr:to>
      <xdr:col>24</xdr:col>
      <xdr:colOff>6702425</xdr:colOff>
      <xdr:row>21</xdr:row>
      <xdr:rowOff>41275</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222250</xdr:colOff>
      <xdr:row>0</xdr:row>
      <xdr:rowOff>12700</xdr:rowOff>
    </xdr:from>
    <xdr:to>
      <xdr:col>26</xdr:col>
      <xdr:colOff>6699250</xdr:colOff>
      <xdr:row>21</xdr:row>
      <xdr:rowOff>41275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27</xdr:col>
      <xdr:colOff>219075</xdr:colOff>
      <xdr:row>0</xdr:row>
      <xdr:rowOff>12700</xdr:rowOff>
    </xdr:from>
    <xdr:to>
      <xdr:col>28</xdr:col>
      <xdr:colOff>6696075</xdr:colOff>
      <xdr:row>21</xdr:row>
      <xdr:rowOff>41275</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29</xdr:col>
      <xdr:colOff>215900</xdr:colOff>
      <xdr:row>0</xdr:row>
      <xdr:rowOff>12700</xdr:rowOff>
    </xdr:from>
    <xdr:to>
      <xdr:col>30</xdr:col>
      <xdr:colOff>6692900</xdr:colOff>
      <xdr:row>21</xdr:row>
      <xdr:rowOff>41275</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31</xdr:col>
      <xdr:colOff>212725</xdr:colOff>
      <xdr:row>0</xdr:row>
      <xdr:rowOff>12700</xdr:rowOff>
    </xdr:from>
    <xdr:to>
      <xdr:col>32</xdr:col>
      <xdr:colOff>6689725</xdr:colOff>
      <xdr:row>21</xdr:row>
      <xdr:rowOff>41275</xdr:rowOff>
    </xdr:to>
    <xdr:graphicFrame macro="">
      <xdr:nvGraphicFramePr>
        <xdr:cNvPr id="15" name="Chart 1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33</xdr:col>
      <xdr:colOff>209550</xdr:colOff>
      <xdr:row>0</xdr:row>
      <xdr:rowOff>12700</xdr:rowOff>
    </xdr:from>
    <xdr:to>
      <xdr:col>34</xdr:col>
      <xdr:colOff>6686550</xdr:colOff>
      <xdr:row>21</xdr:row>
      <xdr:rowOff>41275</xdr:rowOff>
    </xdr:to>
    <xdr:graphicFrame macro="">
      <xdr:nvGraphicFramePr>
        <xdr:cNvPr id="16" name="Chart 1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35</xdr:col>
      <xdr:colOff>206375</xdr:colOff>
      <xdr:row>0</xdr:row>
      <xdr:rowOff>12700</xdr:rowOff>
    </xdr:from>
    <xdr:to>
      <xdr:col>36</xdr:col>
      <xdr:colOff>6683375</xdr:colOff>
      <xdr:row>21</xdr:row>
      <xdr:rowOff>41275</xdr:rowOff>
    </xdr:to>
    <xdr:graphicFrame macro="">
      <xdr:nvGraphicFramePr>
        <xdr:cNvPr id="17" name="Chart 1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37</xdr:col>
      <xdr:colOff>203200</xdr:colOff>
      <xdr:row>0</xdr:row>
      <xdr:rowOff>12700</xdr:rowOff>
    </xdr:from>
    <xdr:to>
      <xdr:col>38</xdr:col>
      <xdr:colOff>6680200</xdr:colOff>
      <xdr:row>21</xdr:row>
      <xdr:rowOff>41275</xdr:rowOff>
    </xdr:to>
    <xdr:graphicFrame macro="">
      <xdr:nvGraphicFramePr>
        <xdr:cNvPr id="18" name="Chart 1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39</xdr:col>
      <xdr:colOff>200025</xdr:colOff>
      <xdr:row>0</xdr:row>
      <xdr:rowOff>12700</xdr:rowOff>
    </xdr:from>
    <xdr:to>
      <xdr:col>40</xdr:col>
      <xdr:colOff>6677025</xdr:colOff>
      <xdr:row>21</xdr:row>
      <xdr:rowOff>41275</xdr:rowOff>
    </xdr:to>
    <xdr:graphicFrame macro="">
      <xdr:nvGraphicFramePr>
        <xdr:cNvPr id="19" name="Chart 1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196850</xdr:colOff>
      <xdr:row>0</xdr:row>
      <xdr:rowOff>12700</xdr:rowOff>
    </xdr:from>
    <xdr:to>
      <xdr:col>42</xdr:col>
      <xdr:colOff>6673850</xdr:colOff>
      <xdr:row>21</xdr:row>
      <xdr:rowOff>41275</xdr:rowOff>
    </xdr:to>
    <xdr:graphicFrame macro="">
      <xdr:nvGraphicFramePr>
        <xdr:cNvPr id="20" name="Chart 1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43</xdr:col>
      <xdr:colOff>193675</xdr:colOff>
      <xdr:row>0</xdr:row>
      <xdr:rowOff>12700</xdr:rowOff>
    </xdr:from>
    <xdr:to>
      <xdr:col>44</xdr:col>
      <xdr:colOff>6670675</xdr:colOff>
      <xdr:row>21</xdr:row>
      <xdr:rowOff>41275</xdr:rowOff>
    </xdr:to>
    <xdr:graphicFrame macro="">
      <xdr:nvGraphicFramePr>
        <xdr:cNvPr id="21" name="Chart 2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104775</xdr:colOff>
      <xdr:row>1</xdr:row>
      <xdr:rowOff>76199</xdr:rowOff>
    </xdr:from>
    <xdr:to>
      <xdr:col>13</xdr:col>
      <xdr:colOff>323850</xdr:colOff>
      <xdr:row>10</xdr:row>
      <xdr:rowOff>28575</xdr:rowOff>
    </xdr:to>
    <xdr:sp macro="" textlink="">
      <xdr:nvSpPr>
        <xdr:cNvPr id="2" name="Rectangle 1"/>
        <xdr:cNvSpPr/>
      </xdr:nvSpPr>
      <xdr:spPr>
        <a:xfrm>
          <a:off x="1619250" y="238124"/>
          <a:ext cx="5648325" cy="1409701"/>
        </a:xfrm>
        <a:prstGeom prst="rect">
          <a:avLst/>
        </a:prstGeom>
      </xdr:spPr>
      <xdr:style>
        <a:lnRef idx="2">
          <a:schemeClr val="accent6"/>
        </a:lnRef>
        <a:fillRef idx="1">
          <a:schemeClr val="lt1"/>
        </a:fillRef>
        <a:effectRef idx="0">
          <a:schemeClr val="accent6"/>
        </a:effectRef>
        <a:fontRef idx="minor">
          <a:schemeClr val="dk1"/>
        </a:fontRef>
      </xdr:style>
      <xdr:txBody>
        <a:bodyPr rtlCol="0" anchor="ctr"/>
        <a:lstStyle/>
        <a:p>
          <a:pPr algn="l"/>
          <a:r>
            <a:rPr lang="en-US" sz="1100"/>
            <a:t>This sheet contains</a:t>
          </a:r>
          <a:r>
            <a:rPr lang="en-US" sz="1100" baseline="0"/>
            <a:t> the ITR data from DART.</a:t>
          </a:r>
        </a:p>
        <a:p>
          <a:pPr algn="l"/>
          <a:r>
            <a:rPr lang="en-US" sz="1100" baseline="0"/>
            <a:t>The Team Names need to be in alphabetical order.</a:t>
          </a:r>
        </a:p>
        <a:p>
          <a:pPr algn="l"/>
          <a:r>
            <a:rPr lang="en-US" sz="1100" baseline="0"/>
            <a:t>The "Lookups" sheet contains four values that control where the data is located on this sheet:</a:t>
          </a:r>
        </a:p>
        <a:p>
          <a:pPr lvl="1" algn="l"/>
          <a:r>
            <a:rPr lang="en-US" sz="1100" baseline="0"/>
            <a:t>ITR_Data_Team_Location</a:t>
          </a:r>
        </a:p>
        <a:p>
          <a:pPr lvl="1" algn="l"/>
          <a:r>
            <a:rPr lang="en-US" sz="1100" baseline="0"/>
            <a:t>ITR_Data_Open_Location</a:t>
          </a:r>
        </a:p>
        <a:p>
          <a:pPr lvl="1" algn="l"/>
          <a:r>
            <a:rPr lang="en-US" sz="1100" baseline="0"/>
            <a:t>ITR_Data_Closed_Location</a:t>
          </a:r>
        </a:p>
        <a:p>
          <a:pPr lvl="1" algn="l"/>
          <a:r>
            <a:rPr lang="en-US" sz="1100" baseline="0"/>
            <a:t>ITR_Data_Backlog_Location</a:t>
          </a:r>
        </a:p>
        <a:p>
          <a:pPr lvl="0" algn="l"/>
          <a:r>
            <a:rPr lang="en-US" sz="1100" baseline="0"/>
            <a:t>Data may be entered into the green shaded cells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Technology%20Office\IT%20Balanced%20Scorecard\Results\2006%20H2\Scorecard%20Processor%202006%202H.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RHODES\AppData\Roaming\Microsoft\Excel\IT%20Producer%20Status%20Report%202007-05-25.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Table of Contents"/>
      <sheetName val="Scorecard - Individual Team"/>
      <sheetName val="Scorecard - All Teams"/>
      <sheetName val="Budget Rollup"/>
      <sheetName val="Survey Rollup"/>
      <sheetName val="Survey Mapping"/>
      <sheetName val="IT Survey - All Teams"/>
      <sheetName val="Business Survey - All Teams"/>
      <sheetName val="Partner Survey - All Teams"/>
      <sheetName val="Lookups"/>
      <sheetName val="Partner Survey Questions"/>
      <sheetName val="Partner Survey Data"/>
      <sheetName val="Partner Survey Data (1)"/>
      <sheetName val="Business Survey Questions"/>
      <sheetName val="Business Survey Data"/>
      <sheetName val="IT Survey Questions"/>
      <sheetName val="IT Survey Data"/>
      <sheetName val="IT Sales On-Time Data"/>
      <sheetName val="eBusiness On-Time Data"/>
      <sheetName val="IT Finance On-Time Data"/>
      <sheetName val="IT Producer On-Time Delivery"/>
      <sheetName val="Product Admin On-Time Delivery"/>
      <sheetName val="Workflow On-Time Data"/>
      <sheetName val="Viewpoint On-Time Delivery"/>
      <sheetName val="IT Service On-Time Delivery"/>
      <sheetName val="On-Time Delivery Data"/>
      <sheetName val="Budget Variance Data"/>
      <sheetName val="ITR Data"/>
      <sheetName val="Scorecard Processor 2006 2H"/>
    </sheetNames>
    <definedNames>
      <definedName name="Survey_Period" refersTo="='Scorecard - Individual Team'!$E$2"/>
    </definedNames>
    <sheetDataSet>
      <sheetData sheetId="0" refreshError="1"/>
      <sheetData sheetId="1">
        <row r="2">
          <cell r="E2" t="str">
            <v>H2 2006</v>
          </cell>
        </row>
      </sheetData>
      <sheetData sheetId="2"/>
      <sheetData sheetId="3" refreshError="1"/>
      <sheetData sheetId="4" refreshError="1"/>
      <sheetData sheetId="5" refreshError="1"/>
      <sheetData sheetId="6" refreshError="1"/>
      <sheetData sheetId="7" refreshError="1"/>
      <sheetData sheetId="8" refreshError="1"/>
      <sheetData sheetId="9">
        <row r="5">
          <cell r="B5" t="str">
            <v>All IT</v>
          </cell>
        </row>
        <row r="6">
          <cell r="B6" t="str">
            <v>Data Services</v>
          </cell>
          <cell r="C6" t="str">
            <v>Christian Berke</v>
          </cell>
        </row>
        <row r="7">
          <cell r="B7" t="str">
            <v>eBusiness</v>
          </cell>
          <cell r="C7" t="str">
            <v>Christine Kellerman</v>
          </cell>
        </row>
        <row r="8">
          <cell r="B8" t="str">
            <v>Help Desk</v>
          </cell>
          <cell r="C8" t="str">
            <v>Jeff Cranney</v>
          </cell>
        </row>
        <row r="9">
          <cell r="B9" t="str">
            <v>IT Finance</v>
          </cell>
          <cell r="C9" t="str">
            <v>Sonia Alford</v>
          </cell>
        </row>
        <row r="10">
          <cell r="B10" t="str">
            <v>IT Operations</v>
          </cell>
          <cell r="C10" t="str">
            <v>Matt Hansberger</v>
          </cell>
        </row>
        <row r="11">
          <cell r="B11" t="str">
            <v>IT Producer</v>
          </cell>
          <cell r="C11" t="str">
            <v>Barbara Allan</v>
          </cell>
        </row>
        <row r="12">
          <cell r="B12" t="str">
            <v>Viewpoint</v>
          </cell>
          <cell r="C12" t="str">
            <v>Karen Hayden</v>
          </cell>
        </row>
        <row r="13">
          <cell r="B13" t="str">
            <v>IT Sales</v>
          </cell>
          <cell r="C13" t="str">
            <v>Kayleen Weeks</v>
          </cell>
        </row>
        <row r="14">
          <cell r="B14" t="str">
            <v>IT Service</v>
          </cell>
          <cell r="C14" t="str">
            <v>Pam Askins</v>
          </cell>
        </row>
        <row r="15">
          <cell r="B15" t="str">
            <v>Product Admin</v>
          </cell>
          <cell r="C15" t="str">
            <v>Bill Martineau</v>
          </cell>
        </row>
        <row r="16">
          <cell r="B16" t="str">
            <v>Workflow</v>
          </cell>
          <cell r="C16" t="str">
            <v>Nedra Jerry</v>
          </cell>
        </row>
        <row r="17">
          <cell r="B17" t="str">
            <v>Other</v>
          </cell>
        </row>
        <row r="18">
          <cell r="B18" t="str">
            <v>SSI</v>
          </cell>
        </row>
        <row r="21">
          <cell r="B21" t="str">
            <v>Lookups!$A$6:$B$18</v>
          </cell>
        </row>
        <row r="22">
          <cell r="B22" t="str">
            <v>$B$4</v>
          </cell>
        </row>
        <row r="23">
          <cell r="B23" t="str">
            <v>$B$5</v>
          </cell>
        </row>
        <row r="24">
          <cell r="B24" t="str">
            <v>$B$6</v>
          </cell>
        </row>
        <row r="25">
          <cell r="B25" t="str">
            <v>$B$7</v>
          </cell>
        </row>
        <row r="26">
          <cell r="B26" t="str">
            <v>$B$8</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urrent Status"/>
      <sheetName val="Archive"/>
      <sheetName val="SLA Summary"/>
      <sheetName val="SLA Issue Log"/>
      <sheetName val="DART Report"/>
    </sheetNames>
    <sheetDataSet>
      <sheetData sheetId="0" refreshError="1"/>
      <sheetData sheetId="1">
        <row r="39">
          <cell r="A39">
            <v>21</v>
          </cell>
        </row>
      </sheetData>
      <sheetData sheetId="2" refreshError="1"/>
      <sheetData sheetId="3" refreshError="1"/>
      <sheetData sheetId="4" refreshError="1"/>
    </sheetDataSet>
  </externalBook>
</externalLink>
</file>

<file path=xl/queryTables/queryTable1.xml><?xml version="1.0" encoding="utf-8"?>
<queryTable xmlns="http://schemas.openxmlformats.org/spreadsheetml/2006/main" name="ExternalData_1" connectionId="1" autoFormatId="16" applyNumberFormats="0" applyBorderFormats="0" applyFontFormats="1" applyPatternFormats="1" applyAlignmentFormats="0" applyWidthHeightFormats="0">
  <queryTableRefresh nextId="24">
    <queryTableFields count="23">
      <queryTableField id="1" name="RecordId" tableColumnId="22"/>
      <queryTableField id="2" name="QSurveyPeriod" tableColumnId="23"/>
      <queryTableField id="3" name="QYourName" tableColumnId="24"/>
      <queryTableField id="22" dataBound="0" tableColumnId="43"/>
      <queryTableField id="23" dataBound="0" tableColumnId="44"/>
      <queryTableField id="4" name="Q1" tableColumnId="25"/>
      <queryTableField id="5" name="Q1b" tableColumnId="26"/>
      <queryTableField id="6" name="Q2" tableColumnId="27"/>
      <queryTableField id="7" name="Q2b" tableColumnId="28"/>
      <queryTableField id="8" name="Q3" tableColumnId="29"/>
      <queryTableField id="9" name="Q3b" tableColumnId="30"/>
      <queryTableField id="10" name="Q4" tableColumnId="31"/>
      <queryTableField id="11" name="Q4b" tableColumnId="32"/>
      <queryTableField id="12" name="Q5" tableColumnId="33"/>
      <queryTableField id="13" name="Q5b" tableColumnId="34"/>
      <queryTableField id="14" name="Q6" tableColumnId="35"/>
      <queryTableField id="15" name="Q6b" tableColumnId="36"/>
      <queryTableField id="16" name="Q7" tableColumnId="37"/>
      <queryTableField id="17" name="Q7b" tableColumnId="38"/>
      <queryTableField id="18" name="Q8" tableColumnId="39"/>
      <queryTableField id="19" name="Q8b" tableColumnId="40"/>
      <queryTableField id="20" name="Q9" tableColumnId="41"/>
      <queryTableField id="21" name="Q10" tableColumnId="42"/>
    </queryTableFields>
  </queryTableRefresh>
</queryTable>
</file>

<file path=xl/queryTables/queryTable2.xml><?xml version="1.0" encoding="utf-8"?>
<queryTable xmlns="http://schemas.openxmlformats.org/spreadsheetml/2006/main" name="ExternalData_1" connectionId="3" autoFormatId="16" applyNumberFormats="0" applyBorderFormats="0" applyFontFormats="1" applyPatternFormats="1" applyAlignmentFormats="0" applyWidthHeightFormats="0">
  <queryTableRefresh nextId="36">
    <queryTableFields count="35">
      <queryTableField id="1" name="RecordId" tableColumnId="35"/>
      <queryTableField id="2" name="QSurveyPeriod" tableColumnId="36"/>
      <queryTableField id="3" name="QYourName" tableColumnId="37"/>
      <queryTableField id="35" dataBound="0" tableColumnId="69"/>
      <queryTableField id="4" name="QITTeamName" tableColumnId="38"/>
      <queryTableField id="5" name="Q1" tableColumnId="39"/>
      <queryTableField id="6" name="Q1b" tableColumnId="40"/>
      <queryTableField id="7" name="Q2" tableColumnId="41"/>
      <queryTableField id="8" name="Q2b" tableColumnId="42"/>
      <queryTableField id="9" name="Q3" tableColumnId="43"/>
      <queryTableField id="10" name="Q3b" tableColumnId="44"/>
      <queryTableField id="11" name="Q4" tableColumnId="45"/>
      <queryTableField id="12" name="Q4b" tableColumnId="46"/>
      <queryTableField id="13" name="Q5" tableColumnId="47"/>
      <queryTableField id="14" name="Q5b" tableColumnId="48"/>
      <queryTableField id="15" name="Q6" tableColumnId="49"/>
      <queryTableField id="16" name="Q6b" tableColumnId="50"/>
      <queryTableField id="17" name="Q7" tableColumnId="51"/>
      <queryTableField id="18" name="Q7b" tableColumnId="52"/>
      <queryTableField id="19" name="Q8" tableColumnId="53"/>
      <queryTableField id="20" name="Q8b" tableColumnId="54"/>
      <queryTableField id="21" name="Q9" tableColumnId="55"/>
      <queryTableField id="22" name="Q9b" tableColumnId="56"/>
      <queryTableField id="23" name="Q10" tableColumnId="57"/>
      <queryTableField id="24" name="Q10b" tableColumnId="58"/>
      <queryTableField id="25" name="Q11" tableColumnId="59"/>
      <queryTableField id="26" name="Q11b" tableColumnId="60"/>
      <queryTableField id="27" name="Q12" tableColumnId="61"/>
      <queryTableField id="28" name="Q12b" tableColumnId="62"/>
      <queryTableField id="29" name="Q13" tableColumnId="63"/>
      <queryTableField id="30" name="Q13b" tableColumnId="64"/>
      <queryTableField id="31" name="Q14" tableColumnId="65"/>
      <queryTableField id="32" name="Q14b" tableColumnId="66"/>
      <queryTableField id="33" name="Q15" tableColumnId="67"/>
      <queryTableField id="34" name="Q16" tableColumnId="68"/>
    </queryTableFields>
  </queryTableRefresh>
</queryTable>
</file>

<file path=xl/queryTables/queryTable3.xml><?xml version="1.0" encoding="utf-8"?>
<queryTable xmlns="http://schemas.openxmlformats.org/spreadsheetml/2006/main" name="ExternalData_1" connectionId="2" autoFormatId="16" applyNumberFormats="0" applyBorderFormats="0" applyFontFormats="1" applyPatternFormats="1" applyAlignmentFormats="0" applyWidthHeightFormats="0">
  <queryTableRefresh nextId="47">
    <queryTableFields count="46">
      <queryTableField id="1" name="RecordId" tableColumnId="45"/>
      <queryTableField id="2" name="QSurveyPeriod" tableColumnId="46"/>
      <queryTableField id="45" dataBound="0" tableColumnId="89"/>
      <queryTableField id="46" dataBound="0" tableColumnId="90"/>
      <queryTableField id="3" name="QTeamName" tableColumnId="47"/>
      <queryTableField id="4" name="Q1" tableColumnId="48"/>
      <queryTableField id="5" name="Q1b" tableColumnId="49"/>
      <queryTableField id="6" name="Q2" tableColumnId="50"/>
      <queryTableField id="7" name="Q2b" tableColumnId="51"/>
      <queryTableField id="8" name="Q3" tableColumnId="52"/>
      <queryTableField id="9" name="Q3b" tableColumnId="53"/>
      <queryTableField id="10" name="Q4" tableColumnId="54"/>
      <queryTableField id="11" name="Q4b" tableColumnId="55"/>
      <queryTableField id="12" name="Q5" tableColumnId="56"/>
      <queryTableField id="13" name="Q5b" tableColumnId="57"/>
      <queryTableField id="14" name="Q6" tableColumnId="58"/>
      <queryTableField id="15" name="Q6b" tableColumnId="59"/>
      <queryTableField id="16" name="Q7" tableColumnId="60"/>
      <queryTableField id="17" name="Q7b" tableColumnId="61"/>
      <queryTableField id="18" name="Q8" tableColumnId="62"/>
      <queryTableField id="19" name="Q8b" tableColumnId="63"/>
      <queryTableField id="20" name="Q9" tableColumnId="64"/>
      <queryTableField id="21" name="Q9b" tableColumnId="65"/>
      <queryTableField id="22" name="Q10" tableColumnId="66"/>
      <queryTableField id="23" name="Q10b" tableColumnId="67"/>
      <queryTableField id="24" name="Q11" tableColumnId="68"/>
      <queryTableField id="25" name="Q11b" tableColumnId="69"/>
      <queryTableField id="26" name="Q12" tableColumnId="70"/>
      <queryTableField id="27" name="Q12b" tableColumnId="71"/>
      <queryTableField id="28" name="Q13" tableColumnId="72"/>
      <queryTableField id="29" name="Q13b" tableColumnId="73"/>
      <queryTableField id="30" name="Q14" tableColumnId="74"/>
      <queryTableField id="31" name="Q14b" tableColumnId="75"/>
      <queryTableField id="32" name="Q15" tableColumnId="76"/>
      <queryTableField id="33" name="Q15b" tableColumnId="77"/>
      <queryTableField id="34" name="Q16" tableColumnId="78"/>
      <queryTableField id="35" name="Q16b" tableColumnId="79"/>
      <queryTableField id="36" name="Q17" tableColumnId="80"/>
      <queryTableField id="37" name="Q17b" tableColumnId="81"/>
      <queryTableField id="38" name="Q18" tableColumnId="82"/>
      <queryTableField id="39" name="Q18b" tableColumnId="83"/>
      <queryTableField id="40" name="Q19" tableColumnId="84"/>
      <queryTableField id="41" name="Q19b" tableColumnId="85"/>
      <queryTableField id="42" name="Q20" tableColumnId="86"/>
      <queryTableField id="43" name="Q20b" tableColumnId="87"/>
      <queryTableField id="44" name="Q21" tableColumnId="8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Table_ExternalData_1" displayName="Table_ExternalData_1" ref="A30:W31" tableType="queryTable" totalsRowShown="0">
  <autoFilter ref="A30:W31">
    <filterColumn colId="3"/>
    <filterColumn colId="4"/>
  </autoFilter>
  <tableColumns count="23">
    <tableColumn id="22" uniqueName="22" name="RecordId" queryTableFieldId="1"/>
    <tableColumn id="23" uniqueName="23" name="QSurveyPeriod" queryTableFieldId="2"/>
    <tableColumn id="24" uniqueName="24" name="QYourName" queryTableFieldId="3"/>
    <tableColumn id="43" uniqueName="43" name="0" queryTableFieldId="22">
      <calculatedColumnFormula>LOOKUP(E31,INDIRECT(Team_Name_Lookup))</calculatedColumnFormula>
    </tableColumn>
    <tableColumn id="44" uniqueName="44" name="&lt;blank&gt;" queryTableFieldId="23"/>
    <tableColumn id="25" uniqueName="25" name="Q1" queryTableFieldId="4" dataDxfId="88"/>
    <tableColumn id="26" uniqueName="26" name="Q1b" queryTableFieldId="5" dataDxfId="87"/>
    <tableColumn id="27" uniqueName="27" name="Q2" queryTableFieldId="6" dataDxfId="86"/>
    <tableColumn id="28" uniqueName="28" name="Q2b" queryTableFieldId="7" dataDxfId="85"/>
    <tableColumn id="29" uniqueName="29" name="Q3" queryTableFieldId="8" dataDxfId="84"/>
    <tableColumn id="30" uniqueName="30" name="Q3b" queryTableFieldId="9" dataDxfId="83"/>
    <tableColumn id="31" uniqueName="31" name="Q4" queryTableFieldId="10" dataDxfId="82"/>
    <tableColumn id="32" uniqueName="32" name="Q4b" queryTableFieldId="11" dataDxfId="81"/>
    <tableColumn id="33" uniqueName="33" name="Q5" queryTableFieldId="12" dataDxfId="80"/>
    <tableColumn id="34" uniqueName="34" name="Q5b" queryTableFieldId="13" dataDxfId="79"/>
    <tableColumn id="35" uniqueName="35" name="Q6" queryTableFieldId="14" dataDxfId="78"/>
    <tableColumn id="36" uniqueName="36" name="Q6b" queryTableFieldId="15" dataDxfId="77"/>
    <tableColumn id="37" uniqueName="37" name="Q7" queryTableFieldId="16" dataDxfId="76"/>
    <tableColumn id="38" uniqueName="38" name="Q7b" queryTableFieldId="17" dataDxfId="75"/>
    <tableColumn id="39" uniqueName="39" name="Q8" queryTableFieldId="18" dataDxfId="74"/>
    <tableColumn id="40" uniqueName="40" name="Q8b" queryTableFieldId="19" dataDxfId="73"/>
    <tableColumn id="41" uniqueName="41" name="Q9" queryTableFieldId="20" dataDxfId="72"/>
    <tableColumn id="42" uniqueName="42" name="Q10" queryTableFieldId="21" dataDxfId="71"/>
  </tableColumns>
  <tableStyleInfo name="TableStyleMedium9" showFirstColumn="0" showLastColumn="0" showRowStripes="1" showColumnStripes="0"/>
</table>
</file>

<file path=xl/tables/table2.xml><?xml version="1.0" encoding="utf-8"?>
<table xmlns="http://schemas.openxmlformats.org/spreadsheetml/2006/main" id="4" name="Table_ExternalData_15" displayName="Table_ExternalData_15" ref="A30:AI44" tableType="queryTable" totalsRowShown="0">
  <autoFilter ref="A30:AI44">
    <filterColumn colId="3"/>
  </autoFilter>
  <tableColumns count="35">
    <tableColumn id="35" uniqueName="35" name="RecordId" queryTableFieldId="1"/>
    <tableColumn id="36" uniqueName="36" name="QSurveyPeriod" queryTableFieldId="2"/>
    <tableColumn id="37" uniqueName="37" name="QYourName" queryTableFieldId="3"/>
    <tableColumn id="69" uniqueName="69" name="Team Name" queryTableFieldId="35">
      <calculatedColumnFormula>LOOKUP(E31,INDIRECT(Team_Name_Lookup))</calculatedColumnFormula>
    </tableColumn>
    <tableColumn id="38" uniqueName="38" name="QITTeamName" queryTableFieldId="4"/>
    <tableColumn id="39" uniqueName="39" name="Q1" queryTableFieldId="5" dataDxfId="70"/>
    <tableColumn id="40" uniqueName="40" name="Q1b" queryTableFieldId="6" dataDxfId="69"/>
    <tableColumn id="41" uniqueName="41" name="Q2" queryTableFieldId="7" dataDxfId="68"/>
    <tableColumn id="42" uniqueName="42" name="Q2b" queryTableFieldId="8" dataDxfId="67"/>
    <tableColumn id="43" uniqueName="43" name="Q3" queryTableFieldId="9" dataDxfId="66"/>
    <tableColumn id="44" uniqueName="44" name="Q3b" queryTableFieldId="10" dataDxfId="65"/>
    <tableColumn id="45" uniqueName="45" name="Q4" queryTableFieldId="11" dataDxfId="64"/>
    <tableColumn id="46" uniqueName="46" name="Q4b" queryTableFieldId="12" dataDxfId="63"/>
    <tableColumn id="47" uniqueName="47" name="Q5" queryTableFieldId="13" dataDxfId="62"/>
    <tableColumn id="48" uniqueName="48" name="Q5b" queryTableFieldId="14" dataDxfId="61"/>
    <tableColumn id="49" uniqueName="49" name="Q6" queryTableFieldId="15" dataDxfId="60"/>
    <tableColumn id="50" uniqueName="50" name="Q6b" queryTableFieldId="16" dataDxfId="59"/>
    <tableColumn id="51" uniqueName="51" name="Q7" queryTableFieldId="17" dataDxfId="58"/>
    <tableColumn id="52" uniqueName="52" name="Q7b" queryTableFieldId="18" dataDxfId="57"/>
    <tableColumn id="53" uniqueName="53" name="Q8" queryTableFieldId="19" dataDxfId="56"/>
    <tableColumn id="54" uniqueName="54" name="Q8b" queryTableFieldId="20" dataDxfId="55"/>
    <tableColumn id="55" uniqueName="55" name="Q9" queryTableFieldId="21" dataDxfId="54"/>
    <tableColumn id="56" uniqueName="56" name="Q9b" queryTableFieldId="22" dataDxfId="53"/>
    <tableColumn id="57" uniqueName="57" name="Q10" queryTableFieldId="23" dataDxfId="52"/>
    <tableColumn id="58" uniqueName="58" name="Q10b" queryTableFieldId="24" dataDxfId="51"/>
    <tableColumn id="59" uniqueName="59" name="Q11" queryTableFieldId="25" dataDxfId="50"/>
    <tableColumn id="60" uniqueName="60" name="Q11b" queryTableFieldId="26" dataDxfId="49"/>
    <tableColumn id="61" uniqueName="61" name="Q12" queryTableFieldId="27" dataDxfId="48"/>
    <tableColumn id="62" uniqueName="62" name="Q12b" queryTableFieldId="28" dataDxfId="47"/>
    <tableColumn id="63" uniqueName="63" name="Q13" queryTableFieldId="29" dataDxfId="46"/>
    <tableColumn id="64" uniqueName="64" name="Q13b" queryTableFieldId="30" dataDxfId="45"/>
    <tableColumn id="65" uniqueName="65" name="Q14" queryTableFieldId="31" dataDxfId="44"/>
    <tableColumn id="66" uniqueName="66" name="Q14b" queryTableFieldId="32" dataDxfId="43"/>
    <tableColumn id="67" uniqueName="67" name="Q15" queryTableFieldId="33" dataDxfId="42"/>
    <tableColumn id="68" uniqueName="68" name="Q16" queryTableFieldId="34" dataDxfId="41"/>
  </tableColumns>
  <tableStyleInfo name="TableStyleMedium9" showFirstColumn="0" showLastColumn="0" showRowStripes="1" showColumnStripes="0"/>
</table>
</file>

<file path=xl/tables/table3.xml><?xml version="1.0" encoding="utf-8"?>
<table xmlns="http://schemas.openxmlformats.org/spreadsheetml/2006/main" id="1" name="Table_ExternalData_12" displayName="Table_ExternalData_12" ref="A30:AT147" tableType="queryTable" totalsRowShown="0">
  <autoFilter ref="A30:AT147">
    <filterColumn colId="2"/>
    <filterColumn colId="3"/>
  </autoFilter>
  <tableColumns count="46">
    <tableColumn id="45" uniqueName="45" name="RecordId" queryTableFieldId="1"/>
    <tableColumn id="46" uniqueName="46" name="QSurveyPeriod" queryTableFieldId="2"/>
    <tableColumn id="89" uniqueName="89" name="&lt;blank&gt;" queryTableFieldId="45"/>
    <tableColumn id="90" uniqueName="90" name="Team Name" queryTableFieldId="46">
      <calculatedColumnFormula>LOOKUP(E31,INDIRECT(Team_Name_Lookup))</calculatedColumnFormula>
    </tableColumn>
    <tableColumn id="47" uniqueName="47" name="QTeamName" queryTableFieldId="3"/>
    <tableColumn id="48" uniqueName="48" name="Q1" queryTableFieldId="4" dataDxfId="40"/>
    <tableColumn id="49" uniqueName="49" name="Q1b" queryTableFieldId="5" dataDxfId="39"/>
    <tableColumn id="50" uniqueName="50" name="Q2" queryTableFieldId="6" dataDxfId="38"/>
    <tableColumn id="51" uniqueName="51" name="Q2b" queryTableFieldId="7" dataDxfId="37"/>
    <tableColumn id="52" uniqueName="52" name="Q3" queryTableFieldId="8" dataDxfId="36"/>
    <tableColumn id="53" uniqueName="53" name="Q3b" queryTableFieldId="9" dataDxfId="35"/>
    <tableColumn id="54" uniqueName="54" name="Q4" queryTableFieldId="10" dataDxfId="34"/>
    <tableColumn id="55" uniqueName="55" name="Q4b" queryTableFieldId="11" dataDxfId="33"/>
    <tableColumn id="56" uniqueName="56" name="Q5" queryTableFieldId="12" dataDxfId="32"/>
    <tableColumn id="57" uniqueName="57" name="Q5b" queryTableFieldId="13" dataDxfId="31"/>
    <tableColumn id="58" uniqueName="58" name="Q6" queryTableFieldId="14" dataDxfId="30"/>
    <tableColumn id="59" uniqueName="59" name="Q6b" queryTableFieldId="15" dataDxfId="29"/>
    <tableColumn id="60" uniqueName="60" name="Q7" queryTableFieldId="16" dataDxfId="28"/>
    <tableColumn id="61" uniqueName="61" name="Q7b" queryTableFieldId="17" dataDxfId="27"/>
    <tableColumn id="62" uniqueName="62" name="Q8" queryTableFieldId="18" dataDxfId="26"/>
    <tableColumn id="63" uniqueName="63" name="Q8b" queryTableFieldId="19" dataDxfId="25"/>
    <tableColumn id="64" uniqueName="64" name="Q9" queryTableFieldId="20" dataDxfId="24"/>
    <tableColumn id="65" uniqueName="65" name="Q9b" queryTableFieldId="21" dataDxfId="23"/>
    <tableColumn id="66" uniqueName="66" name="Q10" queryTableFieldId="22" dataDxfId="22"/>
    <tableColumn id="67" uniqueName="67" name="Q10b" queryTableFieldId="23" dataDxfId="21"/>
    <tableColumn id="68" uniqueName="68" name="Q11" queryTableFieldId="24" dataDxfId="20"/>
    <tableColumn id="69" uniqueName="69" name="Q11b" queryTableFieldId="25" dataDxfId="19"/>
    <tableColumn id="70" uniqueName="70" name="Q12" queryTableFieldId="26" dataDxfId="18"/>
    <tableColumn id="71" uniqueName="71" name="Q12b" queryTableFieldId="27" dataDxfId="17"/>
    <tableColumn id="72" uniqueName="72" name="Q13" queryTableFieldId="28" dataDxfId="16"/>
    <tableColumn id="73" uniqueName="73" name="Q13b" queryTableFieldId="29" dataDxfId="15"/>
    <tableColumn id="74" uniqueName="74" name="Q14" queryTableFieldId="30" dataDxfId="14"/>
    <tableColumn id="75" uniqueName="75" name="Q14b" queryTableFieldId="31" dataDxfId="13"/>
    <tableColumn id="76" uniqueName="76" name="Q15" queryTableFieldId="32" dataDxfId="12"/>
    <tableColumn id="77" uniqueName="77" name="Q15b" queryTableFieldId="33" dataDxfId="11"/>
    <tableColumn id="78" uniqueName="78" name="Q16" queryTableFieldId="34" dataDxfId="10"/>
    <tableColumn id="79" uniqueName="79" name="Q16b" queryTableFieldId="35" dataDxfId="9"/>
    <tableColumn id="80" uniqueName="80" name="Q17" queryTableFieldId="36" dataDxfId="8"/>
    <tableColumn id="81" uniqueName="81" name="Q17b" queryTableFieldId="37" dataDxfId="7"/>
    <tableColumn id="82" uniqueName="82" name="Q18" queryTableFieldId="38" dataDxfId="6"/>
    <tableColumn id="83" uniqueName="83" name="Q18b" queryTableFieldId="39" dataDxfId="5"/>
    <tableColumn id="84" uniqueName="84" name="Q19" queryTableFieldId="40" dataDxfId="4"/>
    <tableColumn id="85" uniqueName="85" name="Q19b" queryTableFieldId="41" dataDxfId="3"/>
    <tableColumn id="86" uniqueName="86" name="Q20" queryTableFieldId="42" dataDxfId="2"/>
    <tableColumn id="87" uniqueName="87" name="Q20b" queryTableFieldId="43" dataDxfId="1"/>
    <tableColumn id="88" uniqueName="88" name="Q21" queryTableFieldId="44"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file:///C:\Users\CRHODES\AppData\Roaming\DART%20Stats"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7.vml"/><Relationship Id="rId1" Type="http://schemas.openxmlformats.org/officeDocument/2006/relationships/printerSettings" Target="../printerSettings/printerSettings16.bin"/><Relationship Id="rId4" Type="http://schemas.openxmlformats.org/officeDocument/2006/relationships/comments" Target="../comments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hyperlink" Target="file:///\\IND-SVR-03\PROJDATA3\PMONetwork\New%20Product%20Development\004%20Program%20Management\Current%20Status%20Reports\PMO%20Status%20Reports" TargetMode="External"/></Relationships>
</file>

<file path=xl/worksheets/_rels/sheet2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5.xml"/><Relationship Id="rId1" Type="http://schemas.openxmlformats.org/officeDocument/2006/relationships/printerSettings" Target="../printerSettings/printerSettings30.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sheetPr codeName="Sheet8"/>
  <dimension ref="A2:D38"/>
  <sheetViews>
    <sheetView workbookViewId="0">
      <selection activeCell="A21" sqref="A21"/>
    </sheetView>
  </sheetViews>
  <sheetFormatPr defaultRowHeight="12.75"/>
  <cols>
    <col min="1" max="1" width="29" bestFit="1" customWidth="1"/>
  </cols>
  <sheetData>
    <row r="2" spans="1:4">
      <c r="B2" s="584" t="s">
        <v>1027</v>
      </c>
      <c r="C2" s="584" t="s">
        <v>537</v>
      </c>
      <c r="D2" s="584" t="s">
        <v>1028</v>
      </c>
    </row>
    <row r="3" spans="1:4">
      <c r="A3" s="5" t="s">
        <v>963</v>
      </c>
    </row>
    <row r="4" spans="1:4">
      <c r="A4" s="5" t="s">
        <v>964</v>
      </c>
    </row>
    <row r="5" spans="1:4">
      <c r="A5" s="5" t="s">
        <v>965</v>
      </c>
    </row>
    <row r="6" spans="1:4">
      <c r="A6" s="5" t="s">
        <v>319</v>
      </c>
    </row>
    <row r="7" spans="1:4">
      <c r="A7" s="5" t="s">
        <v>254</v>
      </c>
    </row>
    <row r="8" spans="1:4">
      <c r="A8" s="5" t="s">
        <v>320</v>
      </c>
    </row>
    <row r="9" spans="1:4">
      <c r="A9" s="5" t="s">
        <v>968</v>
      </c>
    </row>
    <row r="10" spans="1:4">
      <c r="A10" s="5" t="s">
        <v>967</v>
      </c>
    </row>
    <row r="11" spans="1:4">
      <c r="A11" s="5" t="s">
        <v>966</v>
      </c>
    </row>
    <row r="12" spans="1:4">
      <c r="A12" s="5" t="s">
        <v>360</v>
      </c>
    </row>
    <row r="13" spans="1:4">
      <c r="A13" s="5" t="s">
        <v>30</v>
      </c>
    </row>
    <row r="14" spans="1:4">
      <c r="A14" s="5" t="s">
        <v>514</v>
      </c>
    </row>
    <row r="15" spans="1:4">
      <c r="A15" s="5" t="s">
        <v>515</v>
      </c>
    </row>
    <row r="16" spans="1:4">
      <c r="A16" s="5" t="s">
        <v>516</v>
      </c>
    </row>
    <row r="17" spans="1:1">
      <c r="A17" s="5" t="s">
        <v>255</v>
      </c>
    </row>
    <row r="18" spans="1:1">
      <c r="A18" s="5" t="s">
        <v>517</v>
      </c>
    </row>
    <row r="19" spans="1:1">
      <c r="A19" s="5" t="s">
        <v>256</v>
      </c>
    </row>
    <row r="20" spans="1:1">
      <c r="A20" s="5" t="s">
        <v>518</v>
      </c>
    </row>
    <row r="21" spans="1:1">
      <c r="A21" s="5" t="s">
        <v>79</v>
      </c>
    </row>
    <row r="22" spans="1:1">
      <c r="A22" s="5" t="s">
        <v>726</v>
      </c>
    </row>
    <row r="23" spans="1:1">
      <c r="A23" s="5" t="s">
        <v>741</v>
      </c>
    </row>
    <row r="24" spans="1:1">
      <c r="A24" s="5" t="s">
        <v>775</v>
      </c>
    </row>
    <row r="25" spans="1:1">
      <c r="A25" s="5" t="s">
        <v>794</v>
      </c>
    </row>
    <row r="26" spans="1:1">
      <c r="A26" s="5" t="s">
        <v>845</v>
      </c>
    </row>
    <row r="27" spans="1:1">
      <c r="A27" s="5" t="s">
        <v>871</v>
      </c>
    </row>
    <row r="28" spans="1:1">
      <c r="A28" s="5" t="s">
        <v>962</v>
      </c>
    </row>
    <row r="29" spans="1:1">
      <c r="A29" s="5" t="s">
        <v>57</v>
      </c>
    </row>
    <row r="30" spans="1:1">
      <c r="A30" s="5" t="s">
        <v>257</v>
      </c>
    </row>
    <row r="31" spans="1:1">
      <c r="A31" s="5" t="s">
        <v>1025</v>
      </c>
    </row>
    <row r="32" spans="1:1">
      <c r="A32" s="5" t="s">
        <v>873</v>
      </c>
    </row>
    <row r="33" spans="1:1">
      <c r="A33" s="5"/>
    </row>
    <row r="34" spans="1:1">
      <c r="A34" s="5"/>
    </row>
    <row r="35" spans="1:1">
      <c r="A35" s="5"/>
    </row>
    <row r="36" spans="1:1">
      <c r="A36" s="5"/>
    </row>
    <row r="37" spans="1:1">
      <c r="A37" s="5"/>
    </row>
    <row r="38" spans="1:1">
      <c r="A38" s="5"/>
    </row>
  </sheetData>
  <phoneticPr fontId="2" type="noConversion"/>
  <hyperlinks>
    <hyperlink ref="A3" location="'Scorecard - Individual Team'!A1" display="Scorecard - Individual Team"/>
    <hyperlink ref="A4" location="'Scorecard - All Teams'!A1" display="Scorecard - All Teams"/>
    <hyperlink ref="A5" location="'Scorecard - Previous Period'!A1" display="Scorecard - Previous Period"/>
    <hyperlink ref="A6" location="'Budget Rollup'!A1" display="Budget Rollup"/>
    <hyperlink ref="A7" location="'Survey Rollup'!A1" display="Survey Rollup"/>
    <hyperlink ref="A8" location="'Survey Mapping'!A1" display="Survey Mapping"/>
    <hyperlink ref="A9" location="'Partner Survey - All Teams'!A1" display="Partner Survey - All Teams"/>
    <hyperlink ref="A10" location="'Business Survey - All Teams'!A1" display="Business Survey - All Teams"/>
    <hyperlink ref="A11" location="'IT Survey - All Teams'!A1" display="IT Survey - All Teams"/>
    <hyperlink ref="A12" location="'Organization'!A1" display="Organization"/>
    <hyperlink ref="A13" location="'Lookups'!A1" display="Lookups"/>
    <hyperlink ref="A14" location="'Teams'!A1" display="Teams"/>
    <hyperlink ref="A15" location="'Defined Names'!A1" display="Defined Names"/>
    <hyperlink ref="A16" location="'Partner Survey Questions'!A1" display="Partner Survey Questions"/>
    <hyperlink ref="A17" location="'Partner Survey Data'!A1" display="Partner Survey Data"/>
    <hyperlink ref="A18" location="'Business Survey Questions'!A1" display="Business Survey Questions"/>
    <hyperlink ref="A19" location="'Business Survey Data'!A1" display="Business Survey Data"/>
    <hyperlink ref="A20" location="'IT Survey Questions'!A1" display="IT Survey Questions"/>
    <hyperlink ref="A21" location="'IT Survey Data'!A1" display="IT Survey Data"/>
    <hyperlink ref="A22" location="'eBusiness OT Data'!A1" display="eBusiness OT Data"/>
    <hyperlink ref="A23" location="'New Business Workflow OT Data'!A1" display="New Business Workflow OT Data"/>
    <hyperlink ref="A24" location="'Producer Admin OT Data'!A1" display="Producer Admin OT Data"/>
    <hyperlink ref="A25" location="'Producer CRM OT Data'!A1" display="Producer CRM OT Data"/>
    <hyperlink ref="A26" location="'Product Admin OT Data'!A1" display="Product Admin OT Data"/>
    <hyperlink ref="A27" location="'Sales OT Data'!A1" display="Sales OT Data"/>
    <hyperlink ref="A28" location="'Service OT Data'!A1" display="Service OT Data"/>
    <hyperlink ref="A29" location="'On-Time Delivery Data'!A1" display="On-Time Delivery Data"/>
    <hyperlink ref="A30" location="'Budget Variance Data'!A1" display="Budget Variance Data"/>
    <hyperlink ref="A31" location="'ITR_Data'!A1" display="ITR_Data"/>
    <hyperlink ref="A32" location="'Sheet1'!A1" display="Sheet1"/>
  </hyperlinks>
  <printOptions gridLines="1"/>
  <pageMargins left="0.75" right="0.75" top="1" bottom="1" header="0.5" footer="0.5"/>
  <pageSetup orientation="portrait" r:id="rId1"/>
  <headerFooter alignWithMargins="0">
    <oddFooter>&amp;L&amp;5&amp;Z&amp;F
Created: 9/29/2006 10:44:00 PM
Last Saved: 2/22/2008 9:07:29 AM
Last Printed: 2/22/2008 9:10:13 AM&amp;R&amp;5&amp;P - &amp;N
Title :&lt;Not Set&gt;
Subject: &lt;Not Set&gt;</oddFooter>
  </headerFooter>
</worksheet>
</file>

<file path=xl/worksheets/sheet2.xml><?xml version="1.0" encoding="utf-8"?>
<worksheet xmlns="http://schemas.openxmlformats.org/spreadsheetml/2006/main" xmlns:r="http://schemas.openxmlformats.org/officeDocument/2006/relationships">
  <sheetPr codeName="Sheet2">
    <pageSetUpPr fitToPage="1"/>
  </sheetPr>
  <dimension ref="A1:S54"/>
  <sheetViews>
    <sheetView workbookViewId="0">
      <selection activeCell="F8" sqref="F8"/>
    </sheetView>
  </sheetViews>
  <sheetFormatPr defaultRowHeight="12.75"/>
  <cols>
    <col min="1" max="1" width="9" style="98" customWidth="1"/>
    <col min="2" max="2" width="9.140625" style="98"/>
    <col min="3" max="3" width="9.7109375" style="98" customWidth="1"/>
    <col min="4" max="4" width="9" style="98" customWidth="1"/>
    <col min="5" max="5" width="10.7109375" style="98" customWidth="1"/>
    <col min="6" max="6" width="12.7109375" style="98" customWidth="1"/>
    <col min="7" max="7" width="4" style="98" bestFit="1" customWidth="1"/>
    <col min="8" max="8" width="12.7109375" style="98" customWidth="1"/>
    <col min="9" max="9" width="1" style="98" customWidth="1"/>
    <col min="10" max="10" width="12.7109375" style="98" customWidth="1"/>
    <col min="11" max="11" width="1" style="98" customWidth="1"/>
    <col min="12" max="12" width="12.7109375" style="182" customWidth="1"/>
    <col min="13" max="13" width="2.7109375" customWidth="1"/>
    <col min="14" max="14" width="22.42578125" style="98" customWidth="1"/>
    <col min="15" max="15" width="2.85546875" style="98" customWidth="1"/>
    <col min="16" max="16" width="26.5703125" style="98" customWidth="1"/>
    <col min="17" max="17" width="7.28515625" style="285" bestFit="1" customWidth="1"/>
    <col min="18" max="18" width="9.140625" style="98"/>
    <col min="19" max="19" width="29.85546875" bestFit="1" customWidth="1"/>
    <col min="20" max="20" width="29.85546875" style="98" bestFit="1" customWidth="1"/>
    <col min="21" max="256" width="9.140625" style="98"/>
    <col min="257" max="257" width="9" style="98" customWidth="1"/>
    <col min="258" max="258" width="9.140625" style="98"/>
    <col min="259" max="259" width="9.7109375" style="98" customWidth="1"/>
    <col min="260" max="260" width="9" style="98" customWidth="1"/>
    <col min="261" max="261" width="10.7109375" style="98" customWidth="1"/>
    <col min="262" max="262" width="12.7109375" style="98" customWidth="1"/>
    <col min="263" max="263" width="1" style="98" customWidth="1"/>
    <col min="264" max="264" width="12.7109375" style="98" customWidth="1"/>
    <col min="265" max="265" width="1" style="98" customWidth="1"/>
    <col min="266" max="266" width="12.7109375" style="98" customWidth="1"/>
    <col min="267" max="267" width="1" style="98" customWidth="1"/>
    <col min="268" max="268" width="12.7109375" style="98" customWidth="1"/>
    <col min="269" max="512" width="9.140625" style="98"/>
    <col min="513" max="513" width="9" style="98" customWidth="1"/>
    <col min="514" max="514" width="9.140625" style="98"/>
    <col min="515" max="515" width="9.7109375" style="98" customWidth="1"/>
    <col min="516" max="516" width="9" style="98" customWidth="1"/>
    <col min="517" max="517" width="10.7109375" style="98" customWidth="1"/>
    <col min="518" max="518" width="12.7109375" style="98" customWidth="1"/>
    <col min="519" max="519" width="1" style="98" customWidth="1"/>
    <col min="520" max="520" width="12.7109375" style="98" customWidth="1"/>
    <col min="521" max="521" width="1" style="98" customWidth="1"/>
    <col min="522" max="522" width="12.7109375" style="98" customWidth="1"/>
    <col min="523" max="523" width="1" style="98" customWidth="1"/>
    <col min="524" max="524" width="12.7109375" style="98" customWidth="1"/>
    <col min="525" max="768" width="9.140625" style="98"/>
    <col min="769" max="769" width="9" style="98" customWidth="1"/>
    <col min="770" max="770" width="9.140625" style="98"/>
    <col min="771" max="771" width="9.7109375" style="98" customWidth="1"/>
    <col min="772" max="772" width="9" style="98" customWidth="1"/>
    <col min="773" max="773" width="10.7109375" style="98" customWidth="1"/>
    <col min="774" max="774" width="12.7109375" style="98" customWidth="1"/>
    <col min="775" max="775" width="1" style="98" customWidth="1"/>
    <col min="776" max="776" width="12.7109375" style="98" customWidth="1"/>
    <col min="777" max="777" width="1" style="98" customWidth="1"/>
    <col min="778" max="778" width="12.7109375" style="98" customWidth="1"/>
    <col min="779" max="779" width="1" style="98" customWidth="1"/>
    <col min="780" max="780" width="12.7109375" style="98" customWidth="1"/>
    <col min="781" max="1024" width="9.140625" style="98"/>
    <col min="1025" max="1025" width="9" style="98" customWidth="1"/>
    <col min="1026" max="1026" width="9.140625" style="98"/>
    <col min="1027" max="1027" width="9.7109375" style="98" customWidth="1"/>
    <col min="1028" max="1028" width="9" style="98" customWidth="1"/>
    <col min="1029" max="1029" width="10.7109375" style="98" customWidth="1"/>
    <col min="1030" max="1030" width="12.7109375" style="98" customWidth="1"/>
    <col min="1031" max="1031" width="1" style="98" customWidth="1"/>
    <col min="1032" max="1032" width="12.7109375" style="98" customWidth="1"/>
    <col min="1033" max="1033" width="1" style="98" customWidth="1"/>
    <col min="1034" max="1034" width="12.7109375" style="98" customWidth="1"/>
    <col min="1035" max="1035" width="1" style="98" customWidth="1"/>
    <col min="1036" max="1036" width="12.7109375" style="98" customWidth="1"/>
    <col min="1037" max="1280" width="9.140625" style="98"/>
    <col min="1281" max="1281" width="9" style="98" customWidth="1"/>
    <col min="1282" max="1282" width="9.140625" style="98"/>
    <col min="1283" max="1283" width="9.7109375" style="98" customWidth="1"/>
    <col min="1284" max="1284" width="9" style="98" customWidth="1"/>
    <col min="1285" max="1285" width="10.7109375" style="98" customWidth="1"/>
    <col min="1286" max="1286" width="12.7109375" style="98" customWidth="1"/>
    <col min="1287" max="1287" width="1" style="98" customWidth="1"/>
    <col min="1288" max="1288" width="12.7109375" style="98" customWidth="1"/>
    <col min="1289" max="1289" width="1" style="98" customWidth="1"/>
    <col min="1290" max="1290" width="12.7109375" style="98" customWidth="1"/>
    <col min="1291" max="1291" width="1" style="98" customWidth="1"/>
    <col min="1292" max="1292" width="12.7109375" style="98" customWidth="1"/>
    <col min="1293" max="1536" width="9.140625" style="98"/>
    <col min="1537" max="1537" width="9" style="98" customWidth="1"/>
    <col min="1538" max="1538" width="9.140625" style="98"/>
    <col min="1539" max="1539" width="9.7109375" style="98" customWidth="1"/>
    <col min="1540" max="1540" width="9" style="98" customWidth="1"/>
    <col min="1541" max="1541" width="10.7109375" style="98" customWidth="1"/>
    <col min="1542" max="1542" width="12.7109375" style="98" customWidth="1"/>
    <col min="1543" max="1543" width="1" style="98" customWidth="1"/>
    <col min="1544" max="1544" width="12.7109375" style="98" customWidth="1"/>
    <col min="1545" max="1545" width="1" style="98" customWidth="1"/>
    <col min="1546" max="1546" width="12.7109375" style="98" customWidth="1"/>
    <col min="1547" max="1547" width="1" style="98" customWidth="1"/>
    <col min="1548" max="1548" width="12.7109375" style="98" customWidth="1"/>
    <col min="1549" max="1792" width="9.140625" style="98"/>
    <col min="1793" max="1793" width="9" style="98" customWidth="1"/>
    <col min="1794" max="1794" width="9.140625" style="98"/>
    <col min="1795" max="1795" width="9.7109375" style="98" customWidth="1"/>
    <col min="1796" max="1796" width="9" style="98" customWidth="1"/>
    <col min="1797" max="1797" width="10.7109375" style="98" customWidth="1"/>
    <col min="1798" max="1798" width="12.7109375" style="98" customWidth="1"/>
    <col min="1799" max="1799" width="1" style="98" customWidth="1"/>
    <col min="1800" max="1800" width="12.7109375" style="98" customWidth="1"/>
    <col min="1801" max="1801" width="1" style="98" customWidth="1"/>
    <col min="1802" max="1802" width="12.7109375" style="98" customWidth="1"/>
    <col min="1803" max="1803" width="1" style="98" customWidth="1"/>
    <col min="1804" max="1804" width="12.7109375" style="98" customWidth="1"/>
    <col min="1805" max="2048" width="9.140625" style="98"/>
    <col min="2049" max="2049" width="9" style="98" customWidth="1"/>
    <col min="2050" max="2050" width="9.140625" style="98"/>
    <col min="2051" max="2051" width="9.7109375" style="98" customWidth="1"/>
    <col min="2052" max="2052" width="9" style="98" customWidth="1"/>
    <col min="2053" max="2053" width="10.7109375" style="98" customWidth="1"/>
    <col min="2054" max="2054" width="12.7109375" style="98" customWidth="1"/>
    <col min="2055" max="2055" width="1" style="98" customWidth="1"/>
    <col min="2056" max="2056" width="12.7109375" style="98" customWidth="1"/>
    <col min="2057" max="2057" width="1" style="98" customWidth="1"/>
    <col min="2058" max="2058" width="12.7109375" style="98" customWidth="1"/>
    <col min="2059" max="2059" width="1" style="98" customWidth="1"/>
    <col min="2060" max="2060" width="12.7109375" style="98" customWidth="1"/>
    <col min="2061" max="2304" width="9.140625" style="98"/>
    <col min="2305" max="2305" width="9" style="98" customWidth="1"/>
    <col min="2306" max="2306" width="9.140625" style="98"/>
    <col min="2307" max="2307" width="9.7109375" style="98" customWidth="1"/>
    <col min="2308" max="2308" width="9" style="98" customWidth="1"/>
    <col min="2309" max="2309" width="10.7109375" style="98" customWidth="1"/>
    <col min="2310" max="2310" width="12.7109375" style="98" customWidth="1"/>
    <col min="2311" max="2311" width="1" style="98" customWidth="1"/>
    <col min="2312" max="2312" width="12.7109375" style="98" customWidth="1"/>
    <col min="2313" max="2313" width="1" style="98" customWidth="1"/>
    <col min="2314" max="2314" width="12.7109375" style="98" customWidth="1"/>
    <col min="2315" max="2315" width="1" style="98" customWidth="1"/>
    <col min="2316" max="2316" width="12.7109375" style="98" customWidth="1"/>
    <col min="2317" max="2560" width="9.140625" style="98"/>
    <col min="2561" max="2561" width="9" style="98" customWidth="1"/>
    <col min="2562" max="2562" width="9.140625" style="98"/>
    <col min="2563" max="2563" width="9.7109375" style="98" customWidth="1"/>
    <col min="2564" max="2564" width="9" style="98" customWidth="1"/>
    <col min="2565" max="2565" width="10.7109375" style="98" customWidth="1"/>
    <col min="2566" max="2566" width="12.7109375" style="98" customWidth="1"/>
    <col min="2567" max="2567" width="1" style="98" customWidth="1"/>
    <col min="2568" max="2568" width="12.7109375" style="98" customWidth="1"/>
    <col min="2569" max="2569" width="1" style="98" customWidth="1"/>
    <col min="2570" max="2570" width="12.7109375" style="98" customWidth="1"/>
    <col min="2571" max="2571" width="1" style="98" customWidth="1"/>
    <col min="2572" max="2572" width="12.7109375" style="98" customWidth="1"/>
    <col min="2573" max="2816" width="9.140625" style="98"/>
    <col min="2817" max="2817" width="9" style="98" customWidth="1"/>
    <col min="2818" max="2818" width="9.140625" style="98"/>
    <col min="2819" max="2819" width="9.7109375" style="98" customWidth="1"/>
    <col min="2820" max="2820" width="9" style="98" customWidth="1"/>
    <col min="2821" max="2821" width="10.7109375" style="98" customWidth="1"/>
    <col min="2822" max="2822" width="12.7109375" style="98" customWidth="1"/>
    <col min="2823" max="2823" width="1" style="98" customWidth="1"/>
    <col min="2824" max="2824" width="12.7109375" style="98" customWidth="1"/>
    <col min="2825" max="2825" width="1" style="98" customWidth="1"/>
    <col min="2826" max="2826" width="12.7109375" style="98" customWidth="1"/>
    <col min="2827" max="2827" width="1" style="98" customWidth="1"/>
    <col min="2828" max="2828" width="12.7109375" style="98" customWidth="1"/>
    <col min="2829" max="3072" width="9.140625" style="98"/>
    <col min="3073" max="3073" width="9" style="98" customWidth="1"/>
    <col min="3074" max="3074" width="9.140625" style="98"/>
    <col min="3075" max="3075" width="9.7109375" style="98" customWidth="1"/>
    <col min="3076" max="3076" width="9" style="98" customWidth="1"/>
    <col min="3077" max="3077" width="10.7109375" style="98" customWidth="1"/>
    <col min="3078" max="3078" width="12.7109375" style="98" customWidth="1"/>
    <col min="3079" max="3079" width="1" style="98" customWidth="1"/>
    <col min="3080" max="3080" width="12.7109375" style="98" customWidth="1"/>
    <col min="3081" max="3081" width="1" style="98" customWidth="1"/>
    <col min="3082" max="3082" width="12.7109375" style="98" customWidth="1"/>
    <col min="3083" max="3083" width="1" style="98" customWidth="1"/>
    <col min="3084" max="3084" width="12.7109375" style="98" customWidth="1"/>
    <col min="3085" max="3328" width="9.140625" style="98"/>
    <col min="3329" max="3329" width="9" style="98" customWidth="1"/>
    <col min="3330" max="3330" width="9.140625" style="98"/>
    <col min="3331" max="3331" width="9.7109375" style="98" customWidth="1"/>
    <col min="3332" max="3332" width="9" style="98" customWidth="1"/>
    <col min="3333" max="3333" width="10.7109375" style="98" customWidth="1"/>
    <col min="3334" max="3334" width="12.7109375" style="98" customWidth="1"/>
    <col min="3335" max="3335" width="1" style="98" customWidth="1"/>
    <col min="3336" max="3336" width="12.7109375" style="98" customWidth="1"/>
    <col min="3337" max="3337" width="1" style="98" customWidth="1"/>
    <col min="3338" max="3338" width="12.7109375" style="98" customWidth="1"/>
    <col min="3339" max="3339" width="1" style="98" customWidth="1"/>
    <col min="3340" max="3340" width="12.7109375" style="98" customWidth="1"/>
    <col min="3341" max="3584" width="9.140625" style="98"/>
    <col min="3585" max="3585" width="9" style="98" customWidth="1"/>
    <col min="3586" max="3586" width="9.140625" style="98"/>
    <col min="3587" max="3587" width="9.7109375" style="98" customWidth="1"/>
    <col min="3588" max="3588" width="9" style="98" customWidth="1"/>
    <col min="3589" max="3589" width="10.7109375" style="98" customWidth="1"/>
    <col min="3590" max="3590" width="12.7109375" style="98" customWidth="1"/>
    <col min="3591" max="3591" width="1" style="98" customWidth="1"/>
    <col min="3592" max="3592" width="12.7109375" style="98" customWidth="1"/>
    <col min="3593" max="3593" width="1" style="98" customWidth="1"/>
    <col min="3594" max="3594" width="12.7109375" style="98" customWidth="1"/>
    <col min="3595" max="3595" width="1" style="98" customWidth="1"/>
    <col min="3596" max="3596" width="12.7109375" style="98" customWidth="1"/>
    <col min="3597" max="3840" width="9.140625" style="98"/>
    <col min="3841" max="3841" width="9" style="98" customWidth="1"/>
    <col min="3842" max="3842" width="9.140625" style="98"/>
    <col min="3843" max="3843" width="9.7109375" style="98" customWidth="1"/>
    <col min="3844" max="3844" width="9" style="98" customWidth="1"/>
    <col min="3845" max="3845" width="10.7109375" style="98" customWidth="1"/>
    <col min="3846" max="3846" width="12.7109375" style="98" customWidth="1"/>
    <col min="3847" max="3847" width="1" style="98" customWidth="1"/>
    <col min="3848" max="3848" width="12.7109375" style="98" customWidth="1"/>
    <col min="3849" max="3849" width="1" style="98" customWidth="1"/>
    <col min="3850" max="3850" width="12.7109375" style="98" customWidth="1"/>
    <col min="3851" max="3851" width="1" style="98" customWidth="1"/>
    <col min="3852" max="3852" width="12.7109375" style="98" customWidth="1"/>
    <col min="3853" max="4096" width="9.140625" style="98"/>
    <col min="4097" max="4097" width="9" style="98" customWidth="1"/>
    <col min="4098" max="4098" width="9.140625" style="98"/>
    <col min="4099" max="4099" width="9.7109375" style="98" customWidth="1"/>
    <col min="4100" max="4100" width="9" style="98" customWidth="1"/>
    <col min="4101" max="4101" width="10.7109375" style="98" customWidth="1"/>
    <col min="4102" max="4102" width="12.7109375" style="98" customWidth="1"/>
    <col min="4103" max="4103" width="1" style="98" customWidth="1"/>
    <col min="4104" max="4104" width="12.7109375" style="98" customWidth="1"/>
    <col min="4105" max="4105" width="1" style="98" customWidth="1"/>
    <col min="4106" max="4106" width="12.7109375" style="98" customWidth="1"/>
    <col min="4107" max="4107" width="1" style="98" customWidth="1"/>
    <col min="4108" max="4108" width="12.7109375" style="98" customWidth="1"/>
    <col min="4109" max="4352" width="9.140625" style="98"/>
    <col min="4353" max="4353" width="9" style="98" customWidth="1"/>
    <col min="4354" max="4354" width="9.140625" style="98"/>
    <col min="4355" max="4355" width="9.7109375" style="98" customWidth="1"/>
    <col min="4356" max="4356" width="9" style="98" customWidth="1"/>
    <col min="4357" max="4357" width="10.7109375" style="98" customWidth="1"/>
    <col min="4358" max="4358" width="12.7109375" style="98" customWidth="1"/>
    <col min="4359" max="4359" width="1" style="98" customWidth="1"/>
    <col min="4360" max="4360" width="12.7109375" style="98" customWidth="1"/>
    <col min="4361" max="4361" width="1" style="98" customWidth="1"/>
    <col min="4362" max="4362" width="12.7109375" style="98" customWidth="1"/>
    <col min="4363" max="4363" width="1" style="98" customWidth="1"/>
    <col min="4364" max="4364" width="12.7109375" style="98" customWidth="1"/>
    <col min="4365" max="4608" width="9.140625" style="98"/>
    <col min="4609" max="4609" width="9" style="98" customWidth="1"/>
    <col min="4610" max="4610" width="9.140625" style="98"/>
    <col min="4611" max="4611" width="9.7109375" style="98" customWidth="1"/>
    <col min="4612" max="4612" width="9" style="98" customWidth="1"/>
    <col min="4613" max="4613" width="10.7109375" style="98" customWidth="1"/>
    <col min="4614" max="4614" width="12.7109375" style="98" customWidth="1"/>
    <col min="4615" max="4615" width="1" style="98" customWidth="1"/>
    <col min="4616" max="4616" width="12.7109375" style="98" customWidth="1"/>
    <col min="4617" max="4617" width="1" style="98" customWidth="1"/>
    <col min="4618" max="4618" width="12.7109375" style="98" customWidth="1"/>
    <col min="4619" max="4619" width="1" style="98" customWidth="1"/>
    <col min="4620" max="4620" width="12.7109375" style="98" customWidth="1"/>
    <col min="4621" max="4864" width="9.140625" style="98"/>
    <col min="4865" max="4865" width="9" style="98" customWidth="1"/>
    <col min="4866" max="4866" width="9.140625" style="98"/>
    <col min="4867" max="4867" width="9.7109375" style="98" customWidth="1"/>
    <col min="4868" max="4868" width="9" style="98" customWidth="1"/>
    <col min="4869" max="4869" width="10.7109375" style="98" customWidth="1"/>
    <col min="4870" max="4870" width="12.7109375" style="98" customWidth="1"/>
    <col min="4871" max="4871" width="1" style="98" customWidth="1"/>
    <col min="4872" max="4872" width="12.7109375" style="98" customWidth="1"/>
    <col min="4873" max="4873" width="1" style="98" customWidth="1"/>
    <col min="4874" max="4874" width="12.7109375" style="98" customWidth="1"/>
    <col min="4875" max="4875" width="1" style="98" customWidth="1"/>
    <col min="4876" max="4876" width="12.7109375" style="98" customWidth="1"/>
    <col min="4877" max="5120" width="9.140625" style="98"/>
    <col min="5121" max="5121" width="9" style="98" customWidth="1"/>
    <col min="5122" max="5122" width="9.140625" style="98"/>
    <col min="5123" max="5123" width="9.7109375" style="98" customWidth="1"/>
    <col min="5124" max="5124" width="9" style="98" customWidth="1"/>
    <col min="5125" max="5125" width="10.7109375" style="98" customWidth="1"/>
    <col min="5126" max="5126" width="12.7109375" style="98" customWidth="1"/>
    <col min="5127" max="5127" width="1" style="98" customWidth="1"/>
    <col min="5128" max="5128" width="12.7109375" style="98" customWidth="1"/>
    <col min="5129" max="5129" width="1" style="98" customWidth="1"/>
    <col min="5130" max="5130" width="12.7109375" style="98" customWidth="1"/>
    <col min="5131" max="5131" width="1" style="98" customWidth="1"/>
    <col min="5132" max="5132" width="12.7109375" style="98" customWidth="1"/>
    <col min="5133" max="5376" width="9.140625" style="98"/>
    <col min="5377" max="5377" width="9" style="98" customWidth="1"/>
    <col min="5378" max="5378" width="9.140625" style="98"/>
    <col min="5379" max="5379" width="9.7109375" style="98" customWidth="1"/>
    <col min="5380" max="5380" width="9" style="98" customWidth="1"/>
    <col min="5381" max="5381" width="10.7109375" style="98" customWidth="1"/>
    <col min="5382" max="5382" width="12.7109375" style="98" customWidth="1"/>
    <col min="5383" max="5383" width="1" style="98" customWidth="1"/>
    <col min="5384" max="5384" width="12.7109375" style="98" customWidth="1"/>
    <col min="5385" max="5385" width="1" style="98" customWidth="1"/>
    <col min="5386" max="5386" width="12.7109375" style="98" customWidth="1"/>
    <col min="5387" max="5387" width="1" style="98" customWidth="1"/>
    <col min="5388" max="5388" width="12.7109375" style="98" customWidth="1"/>
    <col min="5389" max="5632" width="9.140625" style="98"/>
    <col min="5633" max="5633" width="9" style="98" customWidth="1"/>
    <col min="5634" max="5634" width="9.140625" style="98"/>
    <col min="5635" max="5635" width="9.7109375" style="98" customWidth="1"/>
    <col min="5636" max="5636" width="9" style="98" customWidth="1"/>
    <col min="5637" max="5637" width="10.7109375" style="98" customWidth="1"/>
    <col min="5638" max="5638" width="12.7109375" style="98" customWidth="1"/>
    <col min="5639" max="5639" width="1" style="98" customWidth="1"/>
    <col min="5640" max="5640" width="12.7109375" style="98" customWidth="1"/>
    <col min="5641" max="5641" width="1" style="98" customWidth="1"/>
    <col min="5642" max="5642" width="12.7109375" style="98" customWidth="1"/>
    <col min="5643" max="5643" width="1" style="98" customWidth="1"/>
    <col min="5644" max="5644" width="12.7109375" style="98" customWidth="1"/>
    <col min="5645" max="5888" width="9.140625" style="98"/>
    <col min="5889" max="5889" width="9" style="98" customWidth="1"/>
    <col min="5890" max="5890" width="9.140625" style="98"/>
    <col min="5891" max="5891" width="9.7109375" style="98" customWidth="1"/>
    <col min="5892" max="5892" width="9" style="98" customWidth="1"/>
    <col min="5893" max="5893" width="10.7109375" style="98" customWidth="1"/>
    <col min="5894" max="5894" width="12.7109375" style="98" customWidth="1"/>
    <col min="5895" max="5895" width="1" style="98" customWidth="1"/>
    <col min="5896" max="5896" width="12.7109375" style="98" customWidth="1"/>
    <col min="5897" max="5897" width="1" style="98" customWidth="1"/>
    <col min="5898" max="5898" width="12.7109375" style="98" customWidth="1"/>
    <col min="5899" max="5899" width="1" style="98" customWidth="1"/>
    <col min="5900" max="5900" width="12.7109375" style="98" customWidth="1"/>
    <col min="5901" max="6144" width="9.140625" style="98"/>
    <col min="6145" max="6145" width="9" style="98" customWidth="1"/>
    <col min="6146" max="6146" width="9.140625" style="98"/>
    <col min="6147" max="6147" width="9.7109375" style="98" customWidth="1"/>
    <col min="6148" max="6148" width="9" style="98" customWidth="1"/>
    <col min="6149" max="6149" width="10.7109375" style="98" customWidth="1"/>
    <col min="6150" max="6150" width="12.7109375" style="98" customWidth="1"/>
    <col min="6151" max="6151" width="1" style="98" customWidth="1"/>
    <col min="6152" max="6152" width="12.7109375" style="98" customWidth="1"/>
    <col min="6153" max="6153" width="1" style="98" customWidth="1"/>
    <col min="6154" max="6154" width="12.7109375" style="98" customWidth="1"/>
    <col min="6155" max="6155" width="1" style="98" customWidth="1"/>
    <col min="6156" max="6156" width="12.7109375" style="98" customWidth="1"/>
    <col min="6157" max="6400" width="9.140625" style="98"/>
    <col min="6401" max="6401" width="9" style="98" customWidth="1"/>
    <col min="6402" max="6402" width="9.140625" style="98"/>
    <col min="6403" max="6403" width="9.7109375" style="98" customWidth="1"/>
    <col min="6404" max="6404" width="9" style="98" customWidth="1"/>
    <col min="6405" max="6405" width="10.7109375" style="98" customWidth="1"/>
    <col min="6406" max="6406" width="12.7109375" style="98" customWidth="1"/>
    <col min="6407" max="6407" width="1" style="98" customWidth="1"/>
    <col min="6408" max="6408" width="12.7109375" style="98" customWidth="1"/>
    <col min="6409" max="6409" width="1" style="98" customWidth="1"/>
    <col min="6410" max="6410" width="12.7109375" style="98" customWidth="1"/>
    <col min="6411" max="6411" width="1" style="98" customWidth="1"/>
    <col min="6412" max="6412" width="12.7109375" style="98" customWidth="1"/>
    <col min="6413" max="6656" width="9.140625" style="98"/>
    <col min="6657" max="6657" width="9" style="98" customWidth="1"/>
    <col min="6658" max="6658" width="9.140625" style="98"/>
    <col min="6659" max="6659" width="9.7109375" style="98" customWidth="1"/>
    <col min="6660" max="6660" width="9" style="98" customWidth="1"/>
    <col min="6661" max="6661" width="10.7109375" style="98" customWidth="1"/>
    <col min="6662" max="6662" width="12.7109375" style="98" customWidth="1"/>
    <col min="6663" max="6663" width="1" style="98" customWidth="1"/>
    <col min="6664" max="6664" width="12.7109375" style="98" customWidth="1"/>
    <col min="6665" max="6665" width="1" style="98" customWidth="1"/>
    <col min="6666" max="6666" width="12.7109375" style="98" customWidth="1"/>
    <col min="6667" max="6667" width="1" style="98" customWidth="1"/>
    <col min="6668" max="6668" width="12.7109375" style="98" customWidth="1"/>
    <col min="6669" max="6912" width="9.140625" style="98"/>
    <col min="6913" max="6913" width="9" style="98" customWidth="1"/>
    <col min="6914" max="6914" width="9.140625" style="98"/>
    <col min="6915" max="6915" width="9.7109375" style="98" customWidth="1"/>
    <col min="6916" max="6916" width="9" style="98" customWidth="1"/>
    <col min="6917" max="6917" width="10.7109375" style="98" customWidth="1"/>
    <col min="6918" max="6918" width="12.7109375" style="98" customWidth="1"/>
    <col min="6919" max="6919" width="1" style="98" customWidth="1"/>
    <col min="6920" max="6920" width="12.7109375" style="98" customWidth="1"/>
    <col min="6921" max="6921" width="1" style="98" customWidth="1"/>
    <col min="6922" max="6922" width="12.7109375" style="98" customWidth="1"/>
    <col min="6923" max="6923" width="1" style="98" customWidth="1"/>
    <col min="6924" max="6924" width="12.7109375" style="98" customWidth="1"/>
    <col min="6925" max="7168" width="9.140625" style="98"/>
    <col min="7169" max="7169" width="9" style="98" customWidth="1"/>
    <col min="7170" max="7170" width="9.140625" style="98"/>
    <col min="7171" max="7171" width="9.7109375" style="98" customWidth="1"/>
    <col min="7172" max="7172" width="9" style="98" customWidth="1"/>
    <col min="7173" max="7173" width="10.7109375" style="98" customWidth="1"/>
    <col min="7174" max="7174" width="12.7109375" style="98" customWidth="1"/>
    <col min="7175" max="7175" width="1" style="98" customWidth="1"/>
    <col min="7176" max="7176" width="12.7109375" style="98" customWidth="1"/>
    <col min="7177" max="7177" width="1" style="98" customWidth="1"/>
    <col min="7178" max="7178" width="12.7109375" style="98" customWidth="1"/>
    <col min="7179" max="7179" width="1" style="98" customWidth="1"/>
    <col min="7180" max="7180" width="12.7109375" style="98" customWidth="1"/>
    <col min="7181" max="7424" width="9.140625" style="98"/>
    <col min="7425" max="7425" width="9" style="98" customWidth="1"/>
    <col min="7426" max="7426" width="9.140625" style="98"/>
    <col min="7427" max="7427" width="9.7109375" style="98" customWidth="1"/>
    <col min="7428" max="7428" width="9" style="98" customWidth="1"/>
    <col min="7429" max="7429" width="10.7109375" style="98" customWidth="1"/>
    <col min="7430" max="7430" width="12.7109375" style="98" customWidth="1"/>
    <col min="7431" max="7431" width="1" style="98" customWidth="1"/>
    <col min="7432" max="7432" width="12.7109375" style="98" customWidth="1"/>
    <col min="7433" max="7433" width="1" style="98" customWidth="1"/>
    <col min="7434" max="7434" width="12.7109375" style="98" customWidth="1"/>
    <col min="7435" max="7435" width="1" style="98" customWidth="1"/>
    <col min="7436" max="7436" width="12.7109375" style="98" customWidth="1"/>
    <col min="7437" max="7680" width="9.140625" style="98"/>
    <col min="7681" max="7681" width="9" style="98" customWidth="1"/>
    <col min="7682" max="7682" width="9.140625" style="98"/>
    <col min="7683" max="7683" width="9.7109375" style="98" customWidth="1"/>
    <col min="7684" max="7684" width="9" style="98" customWidth="1"/>
    <col min="7685" max="7685" width="10.7109375" style="98" customWidth="1"/>
    <col min="7686" max="7686" width="12.7109375" style="98" customWidth="1"/>
    <col min="7687" max="7687" width="1" style="98" customWidth="1"/>
    <col min="7688" max="7688" width="12.7109375" style="98" customWidth="1"/>
    <col min="7689" max="7689" width="1" style="98" customWidth="1"/>
    <col min="7690" max="7690" width="12.7109375" style="98" customWidth="1"/>
    <col min="7691" max="7691" width="1" style="98" customWidth="1"/>
    <col min="7692" max="7692" width="12.7109375" style="98" customWidth="1"/>
    <col min="7693" max="7936" width="9.140625" style="98"/>
    <col min="7937" max="7937" width="9" style="98" customWidth="1"/>
    <col min="7938" max="7938" width="9.140625" style="98"/>
    <col min="7939" max="7939" width="9.7109375" style="98" customWidth="1"/>
    <col min="7940" max="7940" width="9" style="98" customWidth="1"/>
    <col min="7941" max="7941" width="10.7109375" style="98" customWidth="1"/>
    <col min="7942" max="7942" width="12.7109375" style="98" customWidth="1"/>
    <col min="7943" max="7943" width="1" style="98" customWidth="1"/>
    <col min="7944" max="7944" width="12.7109375" style="98" customWidth="1"/>
    <col min="7945" max="7945" width="1" style="98" customWidth="1"/>
    <col min="7946" max="7946" width="12.7109375" style="98" customWidth="1"/>
    <col min="7947" max="7947" width="1" style="98" customWidth="1"/>
    <col min="7948" max="7948" width="12.7109375" style="98" customWidth="1"/>
    <col min="7949" max="8192" width="9.140625" style="98"/>
    <col min="8193" max="8193" width="9" style="98" customWidth="1"/>
    <col min="8194" max="8194" width="9.140625" style="98"/>
    <col min="8195" max="8195" width="9.7109375" style="98" customWidth="1"/>
    <col min="8196" max="8196" width="9" style="98" customWidth="1"/>
    <col min="8197" max="8197" width="10.7109375" style="98" customWidth="1"/>
    <col min="8198" max="8198" width="12.7109375" style="98" customWidth="1"/>
    <col min="8199" max="8199" width="1" style="98" customWidth="1"/>
    <col min="8200" max="8200" width="12.7109375" style="98" customWidth="1"/>
    <col min="8201" max="8201" width="1" style="98" customWidth="1"/>
    <col min="8202" max="8202" width="12.7109375" style="98" customWidth="1"/>
    <col min="8203" max="8203" width="1" style="98" customWidth="1"/>
    <col min="8204" max="8204" width="12.7109375" style="98" customWidth="1"/>
    <col min="8205" max="8448" width="9.140625" style="98"/>
    <col min="8449" max="8449" width="9" style="98" customWidth="1"/>
    <col min="8450" max="8450" width="9.140625" style="98"/>
    <col min="8451" max="8451" width="9.7109375" style="98" customWidth="1"/>
    <col min="8452" max="8452" width="9" style="98" customWidth="1"/>
    <col min="8453" max="8453" width="10.7109375" style="98" customWidth="1"/>
    <col min="8454" max="8454" width="12.7109375" style="98" customWidth="1"/>
    <col min="8455" max="8455" width="1" style="98" customWidth="1"/>
    <col min="8456" max="8456" width="12.7109375" style="98" customWidth="1"/>
    <col min="8457" max="8457" width="1" style="98" customWidth="1"/>
    <col min="8458" max="8458" width="12.7109375" style="98" customWidth="1"/>
    <col min="8459" max="8459" width="1" style="98" customWidth="1"/>
    <col min="8460" max="8460" width="12.7109375" style="98" customWidth="1"/>
    <col min="8461" max="8704" width="9.140625" style="98"/>
    <col min="8705" max="8705" width="9" style="98" customWidth="1"/>
    <col min="8706" max="8706" width="9.140625" style="98"/>
    <col min="8707" max="8707" width="9.7109375" style="98" customWidth="1"/>
    <col min="8708" max="8708" width="9" style="98" customWidth="1"/>
    <col min="8709" max="8709" width="10.7109375" style="98" customWidth="1"/>
    <col min="8710" max="8710" width="12.7109375" style="98" customWidth="1"/>
    <col min="8711" max="8711" width="1" style="98" customWidth="1"/>
    <col min="8712" max="8712" width="12.7109375" style="98" customWidth="1"/>
    <col min="8713" max="8713" width="1" style="98" customWidth="1"/>
    <col min="8714" max="8714" width="12.7109375" style="98" customWidth="1"/>
    <col min="8715" max="8715" width="1" style="98" customWidth="1"/>
    <col min="8716" max="8716" width="12.7109375" style="98" customWidth="1"/>
    <col min="8717" max="8960" width="9.140625" style="98"/>
    <col min="8961" max="8961" width="9" style="98" customWidth="1"/>
    <col min="8962" max="8962" width="9.140625" style="98"/>
    <col min="8963" max="8963" width="9.7109375" style="98" customWidth="1"/>
    <col min="8964" max="8964" width="9" style="98" customWidth="1"/>
    <col min="8965" max="8965" width="10.7109375" style="98" customWidth="1"/>
    <col min="8966" max="8966" width="12.7109375" style="98" customWidth="1"/>
    <col min="8967" max="8967" width="1" style="98" customWidth="1"/>
    <col min="8968" max="8968" width="12.7109375" style="98" customWidth="1"/>
    <col min="8969" max="8969" width="1" style="98" customWidth="1"/>
    <col min="8970" max="8970" width="12.7109375" style="98" customWidth="1"/>
    <col min="8971" max="8971" width="1" style="98" customWidth="1"/>
    <col min="8972" max="8972" width="12.7109375" style="98" customWidth="1"/>
    <col min="8973" max="9216" width="9.140625" style="98"/>
    <col min="9217" max="9217" width="9" style="98" customWidth="1"/>
    <col min="9218" max="9218" width="9.140625" style="98"/>
    <col min="9219" max="9219" width="9.7109375" style="98" customWidth="1"/>
    <col min="9220" max="9220" width="9" style="98" customWidth="1"/>
    <col min="9221" max="9221" width="10.7109375" style="98" customWidth="1"/>
    <col min="9222" max="9222" width="12.7109375" style="98" customWidth="1"/>
    <col min="9223" max="9223" width="1" style="98" customWidth="1"/>
    <col min="9224" max="9224" width="12.7109375" style="98" customWidth="1"/>
    <col min="9225" max="9225" width="1" style="98" customWidth="1"/>
    <col min="9226" max="9226" width="12.7109375" style="98" customWidth="1"/>
    <col min="9227" max="9227" width="1" style="98" customWidth="1"/>
    <col min="9228" max="9228" width="12.7109375" style="98" customWidth="1"/>
    <col min="9229" max="9472" width="9.140625" style="98"/>
    <col min="9473" max="9473" width="9" style="98" customWidth="1"/>
    <col min="9474" max="9474" width="9.140625" style="98"/>
    <col min="9475" max="9475" width="9.7109375" style="98" customWidth="1"/>
    <col min="9476" max="9476" width="9" style="98" customWidth="1"/>
    <col min="9477" max="9477" width="10.7109375" style="98" customWidth="1"/>
    <col min="9478" max="9478" width="12.7109375" style="98" customWidth="1"/>
    <col min="9479" max="9479" width="1" style="98" customWidth="1"/>
    <col min="9480" max="9480" width="12.7109375" style="98" customWidth="1"/>
    <col min="9481" max="9481" width="1" style="98" customWidth="1"/>
    <col min="9482" max="9482" width="12.7109375" style="98" customWidth="1"/>
    <col min="9483" max="9483" width="1" style="98" customWidth="1"/>
    <col min="9484" max="9484" width="12.7109375" style="98" customWidth="1"/>
    <col min="9485" max="9728" width="9.140625" style="98"/>
    <col min="9729" max="9729" width="9" style="98" customWidth="1"/>
    <col min="9730" max="9730" width="9.140625" style="98"/>
    <col min="9731" max="9731" width="9.7109375" style="98" customWidth="1"/>
    <col min="9732" max="9732" width="9" style="98" customWidth="1"/>
    <col min="9733" max="9733" width="10.7109375" style="98" customWidth="1"/>
    <col min="9734" max="9734" width="12.7109375" style="98" customWidth="1"/>
    <col min="9735" max="9735" width="1" style="98" customWidth="1"/>
    <col min="9736" max="9736" width="12.7109375" style="98" customWidth="1"/>
    <col min="9737" max="9737" width="1" style="98" customWidth="1"/>
    <col min="9738" max="9738" width="12.7109375" style="98" customWidth="1"/>
    <col min="9739" max="9739" width="1" style="98" customWidth="1"/>
    <col min="9740" max="9740" width="12.7109375" style="98" customWidth="1"/>
    <col min="9741" max="9984" width="9.140625" style="98"/>
    <col min="9985" max="9985" width="9" style="98" customWidth="1"/>
    <col min="9986" max="9986" width="9.140625" style="98"/>
    <col min="9987" max="9987" width="9.7109375" style="98" customWidth="1"/>
    <col min="9988" max="9988" width="9" style="98" customWidth="1"/>
    <col min="9989" max="9989" width="10.7109375" style="98" customWidth="1"/>
    <col min="9990" max="9990" width="12.7109375" style="98" customWidth="1"/>
    <col min="9991" max="9991" width="1" style="98" customWidth="1"/>
    <col min="9992" max="9992" width="12.7109375" style="98" customWidth="1"/>
    <col min="9993" max="9993" width="1" style="98" customWidth="1"/>
    <col min="9994" max="9994" width="12.7109375" style="98" customWidth="1"/>
    <col min="9995" max="9995" width="1" style="98" customWidth="1"/>
    <col min="9996" max="9996" width="12.7109375" style="98" customWidth="1"/>
    <col min="9997" max="10240" width="9.140625" style="98"/>
    <col min="10241" max="10241" width="9" style="98" customWidth="1"/>
    <col min="10242" max="10242" width="9.140625" style="98"/>
    <col min="10243" max="10243" width="9.7109375" style="98" customWidth="1"/>
    <col min="10244" max="10244" width="9" style="98" customWidth="1"/>
    <col min="10245" max="10245" width="10.7109375" style="98" customWidth="1"/>
    <col min="10246" max="10246" width="12.7109375" style="98" customWidth="1"/>
    <col min="10247" max="10247" width="1" style="98" customWidth="1"/>
    <col min="10248" max="10248" width="12.7109375" style="98" customWidth="1"/>
    <col min="10249" max="10249" width="1" style="98" customWidth="1"/>
    <col min="10250" max="10250" width="12.7109375" style="98" customWidth="1"/>
    <col min="10251" max="10251" width="1" style="98" customWidth="1"/>
    <col min="10252" max="10252" width="12.7109375" style="98" customWidth="1"/>
    <col min="10253" max="10496" width="9.140625" style="98"/>
    <col min="10497" max="10497" width="9" style="98" customWidth="1"/>
    <col min="10498" max="10498" width="9.140625" style="98"/>
    <col min="10499" max="10499" width="9.7109375" style="98" customWidth="1"/>
    <col min="10500" max="10500" width="9" style="98" customWidth="1"/>
    <col min="10501" max="10501" width="10.7109375" style="98" customWidth="1"/>
    <col min="10502" max="10502" width="12.7109375" style="98" customWidth="1"/>
    <col min="10503" max="10503" width="1" style="98" customWidth="1"/>
    <col min="10504" max="10504" width="12.7109375" style="98" customWidth="1"/>
    <col min="10505" max="10505" width="1" style="98" customWidth="1"/>
    <col min="10506" max="10506" width="12.7109375" style="98" customWidth="1"/>
    <col min="10507" max="10507" width="1" style="98" customWidth="1"/>
    <col min="10508" max="10508" width="12.7109375" style="98" customWidth="1"/>
    <col min="10509" max="10752" width="9.140625" style="98"/>
    <col min="10753" max="10753" width="9" style="98" customWidth="1"/>
    <col min="10754" max="10754" width="9.140625" style="98"/>
    <col min="10755" max="10755" width="9.7109375" style="98" customWidth="1"/>
    <col min="10756" max="10756" width="9" style="98" customWidth="1"/>
    <col min="10757" max="10757" width="10.7109375" style="98" customWidth="1"/>
    <col min="10758" max="10758" width="12.7109375" style="98" customWidth="1"/>
    <col min="10759" max="10759" width="1" style="98" customWidth="1"/>
    <col min="10760" max="10760" width="12.7109375" style="98" customWidth="1"/>
    <col min="10761" max="10761" width="1" style="98" customWidth="1"/>
    <col min="10762" max="10762" width="12.7109375" style="98" customWidth="1"/>
    <col min="10763" max="10763" width="1" style="98" customWidth="1"/>
    <col min="10764" max="10764" width="12.7109375" style="98" customWidth="1"/>
    <col min="10765" max="11008" width="9.140625" style="98"/>
    <col min="11009" max="11009" width="9" style="98" customWidth="1"/>
    <col min="11010" max="11010" width="9.140625" style="98"/>
    <col min="11011" max="11011" width="9.7109375" style="98" customWidth="1"/>
    <col min="11012" max="11012" width="9" style="98" customWidth="1"/>
    <col min="11013" max="11013" width="10.7109375" style="98" customWidth="1"/>
    <col min="11014" max="11014" width="12.7109375" style="98" customWidth="1"/>
    <col min="11015" max="11015" width="1" style="98" customWidth="1"/>
    <col min="11016" max="11016" width="12.7109375" style="98" customWidth="1"/>
    <col min="11017" max="11017" width="1" style="98" customWidth="1"/>
    <col min="11018" max="11018" width="12.7109375" style="98" customWidth="1"/>
    <col min="11019" max="11019" width="1" style="98" customWidth="1"/>
    <col min="11020" max="11020" width="12.7109375" style="98" customWidth="1"/>
    <col min="11021" max="11264" width="9.140625" style="98"/>
    <col min="11265" max="11265" width="9" style="98" customWidth="1"/>
    <col min="11266" max="11266" width="9.140625" style="98"/>
    <col min="11267" max="11267" width="9.7109375" style="98" customWidth="1"/>
    <col min="11268" max="11268" width="9" style="98" customWidth="1"/>
    <col min="11269" max="11269" width="10.7109375" style="98" customWidth="1"/>
    <col min="11270" max="11270" width="12.7109375" style="98" customWidth="1"/>
    <col min="11271" max="11271" width="1" style="98" customWidth="1"/>
    <col min="11272" max="11272" width="12.7109375" style="98" customWidth="1"/>
    <col min="11273" max="11273" width="1" style="98" customWidth="1"/>
    <col min="11274" max="11274" width="12.7109375" style="98" customWidth="1"/>
    <col min="11275" max="11275" width="1" style="98" customWidth="1"/>
    <col min="11276" max="11276" width="12.7109375" style="98" customWidth="1"/>
    <col min="11277" max="11520" width="9.140625" style="98"/>
    <col min="11521" max="11521" width="9" style="98" customWidth="1"/>
    <col min="11522" max="11522" width="9.140625" style="98"/>
    <col min="11523" max="11523" width="9.7109375" style="98" customWidth="1"/>
    <col min="11524" max="11524" width="9" style="98" customWidth="1"/>
    <col min="11525" max="11525" width="10.7109375" style="98" customWidth="1"/>
    <col min="11526" max="11526" width="12.7109375" style="98" customWidth="1"/>
    <col min="11527" max="11527" width="1" style="98" customWidth="1"/>
    <col min="11528" max="11528" width="12.7109375" style="98" customWidth="1"/>
    <col min="11529" max="11529" width="1" style="98" customWidth="1"/>
    <col min="11530" max="11530" width="12.7109375" style="98" customWidth="1"/>
    <col min="11531" max="11531" width="1" style="98" customWidth="1"/>
    <col min="11532" max="11532" width="12.7109375" style="98" customWidth="1"/>
    <col min="11533" max="11776" width="9.140625" style="98"/>
    <col min="11777" max="11777" width="9" style="98" customWidth="1"/>
    <col min="11778" max="11778" width="9.140625" style="98"/>
    <col min="11779" max="11779" width="9.7109375" style="98" customWidth="1"/>
    <col min="11780" max="11780" width="9" style="98" customWidth="1"/>
    <col min="11781" max="11781" width="10.7109375" style="98" customWidth="1"/>
    <col min="11782" max="11782" width="12.7109375" style="98" customWidth="1"/>
    <col min="11783" max="11783" width="1" style="98" customWidth="1"/>
    <col min="11784" max="11784" width="12.7109375" style="98" customWidth="1"/>
    <col min="11785" max="11785" width="1" style="98" customWidth="1"/>
    <col min="11786" max="11786" width="12.7109375" style="98" customWidth="1"/>
    <col min="11787" max="11787" width="1" style="98" customWidth="1"/>
    <col min="11788" max="11788" width="12.7109375" style="98" customWidth="1"/>
    <col min="11789" max="12032" width="9.140625" style="98"/>
    <col min="12033" max="12033" width="9" style="98" customWidth="1"/>
    <col min="12034" max="12034" width="9.140625" style="98"/>
    <col min="12035" max="12035" width="9.7109375" style="98" customWidth="1"/>
    <col min="12036" max="12036" width="9" style="98" customWidth="1"/>
    <col min="12037" max="12037" width="10.7109375" style="98" customWidth="1"/>
    <col min="12038" max="12038" width="12.7109375" style="98" customWidth="1"/>
    <col min="12039" max="12039" width="1" style="98" customWidth="1"/>
    <col min="12040" max="12040" width="12.7109375" style="98" customWidth="1"/>
    <col min="12041" max="12041" width="1" style="98" customWidth="1"/>
    <col min="12042" max="12042" width="12.7109375" style="98" customWidth="1"/>
    <col min="12043" max="12043" width="1" style="98" customWidth="1"/>
    <col min="12044" max="12044" width="12.7109375" style="98" customWidth="1"/>
    <col min="12045" max="12288" width="9.140625" style="98"/>
    <col min="12289" max="12289" width="9" style="98" customWidth="1"/>
    <col min="12290" max="12290" width="9.140625" style="98"/>
    <col min="12291" max="12291" width="9.7109375" style="98" customWidth="1"/>
    <col min="12292" max="12292" width="9" style="98" customWidth="1"/>
    <col min="12293" max="12293" width="10.7109375" style="98" customWidth="1"/>
    <col min="12294" max="12294" width="12.7109375" style="98" customWidth="1"/>
    <col min="12295" max="12295" width="1" style="98" customWidth="1"/>
    <col min="12296" max="12296" width="12.7109375" style="98" customWidth="1"/>
    <col min="12297" max="12297" width="1" style="98" customWidth="1"/>
    <col min="12298" max="12298" width="12.7109375" style="98" customWidth="1"/>
    <col min="12299" max="12299" width="1" style="98" customWidth="1"/>
    <col min="12300" max="12300" width="12.7109375" style="98" customWidth="1"/>
    <col min="12301" max="12544" width="9.140625" style="98"/>
    <col min="12545" max="12545" width="9" style="98" customWidth="1"/>
    <col min="12546" max="12546" width="9.140625" style="98"/>
    <col min="12547" max="12547" width="9.7109375" style="98" customWidth="1"/>
    <col min="12548" max="12548" width="9" style="98" customWidth="1"/>
    <col min="12549" max="12549" width="10.7109375" style="98" customWidth="1"/>
    <col min="12550" max="12550" width="12.7109375" style="98" customWidth="1"/>
    <col min="12551" max="12551" width="1" style="98" customWidth="1"/>
    <col min="12552" max="12552" width="12.7109375" style="98" customWidth="1"/>
    <col min="12553" max="12553" width="1" style="98" customWidth="1"/>
    <col min="12554" max="12554" width="12.7109375" style="98" customWidth="1"/>
    <col min="12555" max="12555" width="1" style="98" customWidth="1"/>
    <col min="12556" max="12556" width="12.7109375" style="98" customWidth="1"/>
    <col min="12557" max="12800" width="9.140625" style="98"/>
    <col min="12801" max="12801" width="9" style="98" customWidth="1"/>
    <col min="12802" max="12802" width="9.140625" style="98"/>
    <col min="12803" max="12803" width="9.7109375" style="98" customWidth="1"/>
    <col min="12804" max="12804" width="9" style="98" customWidth="1"/>
    <col min="12805" max="12805" width="10.7109375" style="98" customWidth="1"/>
    <col min="12806" max="12806" width="12.7109375" style="98" customWidth="1"/>
    <col min="12807" max="12807" width="1" style="98" customWidth="1"/>
    <col min="12808" max="12808" width="12.7109375" style="98" customWidth="1"/>
    <col min="12809" max="12809" width="1" style="98" customWidth="1"/>
    <col min="12810" max="12810" width="12.7109375" style="98" customWidth="1"/>
    <col min="12811" max="12811" width="1" style="98" customWidth="1"/>
    <col min="12812" max="12812" width="12.7109375" style="98" customWidth="1"/>
    <col min="12813" max="13056" width="9.140625" style="98"/>
    <col min="13057" max="13057" width="9" style="98" customWidth="1"/>
    <col min="13058" max="13058" width="9.140625" style="98"/>
    <col min="13059" max="13059" width="9.7109375" style="98" customWidth="1"/>
    <col min="13060" max="13060" width="9" style="98" customWidth="1"/>
    <col min="13061" max="13061" width="10.7109375" style="98" customWidth="1"/>
    <col min="13062" max="13062" width="12.7109375" style="98" customWidth="1"/>
    <col min="13063" max="13063" width="1" style="98" customWidth="1"/>
    <col min="13064" max="13064" width="12.7109375" style="98" customWidth="1"/>
    <col min="13065" max="13065" width="1" style="98" customWidth="1"/>
    <col min="13066" max="13066" width="12.7109375" style="98" customWidth="1"/>
    <col min="13067" max="13067" width="1" style="98" customWidth="1"/>
    <col min="13068" max="13068" width="12.7109375" style="98" customWidth="1"/>
    <col min="13069" max="13312" width="9.140625" style="98"/>
    <col min="13313" max="13313" width="9" style="98" customWidth="1"/>
    <col min="13314" max="13314" width="9.140625" style="98"/>
    <col min="13315" max="13315" width="9.7109375" style="98" customWidth="1"/>
    <col min="13316" max="13316" width="9" style="98" customWidth="1"/>
    <col min="13317" max="13317" width="10.7109375" style="98" customWidth="1"/>
    <col min="13318" max="13318" width="12.7109375" style="98" customWidth="1"/>
    <col min="13319" max="13319" width="1" style="98" customWidth="1"/>
    <col min="13320" max="13320" width="12.7109375" style="98" customWidth="1"/>
    <col min="13321" max="13321" width="1" style="98" customWidth="1"/>
    <col min="13322" max="13322" width="12.7109375" style="98" customWidth="1"/>
    <col min="13323" max="13323" width="1" style="98" customWidth="1"/>
    <col min="13324" max="13324" width="12.7109375" style="98" customWidth="1"/>
    <col min="13325" max="13568" width="9.140625" style="98"/>
    <col min="13569" max="13569" width="9" style="98" customWidth="1"/>
    <col min="13570" max="13570" width="9.140625" style="98"/>
    <col min="13571" max="13571" width="9.7109375" style="98" customWidth="1"/>
    <col min="13572" max="13572" width="9" style="98" customWidth="1"/>
    <col min="13573" max="13573" width="10.7109375" style="98" customWidth="1"/>
    <col min="13574" max="13574" width="12.7109375" style="98" customWidth="1"/>
    <col min="13575" max="13575" width="1" style="98" customWidth="1"/>
    <col min="13576" max="13576" width="12.7109375" style="98" customWidth="1"/>
    <col min="13577" max="13577" width="1" style="98" customWidth="1"/>
    <col min="13578" max="13578" width="12.7109375" style="98" customWidth="1"/>
    <col min="13579" max="13579" width="1" style="98" customWidth="1"/>
    <col min="13580" max="13580" width="12.7109375" style="98" customWidth="1"/>
    <col min="13581" max="13824" width="9.140625" style="98"/>
    <col min="13825" max="13825" width="9" style="98" customWidth="1"/>
    <col min="13826" max="13826" width="9.140625" style="98"/>
    <col min="13827" max="13827" width="9.7109375" style="98" customWidth="1"/>
    <col min="13828" max="13828" width="9" style="98" customWidth="1"/>
    <col min="13829" max="13829" width="10.7109375" style="98" customWidth="1"/>
    <col min="13830" max="13830" width="12.7109375" style="98" customWidth="1"/>
    <col min="13831" max="13831" width="1" style="98" customWidth="1"/>
    <col min="13832" max="13832" width="12.7109375" style="98" customWidth="1"/>
    <col min="13833" max="13833" width="1" style="98" customWidth="1"/>
    <col min="13834" max="13834" width="12.7109375" style="98" customWidth="1"/>
    <col min="13835" max="13835" width="1" style="98" customWidth="1"/>
    <col min="13836" max="13836" width="12.7109375" style="98" customWidth="1"/>
    <col min="13837" max="14080" width="9.140625" style="98"/>
    <col min="14081" max="14081" width="9" style="98" customWidth="1"/>
    <col min="14082" max="14082" width="9.140625" style="98"/>
    <col min="14083" max="14083" width="9.7109375" style="98" customWidth="1"/>
    <col min="14084" max="14084" width="9" style="98" customWidth="1"/>
    <col min="14085" max="14085" width="10.7109375" style="98" customWidth="1"/>
    <col min="14086" max="14086" width="12.7109375" style="98" customWidth="1"/>
    <col min="14087" max="14087" width="1" style="98" customWidth="1"/>
    <col min="14088" max="14088" width="12.7109375" style="98" customWidth="1"/>
    <col min="14089" max="14089" width="1" style="98" customWidth="1"/>
    <col min="14090" max="14090" width="12.7109375" style="98" customWidth="1"/>
    <col min="14091" max="14091" width="1" style="98" customWidth="1"/>
    <col min="14092" max="14092" width="12.7109375" style="98" customWidth="1"/>
    <col min="14093" max="14336" width="9.140625" style="98"/>
    <col min="14337" max="14337" width="9" style="98" customWidth="1"/>
    <col min="14338" max="14338" width="9.140625" style="98"/>
    <col min="14339" max="14339" width="9.7109375" style="98" customWidth="1"/>
    <col min="14340" max="14340" width="9" style="98" customWidth="1"/>
    <col min="14341" max="14341" width="10.7109375" style="98" customWidth="1"/>
    <col min="14342" max="14342" width="12.7109375" style="98" customWidth="1"/>
    <col min="14343" max="14343" width="1" style="98" customWidth="1"/>
    <col min="14344" max="14344" width="12.7109375" style="98" customWidth="1"/>
    <col min="14345" max="14345" width="1" style="98" customWidth="1"/>
    <col min="14346" max="14346" width="12.7109375" style="98" customWidth="1"/>
    <col min="14347" max="14347" width="1" style="98" customWidth="1"/>
    <col min="14348" max="14348" width="12.7109375" style="98" customWidth="1"/>
    <col min="14349" max="14592" width="9.140625" style="98"/>
    <col min="14593" max="14593" width="9" style="98" customWidth="1"/>
    <col min="14594" max="14594" width="9.140625" style="98"/>
    <col min="14595" max="14595" width="9.7109375" style="98" customWidth="1"/>
    <col min="14596" max="14596" width="9" style="98" customWidth="1"/>
    <col min="14597" max="14597" width="10.7109375" style="98" customWidth="1"/>
    <col min="14598" max="14598" width="12.7109375" style="98" customWidth="1"/>
    <col min="14599" max="14599" width="1" style="98" customWidth="1"/>
    <col min="14600" max="14600" width="12.7109375" style="98" customWidth="1"/>
    <col min="14601" max="14601" width="1" style="98" customWidth="1"/>
    <col min="14602" max="14602" width="12.7109375" style="98" customWidth="1"/>
    <col min="14603" max="14603" width="1" style="98" customWidth="1"/>
    <col min="14604" max="14604" width="12.7109375" style="98" customWidth="1"/>
    <col min="14605" max="14848" width="9.140625" style="98"/>
    <col min="14849" max="14849" width="9" style="98" customWidth="1"/>
    <col min="14850" max="14850" width="9.140625" style="98"/>
    <col min="14851" max="14851" width="9.7109375" style="98" customWidth="1"/>
    <col min="14852" max="14852" width="9" style="98" customWidth="1"/>
    <col min="14853" max="14853" width="10.7109375" style="98" customWidth="1"/>
    <col min="14854" max="14854" width="12.7109375" style="98" customWidth="1"/>
    <col min="14855" max="14855" width="1" style="98" customWidth="1"/>
    <col min="14856" max="14856" width="12.7109375" style="98" customWidth="1"/>
    <col min="14857" max="14857" width="1" style="98" customWidth="1"/>
    <col min="14858" max="14858" width="12.7109375" style="98" customWidth="1"/>
    <col min="14859" max="14859" width="1" style="98" customWidth="1"/>
    <col min="14860" max="14860" width="12.7109375" style="98" customWidth="1"/>
    <col min="14861" max="15104" width="9.140625" style="98"/>
    <col min="15105" max="15105" width="9" style="98" customWidth="1"/>
    <col min="15106" max="15106" width="9.140625" style="98"/>
    <col min="15107" max="15107" width="9.7109375" style="98" customWidth="1"/>
    <col min="15108" max="15108" width="9" style="98" customWidth="1"/>
    <col min="15109" max="15109" width="10.7109375" style="98" customWidth="1"/>
    <col min="15110" max="15110" width="12.7109375" style="98" customWidth="1"/>
    <col min="15111" max="15111" width="1" style="98" customWidth="1"/>
    <col min="15112" max="15112" width="12.7109375" style="98" customWidth="1"/>
    <col min="15113" max="15113" width="1" style="98" customWidth="1"/>
    <col min="15114" max="15114" width="12.7109375" style="98" customWidth="1"/>
    <col min="15115" max="15115" width="1" style="98" customWidth="1"/>
    <col min="15116" max="15116" width="12.7109375" style="98" customWidth="1"/>
    <col min="15117" max="15360" width="9.140625" style="98"/>
    <col min="15361" max="15361" width="9" style="98" customWidth="1"/>
    <col min="15362" max="15362" width="9.140625" style="98"/>
    <col min="15363" max="15363" width="9.7109375" style="98" customWidth="1"/>
    <col min="15364" max="15364" width="9" style="98" customWidth="1"/>
    <col min="15365" max="15365" width="10.7109375" style="98" customWidth="1"/>
    <col min="15366" max="15366" width="12.7109375" style="98" customWidth="1"/>
    <col min="15367" max="15367" width="1" style="98" customWidth="1"/>
    <col min="15368" max="15368" width="12.7109375" style="98" customWidth="1"/>
    <col min="15369" max="15369" width="1" style="98" customWidth="1"/>
    <col min="15370" max="15370" width="12.7109375" style="98" customWidth="1"/>
    <col min="15371" max="15371" width="1" style="98" customWidth="1"/>
    <col min="15372" max="15372" width="12.7109375" style="98" customWidth="1"/>
    <col min="15373" max="15616" width="9.140625" style="98"/>
    <col min="15617" max="15617" width="9" style="98" customWidth="1"/>
    <col min="15618" max="15618" width="9.140625" style="98"/>
    <col min="15619" max="15619" width="9.7109375" style="98" customWidth="1"/>
    <col min="15620" max="15620" width="9" style="98" customWidth="1"/>
    <col min="15621" max="15621" width="10.7109375" style="98" customWidth="1"/>
    <col min="15622" max="15622" width="12.7109375" style="98" customWidth="1"/>
    <col min="15623" max="15623" width="1" style="98" customWidth="1"/>
    <col min="15624" max="15624" width="12.7109375" style="98" customWidth="1"/>
    <col min="15625" max="15625" width="1" style="98" customWidth="1"/>
    <col min="15626" max="15626" width="12.7109375" style="98" customWidth="1"/>
    <col min="15627" max="15627" width="1" style="98" customWidth="1"/>
    <col min="15628" max="15628" width="12.7109375" style="98" customWidth="1"/>
    <col min="15629" max="15872" width="9.140625" style="98"/>
    <col min="15873" max="15873" width="9" style="98" customWidth="1"/>
    <col min="15874" max="15874" width="9.140625" style="98"/>
    <col min="15875" max="15875" width="9.7109375" style="98" customWidth="1"/>
    <col min="15876" max="15876" width="9" style="98" customWidth="1"/>
    <col min="15877" max="15877" width="10.7109375" style="98" customWidth="1"/>
    <col min="15878" max="15878" width="12.7109375" style="98" customWidth="1"/>
    <col min="15879" max="15879" width="1" style="98" customWidth="1"/>
    <col min="15880" max="15880" width="12.7109375" style="98" customWidth="1"/>
    <col min="15881" max="15881" width="1" style="98" customWidth="1"/>
    <col min="15882" max="15882" width="12.7109375" style="98" customWidth="1"/>
    <col min="15883" max="15883" width="1" style="98" customWidth="1"/>
    <col min="15884" max="15884" width="12.7109375" style="98" customWidth="1"/>
    <col min="15885" max="16128" width="9.140625" style="98"/>
    <col min="16129" max="16129" width="9" style="98" customWidth="1"/>
    <col min="16130" max="16130" width="9.140625" style="98"/>
    <col min="16131" max="16131" width="9.7109375" style="98" customWidth="1"/>
    <col min="16132" max="16132" width="9" style="98" customWidth="1"/>
    <col min="16133" max="16133" width="10.7109375" style="98" customWidth="1"/>
    <col min="16134" max="16134" width="12.7109375" style="98" customWidth="1"/>
    <col min="16135" max="16135" width="1" style="98" customWidth="1"/>
    <col min="16136" max="16136" width="12.7109375" style="98" customWidth="1"/>
    <col min="16137" max="16137" width="1" style="98" customWidth="1"/>
    <col min="16138" max="16138" width="12.7109375" style="98" customWidth="1"/>
    <col min="16139" max="16139" width="1" style="98" customWidth="1"/>
    <col min="16140" max="16140" width="12.7109375" style="98" customWidth="1"/>
    <col min="16141" max="16384" width="9.140625" style="98"/>
  </cols>
  <sheetData>
    <row r="1" spans="1:19" ht="13.5" thickBot="1">
      <c r="A1" s="5" t="s">
        <v>29</v>
      </c>
    </row>
    <row r="2" spans="1:19" s="94" customFormat="1" ht="33" thickTop="1" thickBot="1">
      <c r="A2" s="671" t="s">
        <v>259</v>
      </c>
      <c r="B2" s="712" t="s">
        <v>12</v>
      </c>
      <c r="C2" s="713"/>
      <c r="D2" s="672" t="s">
        <v>260</v>
      </c>
      <c r="E2" s="673" t="s">
        <v>1054</v>
      </c>
      <c r="F2" s="674" t="s">
        <v>261</v>
      </c>
      <c r="G2" s="675"/>
      <c r="H2" s="676" t="s">
        <v>262</v>
      </c>
      <c r="I2" s="675"/>
      <c r="J2" s="677" t="s">
        <v>263</v>
      </c>
      <c r="K2" s="675"/>
      <c r="L2" s="678" t="s">
        <v>264</v>
      </c>
      <c r="M2"/>
      <c r="Q2" s="286"/>
      <c r="S2"/>
    </row>
    <row r="3" spans="1:19" ht="17.25" thickTop="1" thickBot="1">
      <c r="A3" s="669" t="s">
        <v>211</v>
      </c>
      <c r="B3" s="670"/>
      <c r="C3" s="670"/>
      <c r="D3" s="670"/>
      <c r="E3" s="670"/>
      <c r="F3" s="345">
        <f ca="1">IF(AND(ISNUMBER(F4),ISNUMBER(F6),ISNUMBER(F8)),AVERAGE(F4,F6,F8),"No Data")</f>
        <v>3.9556878306878307</v>
      </c>
      <c r="G3" s="164"/>
      <c r="H3" s="136"/>
      <c r="I3" s="164"/>
      <c r="J3" s="345" t="str">
        <f t="shared" ref="J3:J33" ca="1" si="0">INDIRECT(ADDRESS(ROW(),LOOKUP(Team_Name,INDIRECT(Previous_Period_Team_Vector),INDIRECT(Previous_Period_Value_Vector)),,,"Scorecard - Previous Period"))</f>
        <v>No Data</v>
      </c>
      <c r="K3" s="164"/>
      <c r="L3" s="700" t="str">
        <f ca="1">IF(AND(ISNUMBER(F3), ISNUMBER(J3)), F3-J3, "No Data")</f>
        <v>No Data</v>
      </c>
      <c r="N3" s="5"/>
      <c r="O3" s="5"/>
    </row>
    <row r="4" spans="1:19">
      <c r="A4" s="236"/>
      <c r="B4" s="659"/>
      <c r="C4" s="659"/>
      <c r="D4" s="659"/>
      <c r="E4" s="660" t="s">
        <v>220</v>
      </c>
      <c r="F4" s="239">
        <f ca="1">F5</f>
        <v>3.9642857142857144</v>
      </c>
      <c r="G4" s="289"/>
      <c r="H4" s="290"/>
      <c r="I4" s="289"/>
      <c r="J4" s="239" t="str">
        <f t="shared" ca="1" si="0"/>
        <v>No Data</v>
      </c>
      <c r="K4" s="289"/>
      <c r="L4" s="698" t="str">
        <f t="shared" ref="L4:L26" ca="1" si="1">IF(AND(ISNUMBER(F4), ISNUMBER(J4)), F4-J4, "No Data")</f>
        <v>No Data</v>
      </c>
      <c r="N4" s="520"/>
      <c r="O4" s="521"/>
    </row>
    <row r="5" spans="1:19" ht="13.5" thickBot="1">
      <c r="A5" s="99"/>
      <c r="B5" s="100"/>
      <c r="C5" s="100"/>
      <c r="D5" s="100"/>
      <c r="E5" s="101" t="s">
        <v>299</v>
      </c>
      <c r="F5" s="183">
        <f ca="1">'Survey Rollup'!$E$6</f>
        <v>3.9642857142857144</v>
      </c>
      <c r="G5" s="102"/>
      <c r="H5" s="103"/>
      <c r="I5" s="102"/>
      <c r="J5" s="183" t="str">
        <f t="shared" ca="1" si="0"/>
        <v>No Data</v>
      </c>
      <c r="K5" s="102"/>
      <c r="L5" s="701" t="str">
        <f t="shared" ca="1" si="1"/>
        <v>No Data</v>
      </c>
      <c r="N5" s="5" t="s">
        <v>319</v>
      </c>
      <c r="O5" s="5"/>
    </row>
    <row r="6" spans="1:19" ht="13.5" thickBot="1">
      <c r="A6" s="99"/>
      <c r="B6" s="659"/>
      <c r="C6" s="659"/>
      <c r="D6" s="659"/>
      <c r="E6" s="660" t="s">
        <v>225</v>
      </c>
      <c r="F6" s="242">
        <f ca="1">F7</f>
        <v>3.9444444444444442</v>
      </c>
      <c r="G6" s="289"/>
      <c r="H6" s="291"/>
      <c r="I6" s="289"/>
      <c r="J6" s="242" t="str">
        <f t="shared" ca="1" si="0"/>
        <v>No Data</v>
      </c>
      <c r="K6" s="289"/>
      <c r="L6" s="702" t="str">
        <f t="shared" ca="1" si="1"/>
        <v>No Data</v>
      </c>
      <c r="N6" s="5" t="s">
        <v>254</v>
      </c>
      <c r="O6" s="5"/>
      <c r="P6" s="287" t="s">
        <v>28</v>
      </c>
      <c r="Q6" s="288" t="s">
        <v>535</v>
      </c>
      <c r="S6" t="str">
        <f>Previous_Period_Team_Vector</f>
        <v>'Scorecard - Individual Team'!$P$7:$P$27</v>
      </c>
    </row>
    <row r="7" spans="1:19" ht="14.25" thickTop="1" thickBot="1">
      <c r="A7" s="99"/>
      <c r="B7" s="100"/>
      <c r="C7" s="100"/>
      <c r="D7" s="100"/>
      <c r="E7" s="101" t="s">
        <v>299</v>
      </c>
      <c r="F7" s="104">
        <f ca="1">'Survey Rollup'!$E$7</f>
        <v>3.9444444444444442</v>
      </c>
      <c r="G7" s="102"/>
      <c r="H7" s="105"/>
      <c r="I7" s="102"/>
      <c r="J7" s="104" t="str">
        <f t="shared" ca="1" si="0"/>
        <v>No Data</v>
      </c>
      <c r="K7" s="102"/>
      <c r="L7" s="703" t="str">
        <f t="shared" ca="1" si="1"/>
        <v>No Data</v>
      </c>
      <c r="N7" s="5" t="s">
        <v>320</v>
      </c>
      <c r="O7" s="5"/>
      <c r="P7" s="569" t="s">
        <v>56</v>
      </c>
      <c r="Q7" s="570">
        <v>6</v>
      </c>
      <c r="S7" t="str">
        <f>Previous_Period_Value_Vector</f>
        <v>'Scorecard - Individual Team'!$Q$7:$Q$27</v>
      </c>
    </row>
    <row r="8" spans="1:19">
      <c r="A8" s="99"/>
      <c r="B8" s="659"/>
      <c r="C8" s="659"/>
      <c r="D8" s="659"/>
      <c r="E8" s="660" t="s">
        <v>230</v>
      </c>
      <c r="F8" s="239">
        <f ca="1">F9</f>
        <v>3.9583333333333335</v>
      </c>
      <c r="G8" s="289"/>
      <c r="H8" s="290"/>
      <c r="I8" s="289"/>
      <c r="J8" s="239" t="str">
        <f t="shared" ca="1" si="0"/>
        <v>No Data</v>
      </c>
      <c r="K8" s="289"/>
      <c r="L8" s="704" t="str">
        <f t="shared" ca="1" si="1"/>
        <v>No Data</v>
      </c>
      <c r="N8" s="5" t="s">
        <v>255</v>
      </c>
      <c r="O8" s="5"/>
      <c r="P8" s="571" t="s">
        <v>23</v>
      </c>
      <c r="Q8" s="572">
        <v>8</v>
      </c>
    </row>
    <row r="9" spans="1:19" ht="13.5" thickBot="1">
      <c r="A9" s="106"/>
      <c r="B9" s="107"/>
      <c r="C9" s="107"/>
      <c r="D9" s="107"/>
      <c r="E9" s="108" t="s">
        <v>299</v>
      </c>
      <c r="F9" s="184">
        <f ca="1">'Survey Rollup'!$E$8</f>
        <v>3.9583333333333335</v>
      </c>
      <c r="G9" s="109"/>
      <c r="H9" s="110"/>
      <c r="I9" s="109"/>
      <c r="J9" s="184" t="str">
        <f t="shared" ca="1" si="0"/>
        <v>No Data</v>
      </c>
      <c r="K9" s="109"/>
      <c r="L9" s="705" t="str">
        <f t="shared" ca="1" si="1"/>
        <v>No Data</v>
      </c>
      <c r="N9" s="5" t="s">
        <v>256</v>
      </c>
      <c r="O9" s="5"/>
      <c r="P9" s="571" t="s">
        <v>24</v>
      </c>
      <c r="Q9" s="572">
        <v>9</v>
      </c>
    </row>
    <row r="10" spans="1:19" ht="17.25" thickTop="1" thickBot="1">
      <c r="A10" s="111" t="s">
        <v>212</v>
      </c>
      <c r="B10" s="112"/>
      <c r="C10" s="112"/>
      <c r="D10" s="112"/>
      <c r="E10" s="112"/>
      <c r="F10" s="185">
        <f ca="1">IF(ISNUMBER(F12),AVERAGE(F12),"No Data")</f>
        <v>4</v>
      </c>
      <c r="G10" s="97"/>
      <c r="H10" s="113"/>
      <c r="I10" s="97"/>
      <c r="J10" s="185" t="str">
        <f t="shared" ca="1" si="0"/>
        <v>No Data</v>
      </c>
      <c r="K10" s="97"/>
      <c r="L10" s="689" t="str">
        <f t="shared" ca="1" si="1"/>
        <v>No Data</v>
      </c>
      <c r="N10" s="5" t="s">
        <v>79</v>
      </c>
      <c r="O10" s="5"/>
      <c r="P10" s="571" t="s">
        <v>336</v>
      </c>
      <c r="Q10" s="572">
        <v>20</v>
      </c>
    </row>
    <row r="11" spans="1:19" ht="14.25" customHeight="1" thickBot="1">
      <c r="A11" s="245"/>
      <c r="B11" s="114"/>
      <c r="C11" s="114"/>
      <c r="D11" s="114"/>
      <c r="E11" s="679" t="s">
        <v>265</v>
      </c>
      <c r="F11" s="116"/>
      <c r="G11" s="117"/>
      <c r="H11" s="118"/>
      <c r="I11" s="117"/>
      <c r="J11" s="116">
        <f t="shared" ca="1" si="0"/>
        <v>0</v>
      </c>
      <c r="K11" s="117"/>
      <c r="L11" s="119"/>
      <c r="N11" s="5" t="s">
        <v>57</v>
      </c>
      <c r="O11" s="5"/>
      <c r="P11" s="573" t="s">
        <v>365</v>
      </c>
      <c r="Q11" s="572">
        <v>11</v>
      </c>
    </row>
    <row r="12" spans="1:19" ht="14.25" customHeight="1" thickBot="1">
      <c r="A12" s="120"/>
      <c r="B12" s="661"/>
      <c r="C12" s="661"/>
      <c r="D12" s="661"/>
      <c r="E12" s="662" t="s">
        <v>266</v>
      </c>
      <c r="F12" s="292">
        <f ca="1">IF(SUM(IF(ISNUMBER(F14),1,0),IF(ISNUMBER(G13),1,0))  &gt; 0,
SUM(IF(ISNUMBER(F14),F14),IF(ISNUMBER(G13),G13)) / SUM(IF(ISNUMBER(F14),1,0),IF(ISNUMBER(G13),1,0)),
"No Data")</f>
        <v>4</v>
      </c>
      <c r="G12" s="121"/>
      <c r="H12" s="121"/>
      <c r="I12" s="121"/>
      <c r="J12" s="292" t="str">
        <f t="shared" ca="1" si="0"/>
        <v>No Data</v>
      </c>
      <c r="K12" s="121"/>
      <c r="L12" s="706" t="str">
        <f t="shared" ca="1" si="1"/>
        <v>No Data</v>
      </c>
      <c r="N12" s="5" t="s">
        <v>257</v>
      </c>
      <c r="O12" s="5"/>
      <c r="P12" s="571" t="s">
        <v>536</v>
      </c>
      <c r="Q12" s="572">
        <v>9</v>
      </c>
    </row>
    <row r="13" spans="1:19" ht="15">
      <c r="A13" s="120"/>
      <c r="B13" s="122"/>
      <c r="C13" s="122"/>
      <c r="D13" s="122"/>
      <c r="E13" s="123" t="s">
        <v>57</v>
      </c>
      <c r="F13" s="203" t="str">
        <f>LOOKUP(Team_Name,'On-Time Delivery Data'!$A$31:$A$44,'On-Time Delivery Data'!$C$31:$C$44)</f>
        <v>No Releases</v>
      </c>
      <c r="G13" s="197" t="str">
        <f>LOOKUP(Team_Name,'On-Time Delivery Data'!$A$31:$A$44,'On-Time Delivery Data'!$B$31:$B$44)</f>
        <v/>
      </c>
      <c r="H13" s="125"/>
      <c r="I13" s="124"/>
      <c r="J13" s="203" t="str">
        <f t="shared" ca="1" si="0"/>
        <v>No Data</v>
      </c>
      <c r="K13" s="124"/>
      <c r="L13" s="685" t="str">
        <f t="shared" ca="1" si="1"/>
        <v>No Data</v>
      </c>
      <c r="N13" s="5" t="s">
        <v>258</v>
      </c>
      <c r="O13" s="5"/>
      <c r="P13" s="571" t="s">
        <v>335</v>
      </c>
      <c r="Q13" s="572">
        <v>19</v>
      </c>
    </row>
    <row r="14" spans="1:19" ht="15.75" thickBot="1">
      <c r="A14" s="120"/>
      <c r="B14" s="126"/>
      <c r="C14" s="126"/>
      <c r="D14" s="126"/>
      <c r="E14" s="127" t="s">
        <v>299</v>
      </c>
      <c r="F14" s="104">
        <f ca="1">'Survey Rollup'!$J$7</f>
        <v>4</v>
      </c>
      <c r="G14" s="128"/>
      <c r="H14" s="129"/>
      <c r="I14" s="128"/>
      <c r="J14" s="104" t="str">
        <f t="shared" ca="1" si="0"/>
        <v>No Data</v>
      </c>
      <c r="K14" s="128"/>
      <c r="L14" s="691" t="str">
        <f t="shared" ca="1" si="1"/>
        <v>No Data</v>
      </c>
      <c r="N14" s="5"/>
      <c r="O14" s="5"/>
      <c r="P14" s="571" t="s">
        <v>12</v>
      </c>
      <c r="Q14" s="572">
        <v>15</v>
      </c>
    </row>
    <row r="15" spans="1:19" ht="14.25" customHeight="1" thickBot="1">
      <c r="A15" s="120"/>
      <c r="B15" s="661"/>
      <c r="C15" s="661"/>
      <c r="D15" s="661"/>
      <c r="E15" s="680" t="s">
        <v>301</v>
      </c>
      <c r="F15" s="131"/>
      <c r="G15" s="132"/>
      <c r="H15" s="102"/>
      <c r="I15" s="132"/>
      <c r="J15" s="131">
        <f t="shared" ca="1" si="0"/>
        <v>0</v>
      </c>
      <c r="K15" s="132"/>
      <c r="L15" s="133"/>
      <c r="N15" s="5" t="s">
        <v>968</v>
      </c>
      <c r="O15" s="5"/>
      <c r="P15" s="571" t="s">
        <v>333</v>
      </c>
      <c r="Q15" s="572">
        <v>16</v>
      </c>
    </row>
    <row r="16" spans="1:19" ht="14.25" customHeight="1">
      <c r="A16" s="120"/>
      <c r="B16" s="122"/>
      <c r="C16" s="122"/>
      <c r="D16" s="134"/>
      <c r="E16" s="123" t="s">
        <v>294</v>
      </c>
      <c r="F16" s="135">
        <f>(LOOKUP(Team_Name,'Budget Variance Data'!$A$22:$A$36,'Budget Variance Data'!$C$22:$C$36))</f>
        <v>0</v>
      </c>
      <c r="G16" s="136"/>
      <c r="H16" s="137"/>
      <c r="I16" s="136"/>
      <c r="J16" s="135">
        <f t="shared" ca="1" si="0"/>
        <v>0</v>
      </c>
      <c r="K16" s="136"/>
      <c r="L16" s="686">
        <f t="shared" ca="1" si="1"/>
        <v>0</v>
      </c>
      <c r="N16" s="5" t="s">
        <v>967</v>
      </c>
      <c r="O16" s="5"/>
      <c r="P16" s="571" t="s">
        <v>334</v>
      </c>
      <c r="Q16" s="572">
        <v>18</v>
      </c>
    </row>
    <row r="17" spans="1:17" ht="14.25" customHeight="1">
      <c r="A17" s="120"/>
      <c r="B17" s="122"/>
      <c r="C17" s="122"/>
      <c r="D17" s="134"/>
      <c r="E17" s="123" t="s">
        <v>295</v>
      </c>
      <c r="F17" s="138">
        <f>(LOOKUP(Team_Name,'Budget Variance Data'!$A$22:$A$36,'Budget Variance Data'!$E$22:$E$36))</f>
        <v>0</v>
      </c>
      <c r="G17" s="136"/>
      <c r="H17" s="139"/>
      <c r="I17" s="136"/>
      <c r="J17" s="138">
        <f t="shared" ca="1" si="0"/>
        <v>0</v>
      </c>
      <c r="K17" s="136"/>
      <c r="L17" s="687">
        <f t="shared" ca="1" si="1"/>
        <v>0</v>
      </c>
      <c r="N17" s="5" t="s">
        <v>966</v>
      </c>
      <c r="O17" s="5"/>
      <c r="P17" s="571" t="s">
        <v>10</v>
      </c>
      <c r="Q17" s="572">
        <v>16</v>
      </c>
    </row>
    <row r="18" spans="1:17" ht="14.25" customHeight="1">
      <c r="A18" s="120"/>
      <c r="B18" s="122"/>
      <c r="C18" s="122"/>
      <c r="D18" s="134"/>
      <c r="E18" s="123" t="s">
        <v>296</v>
      </c>
      <c r="F18" s="138">
        <f>(LOOKUP(Team_Name,'Budget Variance Data'!$A$22:$A$36,'Budget Variance Data'!$G$22:$G$36))</f>
        <v>0</v>
      </c>
      <c r="G18" s="136"/>
      <c r="H18" s="139"/>
      <c r="I18" s="136"/>
      <c r="J18" s="138">
        <f t="shared" ca="1" si="0"/>
        <v>0</v>
      </c>
      <c r="K18" s="136"/>
      <c r="L18" s="687">
        <f t="shared" ca="1" si="1"/>
        <v>0</v>
      </c>
      <c r="N18" s="5"/>
      <c r="O18" s="5"/>
      <c r="P18" s="571" t="s">
        <v>331</v>
      </c>
      <c r="Q18" s="572">
        <v>13</v>
      </c>
    </row>
    <row r="19" spans="1:17" ht="14.25" customHeight="1">
      <c r="A19" s="120"/>
      <c r="B19" s="122"/>
      <c r="C19" s="122"/>
      <c r="D19" s="134"/>
      <c r="E19" s="123" t="s">
        <v>297</v>
      </c>
      <c r="F19" s="138">
        <f>(LOOKUP(Team_Name,'Budget Variance Data'!$A$22:$A$36,'Budget Variance Data'!$I$22:$I$36))</f>
        <v>0</v>
      </c>
      <c r="G19" s="136"/>
      <c r="H19" s="139"/>
      <c r="I19" s="136"/>
      <c r="J19" s="138">
        <f t="shared" ca="1" si="0"/>
        <v>0</v>
      </c>
      <c r="K19" s="136"/>
      <c r="L19" s="687">
        <f t="shared" ca="1" si="1"/>
        <v>0</v>
      </c>
      <c r="N19" s="5"/>
      <c r="O19" s="5"/>
      <c r="P19" s="571" t="s">
        <v>353</v>
      </c>
      <c r="Q19" s="572">
        <v>17</v>
      </c>
    </row>
    <row r="20" spans="1:17" ht="14.25" customHeight="1">
      <c r="A20" s="120"/>
      <c r="B20" s="122"/>
      <c r="C20" s="122"/>
      <c r="D20" s="134"/>
      <c r="E20" s="123" t="s">
        <v>298</v>
      </c>
      <c r="F20" s="138">
        <f>(LOOKUP(Team_Name,'Budget Variance Data'!$A$22:$A$36,'Budget Variance Data'!$K$22:$K$36))</f>
        <v>0</v>
      </c>
      <c r="G20" s="136"/>
      <c r="H20" s="139"/>
      <c r="I20" s="136"/>
      <c r="J20" s="138">
        <f t="shared" ca="1" si="0"/>
        <v>1.1299999999999999</v>
      </c>
      <c r="K20" s="136"/>
      <c r="L20" s="687">
        <f t="shared" ca="1" si="1"/>
        <v>-1.1299999999999999</v>
      </c>
      <c r="N20" s="5"/>
      <c r="O20" s="5"/>
      <c r="P20" s="571" t="s">
        <v>361</v>
      </c>
      <c r="Q20" s="572">
        <v>14</v>
      </c>
    </row>
    <row r="21" spans="1:17" ht="14.25" customHeight="1" thickBot="1">
      <c r="A21" s="140"/>
      <c r="B21" s="141"/>
      <c r="C21" s="141"/>
      <c r="D21" s="141"/>
      <c r="E21" s="142" t="s">
        <v>302</v>
      </c>
      <c r="F21" s="143">
        <f>(LOOKUP(Team_Name,'Budget Variance Data'!$A$22:$A$36,'Budget Variance Data'!$M$22:$M$36))</f>
        <v>0</v>
      </c>
      <c r="G21" s="144"/>
      <c r="H21" s="145"/>
      <c r="I21" s="144"/>
      <c r="J21" s="143">
        <f t="shared" ca="1" si="0"/>
        <v>0</v>
      </c>
      <c r="K21" s="144"/>
      <c r="L21" s="688">
        <f t="shared" ca="1" si="1"/>
        <v>0</v>
      </c>
      <c r="N21" s="5"/>
      <c r="O21" s="5"/>
      <c r="P21" s="571" t="s">
        <v>363</v>
      </c>
      <c r="Q21" s="572">
        <v>7</v>
      </c>
    </row>
    <row r="22" spans="1:17" ht="17.25" thickTop="1" thickBot="1">
      <c r="A22" s="146" t="s">
        <v>213</v>
      </c>
      <c r="B22" s="147"/>
      <c r="C22" s="147"/>
      <c r="D22" s="147"/>
      <c r="E22" s="147"/>
      <c r="F22" s="185" t="str">
        <f ca="1">IF(AND(ISNUMBER(F23),ISNUMBER(F25)),AVERAGE(F23,F25),"No Data")</f>
        <v>No Data</v>
      </c>
      <c r="G22" s="113"/>
      <c r="H22" s="113"/>
      <c r="I22" s="113"/>
      <c r="J22" s="185" t="str">
        <f t="shared" ca="1" si="0"/>
        <v>No Data</v>
      </c>
      <c r="K22" s="113"/>
      <c r="L22" s="689" t="str">
        <f t="shared" ca="1" si="1"/>
        <v>No Data</v>
      </c>
      <c r="N22" s="5"/>
      <c r="O22" s="5"/>
      <c r="P22" s="574"/>
      <c r="Q22" s="572"/>
    </row>
    <row r="23" spans="1:17">
      <c r="A23" s="253"/>
      <c r="B23" s="663"/>
      <c r="C23" s="663"/>
      <c r="D23" s="663"/>
      <c r="E23" s="664" t="s">
        <v>223</v>
      </c>
      <c r="F23" s="242" t="str">
        <f ca="1">F24</f>
        <v>No Data</v>
      </c>
      <c r="G23" s="289"/>
      <c r="H23" s="291"/>
      <c r="I23" s="289"/>
      <c r="J23" s="242" t="str">
        <f t="shared" ca="1" si="0"/>
        <v>No Data</v>
      </c>
      <c r="K23" s="289"/>
      <c r="L23" s="690" t="str">
        <f t="shared" ca="1" si="1"/>
        <v>No Data</v>
      </c>
      <c r="P23" s="574"/>
      <c r="Q23" s="572"/>
    </row>
    <row r="24" spans="1:17" ht="13.5" thickBot="1">
      <c r="A24" s="148"/>
      <c r="B24" s="149"/>
      <c r="C24" s="149"/>
      <c r="D24" s="149"/>
      <c r="E24" s="681" t="s">
        <v>299</v>
      </c>
      <c r="F24" s="201" t="str">
        <f ca="1">'Survey Rollup'!$O$6</f>
        <v>No Data</v>
      </c>
      <c r="G24" s="102"/>
      <c r="H24" s="105"/>
      <c r="I24" s="102"/>
      <c r="J24" s="201" t="str">
        <f t="shared" ca="1" si="0"/>
        <v>No Data</v>
      </c>
      <c r="K24" s="102"/>
      <c r="L24" s="691" t="str">
        <f t="shared" ca="1" si="1"/>
        <v>No Data</v>
      </c>
      <c r="P24" s="574"/>
      <c r="Q24" s="572"/>
    </row>
    <row r="25" spans="1:17">
      <c r="A25" s="148"/>
      <c r="B25" s="663"/>
      <c r="C25" s="663"/>
      <c r="D25" s="663"/>
      <c r="E25" s="664" t="s">
        <v>267</v>
      </c>
      <c r="F25" s="242" t="str">
        <f ca="1">F26</f>
        <v>No Data</v>
      </c>
      <c r="G25" s="289"/>
      <c r="H25" s="291"/>
      <c r="I25" s="289"/>
      <c r="J25" s="242" t="str">
        <f t="shared" ca="1" si="0"/>
        <v>No Data</v>
      </c>
      <c r="K25" s="289"/>
      <c r="L25" s="690" t="str">
        <f t="shared" ca="1" si="1"/>
        <v>No Data</v>
      </c>
      <c r="P25" s="574"/>
      <c r="Q25" s="572"/>
    </row>
    <row r="26" spans="1:17" ht="13.5" thickBot="1">
      <c r="A26" s="148"/>
      <c r="B26" s="149"/>
      <c r="C26" s="149"/>
      <c r="D26" s="149"/>
      <c r="E26" s="150" t="s">
        <v>299</v>
      </c>
      <c r="F26" s="293" t="str">
        <f ca="1">'Survey Rollup'!$O$7</f>
        <v>No Data</v>
      </c>
      <c r="G26" s="164"/>
      <c r="H26" s="139"/>
      <c r="I26" s="164"/>
      <c r="J26" s="293" t="str">
        <f t="shared" ca="1" si="0"/>
        <v>No Data</v>
      </c>
      <c r="K26" s="164"/>
      <c r="L26" s="692" t="str">
        <f t="shared" ca="1" si="1"/>
        <v>No Data</v>
      </c>
      <c r="N26" s="5"/>
      <c r="O26" s="5"/>
      <c r="P26" s="574"/>
      <c r="Q26" s="572"/>
    </row>
    <row r="27" spans="1:17" ht="13.5" thickBot="1">
      <c r="A27" s="151"/>
      <c r="B27" s="152"/>
      <c r="C27" s="152"/>
      <c r="D27" s="152"/>
      <c r="E27" s="153" t="s">
        <v>268</v>
      </c>
      <c r="F27" s="294"/>
      <c r="G27" s="295"/>
      <c r="H27" s="296"/>
      <c r="I27" s="295"/>
      <c r="J27" s="294">
        <f t="shared" ca="1" si="0"/>
        <v>0</v>
      </c>
      <c r="K27" s="295"/>
      <c r="L27" s="693"/>
      <c r="N27" s="5"/>
      <c r="O27" s="5"/>
      <c r="P27" s="575"/>
      <c r="Q27" s="576"/>
    </row>
    <row r="28" spans="1:17" ht="17.25" thickTop="1" thickBot="1">
      <c r="A28" s="682" t="s">
        <v>214</v>
      </c>
      <c r="B28" s="683"/>
      <c r="C28" s="683"/>
      <c r="D28" s="683"/>
      <c r="E28" s="684" t="s">
        <v>318</v>
      </c>
      <c r="F28" s="186" t="str">
        <f ca="1">IF(AND(ISNUMBER(F29), ISNUMBER(F32)), AVERAGE(F29,F32), "No Data")</f>
        <v>No Data</v>
      </c>
      <c r="G28" s="113"/>
      <c r="H28" s="97"/>
      <c r="I28" s="113"/>
      <c r="J28" s="186" t="str">
        <f t="shared" ca="1" si="0"/>
        <v>No Data</v>
      </c>
      <c r="K28" s="113"/>
      <c r="L28" s="694" t="str">
        <f ca="1">IF(AND(ISNUMBER(F28), ISNUMBER(J28)), F28-J28, "No Data")</f>
        <v>No Data</v>
      </c>
    </row>
    <row r="29" spans="1:17">
      <c r="A29" s="158"/>
      <c r="B29" s="161"/>
      <c r="C29" s="161"/>
      <c r="D29" s="161"/>
      <c r="E29" s="162" t="s">
        <v>224</v>
      </c>
      <c r="F29" s="667" t="str">
        <f ca="1">F30</f>
        <v>No Data</v>
      </c>
      <c r="G29" s="289"/>
      <c r="H29" s="668"/>
      <c r="I29" s="289"/>
      <c r="J29" s="667" t="str">
        <f t="shared" ca="1" si="0"/>
        <v>No Data</v>
      </c>
      <c r="K29" s="289"/>
      <c r="L29" s="695" t="str">
        <f ca="1">IF(AND(ISNUMBER(F29), ISNUMBER(J29)), F29-J29, "No Data")</f>
        <v>No Data</v>
      </c>
    </row>
    <row r="30" spans="1:17" ht="13.5" thickBot="1">
      <c r="A30" s="158"/>
      <c r="B30" s="159"/>
      <c r="C30" s="159"/>
      <c r="D30" s="159"/>
      <c r="E30" s="160" t="s">
        <v>299</v>
      </c>
      <c r="F30" s="293" t="str">
        <f ca="1">'Survey Rollup'!$T$6</f>
        <v>No Data</v>
      </c>
      <c r="G30" s="164"/>
      <c r="H30" s="297"/>
      <c r="I30" s="164"/>
      <c r="J30" s="293" t="str">
        <f t="shared" ca="1" si="0"/>
        <v>No Data</v>
      </c>
      <c r="K30" s="164"/>
      <c r="L30" s="696" t="str">
        <f ca="1">IF(AND(ISNUMBER(F30), ISNUMBER(J30)), F30-J30, "No Data")</f>
        <v>No Data</v>
      </c>
    </row>
    <row r="31" spans="1:17" ht="13.5" thickBot="1">
      <c r="A31" s="158"/>
      <c r="B31" s="161"/>
      <c r="C31" s="161"/>
      <c r="D31" s="161"/>
      <c r="E31" s="162" t="s">
        <v>229</v>
      </c>
      <c r="F31" s="298"/>
      <c r="G31" s="121"/>
      <c r="H31" s="299"/>
      <c r="I31" s="121"/>
      <c r="J31" s="298">
        <f t="shared" ca="1" si="0"/>
        <v>0</v>
      </c>
      <c r="K31" s="121"/>
      <c r="L31" s="697"/>
    </row>
    <row r="32" spans="1:17">
      <c r="A32" s="158"/>
      <c r="B32" s="665"/>
      <c r="C32" s="665"/>
      <c r="D32" s="665"/>
      <c r="E32" s="666" t="s">
        <v>235</v>
      </c>
      <c r="F32" s="239" t="str">
        <f ca="1">F33</f>
        <v>No Data</v>
      </c>
      <c r="G32" s="289"/>
      <c r="H32" s="290"/>
      <c r="I32" s="289"/>
      <c r="J32" s="239" t="str">
        <f t="shared" ca="1" si="0"/>
        <v>No Data</v>
      </c>
      <c r="K32" s="289"/>
      <c r="L32" s="698" t="str">
        <f ca="1">IF(AND(ISNUMBER(F32), ISNUMBER(J32)), F32-J32, "No Data")</f>
        <v>No Data</v>
      </c>
    </row>
    <row r="33" spans="1:17" ht="15.75" thickBot="1">
      <c r="A33" s="165"/>
      <c r="B33" s="166"/>
      <c r="C33" s="166"/>
      <c r="D33" s="166"/>
      <c r="E33" s="167" t="s">
        <v>299</v>
      </c>
      <c r="F33" s="300" t="str">
        <f ca="1">'Survey Rollup'!$T$8</f>
        <v>No Data</v>
      </c>
      <c r="G33" s="168"/>
      <c r="H33" s="169"/>
      <c r="I33" s="168"/>
      <c r="J33" s="300" t="str">
        <f t="shared" ca="1" si="0"/>
        <v>No Data</v>
      </c>
      <c r="K33" s="168"/>
      <c r="L33" s="699" t="str">
        <f ca="1">IF(AND(ISNUMBER(F33), ISNUMBER(J33)), F33-J33, "No Data")</f>
        <v>No Data</v>
      </c>
    </row>
    <row r="34" spans="1:17" ht="15" thickTop="1">
      <c r="A34" s="170" t="s">
        <v>303</v>
      </c>
      <c r="B34" s="171"/>
      <c r="C34" s="171"/>
      <c r="D34" s="172" t="s">
        <v>269</v>
      </c>
      <c r="E34" s="171"/>
      <c r="F34" s="171"/>
      <c r="G34" s="171"/>
      <c r="H34" s="172" t="s">
        <v>270</v>
      </c>
      <c r="I34" s="171"/>
      <c r="J34" s="171"/>
      <c r="K34" s="171"/>
      <c r="L34" s="173"/>
      <c r="N34" s="174"/>
      <c r="O34" s="174"/>
    </row>
    <row r="35" spans="1:17" ht="14.25">
      <c r="A35" s="170"/>
      <c r="B35" s="175" t="s">
        <v>271</v>
      </c>
      <c r="C35" s="171"/>
      <c r="D35" s="172"/>
      <c r="E35" s="175" t="s">
        <v>272</v>
      </c>
      <c r="F35" s="171"/>
      <c r="G35" s="171"/>
      <c r="H35" s="172"/>
      <c r="I35" s="171"/>
      <c r="J35" s="175" t="s">
        <v>273</v>
      </c>
      <c r="K35" s="171"/>
      <c r="L35" s="173"/>
      <c r="N35" s="174"/>
      <c r="O35" s="174"/>
    </row>
    <row r="36" spans="1:17">
      <c r="A36" s="176"/>
      <c r="B36" s="175" t="s">
        <v>274</v>
      </c>
      <c r="C36" s="171"/>
      <c r="D36" s="171"/>
      <c r="E36" s="175" t="s">
        <v>275</v>
      </c>
      <c r="F36" s="171"/>
      <c r="G36" s="171"/>
      <c r="H36" s="171"/>
      <c r="I36" s="171"/>
      <c r="J36" s="175" t="s">
        <v>276</v>
      </c>
      <c r="K36" s="171"/>
      <c r="L36" s="173"/>
    </row>
    <row r="37" spans="1:17">
      <c r="A37" s="176"/>
      <c r="B37" s="175" t="s">
        <v>277</v>
      </c>
      <c r="C37" s="171"/>
      <c r="D37" s="171"/>
      <c r="E37" s="175" t="s">
        <v>278</v>
      </c>
      <c r="F37" s="171"/>
      <c r="G37" s="171"/>
      <c r="H37" s="171"/>
      <c r="I37" s="171"/>
      <c r="J37" s="175" t="s">
        <v>279</v>
      </c>
      <c r="K37" s="171"/>
      <c r="L37" s="173"/>
    </row>
    <row r="38" spans="1:17">
      <c r="A38" s="176"/>
      <c r="B38" s="175" t="s">
        <v>280</v>
      </c>
      <c r="C38" s="171"/>
      <c r="D38" s="171"/>
      <c r="E38" s="175" t="s">
        <v>281</v>
      </c>
      <c r="F38" s="171"/>
      <c r="G38" s="171"/>
      <c r="H38" s="171"/>
      <c r="I38" s="171"/>
      <c r="J38" s="175" t="s">
        <v>282</v>
      </c>
      <c r="K38" s="171"/>
      <c r="L38" s="173"/>
    </row>
    <row r="39" spans="1:17" ht="13.5" thickBot="1">
      <c r="A39" s="176"/>
      <c r="B39" s="175" t="s">
        <v>283</v>
      </c>
      <c r="C39" s="171"/>
      <c r="D39" s="177"/>
      <c r="E39" s="178"/>
      <c r="F39" s="171"/>
      <c r="G39" s="171"/>
      <c r="H39" s="171"/>
      <c r="I39" s="171"/>
      <c r="J39" s="178"/>
      <c r="K39" s="171"/>
      <c r="L39" s="173"/>
    </row>
    <row r="40" spans="1:17" ht="12.75" customHeight="1" thickTop="1">
      <c r="A40" s="714" t="s">
        <v>284</v>
      </c>
      <c r="B40" s="715"/>
      <c r="C40" s="716"/>
      <c r="D40" s="179"/>
      <c r="E40" s="717" t="s">
        <v>285</v>
      </c>
      <c r="F40" s="718"/>
      <c r="G40" s="718"/>
      <c r="H40" s="718"/>
      <c r="I40" s="718"/>
      <c r="J40" s="718"/>
      <c r="K40" s="718"/>
      <c r="L40" s="719"/>
    </row>
    <row r="41" spans="1:17" ht="39" customHeight="1">
      <c r="A41" s="651" t="s">
        <v>286</v>
      </c>
      <c r="B41" s="652" t="s">
        <v>287</v>
      </c>
      <c r="C41" s="653" t="s">
        <v>288</v>
      </c>
      <c r="D41" s="180"/>
      <c r="E41" s="651" t="s">
        <v>289</v>
      </c>
      <c r="F41" s="652" t="s">
        <v>290</v>
      </c>
      <c r="G41" s="720" t="s">
        <v>291</v>
      </c>
      <c r="H41" s="720"/>
      <c r="I41" s="720" t="s">
        <v>292</v>
      </c>
      <c r="J41" s="720"/>
      <c r="K41" s="720" t="s">
        <v>293</v>
      </c>
      <c r="L41" s="721"/>
    </row>
    <row r="42" spans="1:17" ht="24" customHeight="1" thickBot="1">
      <c r="A42" s="654">
        <f ca="1">(LOOKUP(Team_Name, INDIRECT(ITR_Data_Team_Location), INDIRECT(ITR_Data_Open_Location)))</f>
        <v>0</v>
      </c>
      <c r="B42" s="655">
        <f ca="1">(LOOKUP(Team_Name, INDIRECT(ITR_Data_Team_Location), INDIRECT(ITR_Data_Closed_Location)))</f>
        <v>0</v>
      </c>
      <c r="C42" s="656">
        <f ca="1">(LOOKUP(Team_Name, INDIRECT(ITR_Data_Team_Location), INDIRECT(ITR_Data_Backlog_Location)))</f>
        <v>0</v>
      </c>
      <c r="D42" s="181"/>
      <c r="E42" s="657">
        <v>25163</v>
      </c>
      <c r="F42" s="658" t="s">
        <v>970</v>
      </c>
      <c r="G42" s="707" t="s">
        <v>969</v>
      </c>
      <c r="H42" s="708"/>
      <c r="I42" s="709">
        <v>25005</v>
      </c>
      <c r="J42" s="710"/>
      <c r="K42" s="709">
        <v>23569</v>
      </c>
      <c r="L42" s="711"/>
    </row>
    <row r="43" spans="1:17" ht="13.5" thickTop="1"/>
    <row r="44" spans="1:17" customFormat="1">
      <c r="O44" s="521"/>
      <c r="P44" s="98"/>
      <c r="Q44" s="285"/>
    </row>
    <row r="45" spans="1:17" customFormat="1">
      <c r="O45" s="521"/>
    </row>
    <row r="46" spans="1:17" customFormat="1">
      <c r="O46" s="521"/>
    </row>
    <row r="47" spans="1:17" customFormat="1">
      <c r="O47" s="521"/>
    </row>
    <row r="48" spans="1:17" customFormat="1">
      <c r="O48" s="521"/>
    </row>
    <row r="49" spans="15:17" customFormat="1">
      <c r="O49" s="521"/>
    </row>
    <row r="50" spans="15:17" customFormat="1">
      <c r="O50" s="521"/>
    </row>
    <row r="51" spans="15:17" customFormat="1">
      <c r="O51" s="521"/>
    </row>
    <row r="52" spans="15:17" customFormat="1">
      <c r="O52" s="521"/>
    </row>
    <row r="53" spans="15:17" customFormat="1">
      <c r="O53" s="521"/>
    </row>
    <row r="54" spans="15:17">
      <c r="P54"/>
      <c r="Q54"/>
    </row>
  </sheetData>
  <sortState ref="P8:Q21">
    <sortCondition ref="P4"/>
  </sortState>
  <mergeCells count="9">
    <mergeCell ref="G42:H42"/>
    <mergeCell ref="I42:J42"/>
    <mergeCell ref="K42:L42"/>
    <mergeCell ref="B2:C2"/>
    <mergeCell ref="A40:C40"/>
    <mergeCell ref="E40:L40"/>
    <mergeCell ref="G41:H41"/>
    <mergeCell ref="I41:J41"/>
    <mergeCell ref="K41:L41"/>
  </mergeCells>
  <dataValidations count="1">
    <dataValidation type="list" allowBlank="1" showInputMessage="1" showErrorMessage="1" sqref="B2:C2">
      <formula1>Team_Names</formula1>
    </dataValidation>
  </dataValidations>
  <hyperlinks>
    <hyperlink ref="A40:C40" r:id="rId1" display="Work Processing Summary"/>
    <hyperlink ref="A1" location="'Table of Contents'!A1" display="Table of Contents"/>
    <hyperlink ref="N5" location="'Budget Rollup'!A1" display="Budget Rollup"/>
    <hyperlink ref="N6" location="'Survey Rollup'!A1" display="Survey Rollup"/>
    <hyperlink ref="N7" location="'Survey Mapping'!A1" display="Survey Mapping"/>
    <hyperlink ref="N8" location="'Partner Survey Data'!A1" display="Partner Survey Data"/>
    <hyperlink ref="N9" location="'Business Survey Data'!A1" display="Business Survey Data"/>
    <hyperlink ref="N10" location="'IT Survey Data'!A1" display="IT Survey Data"/>
    <hyperlink ref="N11" location="'On-Time Delivery Data'!A1" display="On-Time Delivery Data"/>
    <hyperlink ref="N12" location="'Budget Variance Data'!A1" display="Budget Variance Data"/>
    <hyperlink ref="N13" location="ITR_Data!A1" display="ITR Data"/>
    <hyperlink ref="N15" location="'Partner Survey - All Teams'!A1" display="Partner Survey - All Teams"/>
    <hyperlink ref="N16" location="'Business Survey - All Teams'!A1" display="Business Survey - All Teams"/>
    <hyperlink ref="N17" location="'IT Survey - All Teams'!A1" display="IT Survey - All Teams"/>
  </hyperlinks>
  <pageMargins left="0.25" right="0.25" top="0.75" bottom="0.75" header="0.3" footer="0.3"/>
  <pageSetup scale="99" orientation="portrait" r:id="rId2"/>
  <headerFooter alignWithMargins="0">
    <oddFooter>&amp;L&amp;5&amp;Z&amp;F
Created: 9/29/2006 10:44:00 PM
Last Saved: 2/22/2008 9:07:29 AM
Last Printed: 2/22/2008 9:10:13 AM&amp;R&amp;5&amp;P - &amp;N
Title :&lt;Not Set&gt;
Subject: &lt;Not Set&gt;</oddFooter>
  </headerFooter>
  <drawing r:id="rId3"/>
  <legacyDrawing r:id="rId4"/>
</worksheet>
</file>

<file path=xl/worksheets/sheet3.xml><?xml version="1.0" encoding="utf-8"?>
<worksheet xmlns="http://schemas.openxmlformats.org/spreadsheetml/2006/main" xmlns:r="http://schemas.openxmlformats.org/officeDocument/2006/relationships">
  <sheetPr codeName="Sheet26">
    <pageSetUpPr fitToPage="1"/>
  </sheetPr>
  <dimension ref="A1:V42"/>
  <sheetViews>
    <sheetView workbookViewId="0">
      <selection activeCell="S3" sqref="S3:S33"/>
    </sheetView>
  </sheetViews>
  <sheetFormatPr defaultRowHeight="12.75"/>
  <cols>
    <col min="1" max="1" width="9" style="98" customWidth="1"/>
    <col min="2" max="2" width="9.140625" style="98"/>
    <col min="3" max="3" width="9.7109375" style="98" customWidth="1"/>
    <col min="4" max="4" width="9" style="98" customWidth="1"/>
    <col min="5" max="5" width="10.7109375" style="98" customWidth="1"/>
    <col min="6" max="247" width="9.140625" style="98"/>
    <col min="248" max="248" width="9" style="98" customWidth="1"/>
    <col min="249" max="249" width="9.140625" style="98"/>
    <col min="250" max="250" width="9.7109375" style="98" customWidth="1"/>
    <col min="251" max="251" width="9" style="98" customWidth="1"/>
    <col min="252" max="252" width="10.7109375" style="98" customWidth="1"/>
    <col min="253" max="253" width="12.7109375" style="98" customWidth="1"/>
    <col min="254" max="254" width="1" style="98" customWidth="1"/>
    <col min="255" max="255" width="12.7109375" style="98" customWidth="1"/>
    <col min="256" max="256" width="1" style="98" customWidth="1"/>
    <col min="257" max="257" width="12.7109375" style="98" customWidth="1"/>
    <col min="258" max="258" width="1" style="98" customWidth="1"/>
    <col min="259" max="259" width="12.7109375" style="98" customWidth="1"/>
    <col min="260" max="503" width="9.140625" style="98"/>
    <col min="504" max="504" width="9" style="98" customWidth="1"/>
    <col min="505" max="505" width="9.140625" style="98"/>
    <col min="506" max="506" width="9.7109375" style="98" customWidth="1"/>
    <col min="507" max="507" width="9" style="98" customWidth="1"/>
    <col min="508" max="508" width="10.7109375" style="98" customWidth="1"/>
    <col min="509" max="509" width="12.7109375" style="98" customWidth="1"/>
    <col min="510" max="510" width="1" style="98" customWidth="1"/>
    <col min="511" max="511" width="12.7109375" style="98" customWidth="1"/>
    <col min="512" max="512" width="1" style="98" customWidth="1"/>
    <col min="513" max="513" width="12.7109375" style="98" customWidth="1"/>
    <col min="514" max="514" width="1" style="98" customWidth="1"/>
    <col min="515" max="515" width="12.7109375" style="98" customWidth="1"/>
    <col min="516" max="759" width="9.140625" style="98"/>
    <col min="760" max="760" width="9" style="98" customWidth="1"/>
    <col min="761" max="761" width="9.140625" style="98"/>
    <col min="762" max="762" width="9.7109375" style="98" customWidth="1"/>
    <col min="763" max="763" width="9" style="98" customWidth="1"/>
    <col min="764" max="764" width="10.7109375" style="98" customWidth="1"/>
    <col min="765" max="765" width="12.7109375" style="98" customWidth="1"/>
    <col min="766" max="766" width="1" style="98" customWidth="1"/>
    <col min="767" max="767" width="12.7109375" style="98" customWidth="1"/>
    <col min="768" max="768" width="1" style="98" customWidth="1"/>
    <col min="769" max="769" width="12.7109375" style="98" customWidth="1"/>
    <col min="770" max="770" width="1" style="98" customWidth="1"/>
    <col min="771" max="771" width="12.7109375" style="98" customWidth="1"/>
    <col min="772" max="1015" width="9.140625" style="98"/>
    <col min="1016" max="1016" width="9" style="98" customWidth="1"/>
    <col min="1017" max="1017" width="9.140625" style="98"/>
    <col min="1018" max="1018" width="9.7109375" style="98" customWidth="1"/>
    <col min="1019" max="1019" width="9" style="98" customWidth="1"/>
    <col min="1020" max="1020" width="10.7109375" style="98" customWidth="1"/>
    <col min="1021" max="1021" width="12.7109375" style="98" customWidth="1"/>
    <col min="1022" max="1022" width="1" style="98" customWidth="1"/>
    <col min="1023" max="1023" width="12.7109375" style="98" customWidth="1"/>
    <col min="1024" max="1024" width="1" style="98" customWidth="1"/>
    <col min="1025" max="1025" width="12.7109375" style="98" customWidth="1"/>
    <col min="1026" max="1026" width="1" style="98" customWidth="1"/>
    <col min="1027" max="1027" width="12.7109375" style="98" customWidth="1"/>
    <col min="1028" max="1271" width="9.140625" style="98"/>
    <col min="1272" max="1272" width="9" style="98" customWidth="1"/>
    <col min="1273" max="1273" width="9.140625" style="98"/>
    <col min="1274" max="1274" width="9.7109375" style="98" customWidth="1"/>
    <col min="1275" max="1275" width="9" style="98" customWidth="1"/>
    <col min="1276" max="1276" width="10.7109375" style="98" customWidth="1"/>
    <col min="1277" max="1277" width="12.7109375" style="98" customWidth="1"/>
    <col min="1278" max="1278" width="1" style="98" customWidth="1"/>
    <col min="1279" max="1279" width="12.7109375" style="98" customWidth="1"/>
    <col min="1280" max="1280" width="1" style="98" customWidth="1"/>
    <col min="1281" max="1281" width="12.7109375" style="98" customWidth="1"/>
    <col min="1282" max="1282" width="1" style="98" customWidth="1"/>
    <col min="1283" max="1283" width="12.7109375" style="98" customWidth="1"/>
    <col min="1284" max="1527" width="9.140625" style="98"/>
    <col min="1528" max="1528" width="9" style="98" customWidth="1"/>
    <col min="1529" max="1529" width="9.140625" style="98"/>
    <col min="1530" max="1530" width="9.7109375" style="98" customWidth="1"/>
    <col min="1531" max="1531" width="9" style="98" customWidth="1"/>
    <col min="1532" max="1532" width="10.7109375" style="98" customWidth="1"/>
    <col min="1533" max="1533" width="12.7109375" style="98" customWidth="1"/>
    <col min="1534" max="1534" width="1" style="98" customWidth="1"/>
    <col min="1535" max="1535" width="12.7109375" style="98" customWidth="1"/>
    <col min="1536" max="1536" width="1" style="98" customWidth="1"/>
    <col min="1537" max="1537" width="12.7109375" style="98" customWidth="1"/>
    <col min="1538" max="1538" width="1" style="98" customWidth="1"/>
    <col min="1539" max="1539" width="12.7109375" style="98" customWidth="1"/>
    <col min="1540" max="1783" width="9.140625" style="98"/>
    <col min="1784" max="1784" width="9" style="98" customWidth="1"/>
    <col min="1785" max="1785" width="9.140625" style="98"/>
    <col min="1786" max="1786" width="9.7109375" style="98" customWidth="1"/>
    <col min="1787" max="1787" width="9" style="98" customWidth="1"/>
    <col min="1788" max="1788" width="10.7109375" style="98" customWidth="1"/>
    <col min="1789" max="1789" width="12.7109375" style="98" customWidth="1"/>
    <col min="1790" max="1790" width="1" style="98" customWidth="1"/>
    <col min="1791" max="1791" width="12.7109375" style="98" customWidth="1"/>
    <col min="1792" max="1792" width="1" style="98" customWidth="1"/>
    <col min="1793" max="1793" width="12.7109375" style="98" customWidth="1"/>
    <col min="1794" max="1794" width="1" style="98" customWidth="1"/>
    <col min="1795" max="1795" width="12.7109375" style="98" customWidth="1"/>
    <col min="1796" max="2039" width="9.140625" style="98"/>
    <col min="2040" max="2040" width="9" style="98" customWidth="1"/>
    <col min="2041" max="2041" width="9.140625" style="98"/>
    <col min="2042" max="2042" width="9.7109375" style="98" customWidth="1"/>
    <col min="2043" max="2043" width="9" style="98" customWidth="1"/>
    <col min="2044" max="2044" width="10.7109375" style="98" customWidth="1"/>
    <col min="2045" max="2045" width="12.7109375" style="98" customWidth="1"/>
    <col min="2046" max="2046" width="1" style="98" customWidth="1"/>
    <col min="2047" max="2047" width="12.7109375" style="98" customWidth="1"/>
    <col min="2048" max="2048" width="1" style="98" customWidth="1"/>
    <col min="2049" max="2049" width="12.7109375" style="98" customWidth="1"/>
    <col min="2050" max="2050" width="1" style="98" customWidth="1"/>
    <col min="2051" max="2051" width="12.7109375" style="98" customWidth="1"/>
    <col min="2052" max="2295" width="9.140625" style="98"/>
    <col min="2296" max="2296" width="9" style="98" customWidth="1"/>
    <col min="2297" max="2297" width="9.140625" style="98"/>
    <col min="2298" max="2298" width="9.7109375" style="98" customWidth="1"/>
    <col min="2299" max="2299" width="9" style="98" customWidth="1"/>
    <col min="2300" max="2300" width="10.7109375" style="98" customWidth="1"/>
    <col min="2301" max="2301" width="12.7109375" style="98" customWidth="1"/>
    <col min="2302" max="2302" width="1" style="98" customWidth="1"/>
    <col min="2303" max="2303" width="12.7109375" style="98" customWidth="1"/>
    <col min="2304" max="2304" width="1" style="98" customWidth="1"/>
    <col min="2305" max="2305" width="12.7109375" style="98" customWidth="1"/>
    <col min="2306" max="2306" width="1" style="98" customWidth="1"/>
    <col min="2307" max="2307" width="12.7109375" style="98" customWidth="1"/>
    <col min="2308" max="2551" width="9.140625" style="98"/>
    <col min="2552" max="2552" width="9" style="98" customWidth="1"/>
    <col min="2553" max="2553" width="9.140625" style="98"/>
    <col min="2554" max="2554" width="9.7109375" style="98" customWidth="1"/>
    <col min="2555" max="2555" width="9" style="98" customWidth="1"/>
    <col min="2556" max="2556" width="10.7109375" style="98" customWidth="1"/>
    <col min="2557" max="2557" width="12.7109375" style="98" customWidth="1"/>
    <col min="2558" max="2558" width="1" style="98" customWidth="1"/>
    <col min="2559" max="2559" width="12.7109375" style="98" customWidth="1"/>
    <col min="2560" max="2560" width="1" style="98" customWidth="1"/>
    <col min="2561" max="2561" width="12.7109375" style="98" customWidth="1"/>
    <col min="2562" max="2562" width="1" style="98" customWidth="1"/>
    <col min="2563" max="2563" width="12.7109375" style="98" customWidth="1"/>
    <col min="2564" max="2807" width="9.140625" style="98"/>
    <col min="2808" max="2808" width="9" style="98" customWidth="1"/>
    <col min="2809" max="2809" width="9.140625" style="98"/>
    <col min="2810" max="2810" width="9.7109375" style="98" customWidth="1"/>
    <col min="2811" max="2811" width="9" style="98" customWidth="1"/>
    <col min="2812" max="2812" width="10.7109375" style="98" customWidth="1"/>
    <col min="2813" max="2813" width="12.7109375" style="98" customWidth="1"/>
    <col min="2814" max="2814" width="1" style="98" customWidth="1"/>
    <col min="2815" max="2815" width="12.7109375" style="98" customWidth="1"/>
    <col min="2816" max="2816" width="1" style="98" customWidth="1"/>
    <col min="2817" max="2817" width="12.7109375" style="98" customWidth="1"/>
    <col min="2818" max="2818" width="1" style="98" customWidth="1"/>
    <col min="2819" max="2819" width="12.7109375" style="98" customWidth="1"/>
    <col min="2820" max="3063" width="9.140625" style="98"/>
    <col min="3064" max="3064" width="9" style="98" customWidth="1"/>
    <col min="3065" max="3065" width="9.140625" style="98"/>
    <col min="3066" max="3066" width="9.7109375" style="98" customWidth="1"/>
    <col min="3067" max="3067" width="9" style="98" customWidth="1"/>
    <col min="3068" max="3068" width="10.7109375" style="98" customWidth="1"/>
    <col min="3069" max="3069" width="12.7109375" style="98" customWidth="1"/>
    <col min="3070" max="3070" width="1" style="98" customWidth="1"/>
    <col min="3071" max="3071" width="12.7109375" style="98" customWidth="1"/>
    <col min="3072" max="3072" width="1" style="98" customWidth="1"/>
    <col min="3073" max="3073" width="12.7109375" style="98" customWidth="1"/>
    <col min="3074" max="3074" width="1" style="98" customWidth="1"/>
    <col min="3075" max="3075" width="12.7109375" style="98" customWidth="1"/>
    <col min="3076" max="3319" width="9.140625" style="98"/>
    <col min="3320" max="3320" width="9" style="98" customWidth="1"/>
    <col min="3321" max="3321" width="9.140625" style="98"/>
    <col min="3322" max="3322" width="9.7109375" style="98" customWidth="1"/>
    <col min="3323" max="3323" width="9" style="98" customWidth="1"/>
    <col min="3324" max="3324" width="10.7109375" style="98" customWidth="1"/>
    <col min="3325" max="3325" width="12.7109375" style="98" customWidth="1"/>
    <col min="3326" max="3326" width="1" style="98" customWidth="1"/>
    <col min="3327" max="3327" width="12.7109375" style="98" customWidth="1"/>
    <col min="3328" max="3328" width="1" style="98" customWidth="1"/>
    <col min="3329" max="3329" width="12.7109375" style="98" customWidth="1"/>
    <col min="3330" max="3330" width="1" style="98" customWidth="1"/>
    <col min="3331" max="3331" width="12.7109375" style="98" customWidth="1"/>
    <col min="3332" max="3575" width="9.140625" style="98"/>
    <col min="3576" max="3576" width="9" style="98" customWidth="1"/>
    <col min="3577" max="3577" width="9.140625" style="98"/>
    <col min="3578" max="3578" width="9.7109375" style="98" customWidth="1"/>
    <col min="3579" max="3579" width="9" style="98" customWidth="1"/>
    <col min="3580" max="3580" width="10.7109375" style="98" customWidth="1"/>
    <col min="3581" max="3581" width="12.7109375" style="98" customWidth="1"/>
    <col min="3582" max="3582" width="1" style="98" customWidth="1"/>
    <col min="3583" max="3583" width="12.7109375" style="98" customWidth="1"/>
    <col min="3584" max="3584" width="1" style="98" customWidth="1"/>
    <col min="3585" max="3585" width="12.7109375" style="98" customWidth="1"/>
    <col min="3586" max="3586" width="1" style="98" customWidth="1"/>
    <col min="3587" max="3587" width="12.7109375" style="98" customWidth="1"/>
    <col min="3588" max="3831" width="9.140625" style="98"/>
    <col min="3832" max="3832" width="9" style="98" customWidth="1"/>
    <col min="3833" max="3833" width="9.140625" style="98"/>
    <col min="3834" max="3834" width="9.7109375" style="98" customWidth="1"/>
    <col min="3835" max="3835" width="9" style="98" customWidth="1"/>
    <col min="3836" max="3836" width="10.7109375" style="98" customWidth="1"/>
    <col min="3837" max="3837" width="12.7109375" style="98" customWidth="1"/>
    <col min="3838" max="3838" width="1" style="98" customWidth="1"/>
    <col min="3839" max="3839" width="12.7109375" style="98" customWidth="1"/>
    <col min="3840" max="3840" width="1" style="98" customWidth="1"/>
    <col min="3841" max="3841" width="12.7109375" style="98" customWidth="1"/>
    <col min="3842" max="3842" width="1" style="98" customWidth="1"/>
    <col min="3843" max="3843" width="12.7109375" style="98" customWidth="1"/>
    <col min="3844" max="4087" width="9.140625" style="98"/>
    <col min="4088" max="4088" width="9" style="98" customWidth="1"/>
    <col min="4089" max="4089" width="9.140625" style="98"/>
    <col min="4090" max="4090" width="9.7109375" style="98" customWidth="1"/>
    <col min="4091" max="4091" width="9" style="98" customWidth="1"/>
    <col min="4092" max="4092" width="10.7109375" style="98" customWidth="1"/>
    <col min="4093" max="4093" width="12.7109375" style="98" customWidth="1"/>
    <col min="4094" max="4094" width="1" style="98" customWidth="1"/>
    <col min="4095" max="4095" width="12.7109375" style="98" customWidth="1"/>
    <col min="4096" max="4096" width="1" style="98" customWidth="1"/>
    <col min="4097" max="4097" width="12.7109375" style="98" customWidth="1"/>
    <col min="4098" max="4098" width="1" style="98" customWidth="1"/>
    <col min="4099" max="4099" width="12.7109375" style="98" customWidth="1"/>
    <col min="4100" max="4343" width="9.140625" style="98"/>
    <col min="4344" max="4344" width="9" style="98" customWidth="1"/>
    <col min="4345" max="4345" width="9.140625" style="98"/>
    <col min="4346" max="4346" width="9.7109375" style="98" customWidth="1"/>
    <col min="4347" max="4347" width="9" style="98" customWidth="1"/>
    <col min="4348" max="4348" width="10.7109375" style="98" customWidth="1"/>
    <col min="4349" max="4349" width="12.7109375" style="98" customWidth="1"/>
    <col min="4350" max="4350" width="1" style="98" customWidth="1"/>
    <col min="4351" max="4351" width="12.7109375" style="98" customWidth="1"/>
    <col min="4352" max="4352" width="1" style="98" customWidth="1"/>
    <col min="4353" max="4353" width="12.7109375" style="98" customWidth="1"/>
    <col min="4354" max="4354" width="1" style="98" customWidth="1"/>
    <col min="4355" max="4355" width="12.7109375" style="98" customWidth="1"/>
    <col min="4356" max="4599" width="9.140625" style="98"/>
    <col min="4600" max="4600" width="9" style="98" customWidth="1"/>
    <col min="4601" max="4601" width="9.140625" style="98"/>
    <col min="4602" max="4602" width="9.7109375" style="98" customWidth="1"/>
    <col min="4603" max="4603" width="9" style="98" customWidth="1"/>
    <col min="4604" max="4604" width="10.7109375" style="98" customWidth="1"/>
    <col min="4605" max="4605" width="12.7109375" style="98" customWidth="1"/>
    <col min="4606" max="4606" width="1" style="98" customWidth="1"/>
    <col min="4607" max="4607" width="12.7109375" style="98" customWidth="1"/>
    <col min="4608" max="4608" width="1" style="98" customWidth="1"/>
    <col min="4609" max="4609" width="12.7109375" style="98" customWidth="1"/>
    <col min="4610" max="4610" width="1" style="98" customWidth="1"/>
    <col min="4611" max="4611" width="12.7109375" style="98" customWidth="1"/>
    <col min="4612" max="4855" width="9.140625" style="98"/>
    <col min="4856" max="4856" width="9" style="98" customWidth="1"/>
    <col min="4857" max="4857" width="9.140625" style="98"/>
    <col min="4858" max="4858" width="9.7109375" style="98" customWidth="1"/>
    <col min="4859" max="4859" width="9" style="98" customWidth="1"/>
    <col min="4860" max="4860" width="10.7109375" style="98" customWidth="1"/>
    <col min="4861" max="4861" width="12.7109375" style="98" customWidth="1"/>
    <col min="4862" max="4862" width="1" style="98" customWidth="1"/>
    <col min="4863" max="4863" width="12.7109375" style="98" customWidth="1"/>
    <col min="4864" max="4864" width="1" style="98" customWidth="1"/>
    <col min="4865" max="4865" width="12.7109375" style="98" customWidth="1"/>
    <col min="4866" max="4866" width="1" style="98" customWidth="1"/>
    <col min="4867" max="4867" width="12.7109375" style="98" customWidth="1"/>
    <col min="4868" max="5111" width="9.140625" style="98"/>
    <col min="5112" max="5112" width="9" style="98" customWidth="1"/>
    <col min="5113" max="5113" width="9.140625" style="98"/>
    <col min="5114" max="5114" width="9.7109375" style="98" customWidth="1"/>
    <col min="5115" max="5115" width="9" style="98" customWidth="1"/>
    <col min="5116" max="5116" width="10.7109375" style="98" customWidth="1"/>
    <col min="5117" max="5117" width="12.7109375" style="98" customWidth="1"/>
    <col min="5118" max="5118" width="1" style="98" customWidth="1"/>
    <col min="5119" max="5119" width="12.7109375" style="98" customWidth="1"/>
    <col min="5120" max="5120" width="1" style="98" customWidth="1"/>
    <col min="5121" max="5121" width="12.7109375" style="98" customWidth="1"/>
    <col min="5122" max="5122" width="1" style="98" customWidth="1"/>
    <col min="5123" max="5123" width="12.7109375" style="98" customWidth="1"/>
    <col min="5124" max="5367" width="9.140625" style="98"/>
    <col min="5368" max="5368" width="9" style="98" customWidth="1"/>
    <col min="5369" max="5369" width="9.140625" style="98"/>
    <col min="5370" max="5370" width="9.7109375" style="98" customWidth="1"/>
    <col min="5371" max="5371" width="9" style="98" customWidth="1"/>
    <col min="5372" max="5372" width="10.7109375" style="98" customWidth="1"/>
    <col min="5373" max="5373" width="12.7109375" style="98" customWidth="1"/>
    <col min="5374" max="5374" width="1" style="98" customWidth="1"/>
    <col min="5375" max="5375" width="12.7109375" style="98" customWidth="1"/>
    <col min="5376" max="5376" width="1" style="98" customWidth="1"/>
    <col min="5377" max="5377" width="12.7109375" style="98" customWidth="1"/>
    <col min="5378" max="5378" width="1" style="98" customWidth="1"/>
    <col min="5379" max="5379" width="12.7109375" style="98" customWidth="1"/>
    <col min="5380" max="5623" width="9.140625" style="98"/>
    <col min="5624" max="5624" width="9" style="98" customWidth="1"/>
    <col min="5625" max="5625" width="9.140625" style="98"/>
    <col min="5626" max="5626" width="9.7109375" style="98" customWidth="1"/>
    <col min="5627" max="5627" width="9" style="98" customWidth="1"/>
    <col min="5628" max="5628" width="10.7109375" style="98" customWidth="1"/>
    <col min="5629" max="5629" width="12.7109375" style="98" customWidth="1"/>
    <col min="5630" max="5630" width="1" style="98" customWidth="1"/>
    <col min="5631" max="5631" width="12.7109375" style="98" customWidth="1"/>
    <col min="5632" max="5632" width="1" style="98" customWidth="1"/>
    <col min="5633" max="5633" width="12.7109375" style="98" customWidth="1"/>
    <col min="5634" max="5634" width="1" style="98" customWidth="1"/>
    <col min="5635" max="5635" width="12.7109375" style="98" customWidth="1"/>
    <col min="5636" max="5879" width="9.140625" style="98"/>
    <col min="5880" max="5880" width="9" style="98" customWidth="1"/>
    <col min="5881" max="5881" width="9.140625" style="98"/>
    <col min="5882" max="5882" width="9.7109375" style="98" customWidth="1"/>
    <col min="5883" max="5883" width="9" style="98" customWidth="1"/>
    <col min="5884" max="5884" width="10.7109375" style="98" customWidth="1"/>
    <col min="5885" max="5885" width="12.7109375" style="98" customWidth="1"/>
    <col min="5886" max="5886" width="1" style="98" customWidth="1"/>
    <col min="5887" max="5887" width="12.7109375" style="98" customWidth="1"/>
    <col min="5888" max="5888" width="1" style="98" customWidth="1"/>
    <col min="5889" max="5889" width="12.7109375" style="98" customWidth="1"/>
    <col min="5890" max="5890" width="1" style="98" customWidth="1"/>
    <col min="5891" max="5891" width="12.7109375" style="98" customWidth="1"/>
    <col min="5892" max="6135" width="9.140625" style="98"/>
    <col min="6136" max="6136" width="9" style="98" customWidth="1"/>
    <col min="6137" max="6137" width="9.140625" style="98"/>
    <col min="6138" max="6138" width="9.7109375" style="98" customWidth="1"/>
    <col min="6139" max="6139" width="9" style="98" customWidth="1"/>
    <col min="6140" max="6140" width="10.7109375" style="98" customWidth="1"/>
    <col min="6141" max="6141" width="12.7109375" style="98" customWidth="1"/>
    <col min="6142" max="6142" width="1" style="98" customWidth="1"/>
    <col min="6143" max="6143" width="12.7109375" style="98" customWidth="1"/>
    <col min="6144" max="6144" width="1" style="98" customWidth="1"/>
    <col min="6145" max="6145" width="12.7109375" style="98" customWidth="1"/>
    <col min="6146" max="6146" width="1" style="98" customWidth="1"/>
    <col min="6147" max="6147" width="12.7109375" style="98" customWidth="1"/>
    <col min="6148" max="6391" width="9.140625" style="98"/>
    <col min="6392" max="6392" width="9" style="98" customWidth="1"/>
    <col min="6393" max="6393" width="9.140625" style="98"/>
    <col min="6394" max="6394" width="9.7109375" style="98" customWidth="1"/>
    <col min="6395" max="6395" width="9" style="98" customWidth="1"/>
    <col min="6396" max="6396" width="10.7109375" style="98" customWidth="1"/>
    <col min="6397" max="6397" width="12.7109375" style="98" customWidth="1"/>
    <col min="6398" max="6398" width="1" style="98" customWidth="1"/>
    <col min="6399" max="6399" width="12.7109375" style="98" customWidth="1"/>
    <col min="6400" max="6400" width="1" style="98" customWidth="1"/>
    <col min="6401" max="6401" width="12.7109375" style="98" customWidth="1"/>
    <col min="6402" max="6402" width="1" style="98" customWidth="1"/>
    <col min="6403" max="6403" width="12.7109375" style="98" customWidth="1"/>
    <col min="6404" max="6647" width="9.140625" style="98"/>
    <col min="6648" max="6648" width="9" style="98" customWidth="1"/>
    <col min="6649" max="6649" width="9.140625" style="98"/>
    <col min="6650" max="6650" width="9.7109375" style="98" customWidth="1"/>
    <col min="6651" max="6651" width="9" style="98" customWidth="1"/>
    <col min="6652" max="6652" width="10.7109375" style="98" customWidth="1"/>
    <col min="6653" max="6653" width="12.7109375" style="98" customWidth="1"/>
    <col min="6654" max="6654" width="1" style="98" customWidth="1"/>
    <col min="6655" max="6655" width="12.7109375" style="98" customWidth="1"/>
    <col min="6656" max="6656" width="1" style="98" customWidth="1"/>
    <col min="6657" max="6657" width="12.7109375" style="98" customWidth="1"/>
    <col min="6658" max="6658" width="1" style="98" customWidth="1"/>
    <col min="6659" max="6659" width="12.7109375" style="98" customWidth="1"/>
    <col min="6660" max="6903" width="9.140625" style="98"/>
    <col min="6904" max="6904" width="9" style="98" customWidth="1"/>
    <col min="6905" max="6905" width="9.140625" style="98"/>
    <col min="6906" max="6906" width="9.7109375" style="98" customWidth="1"/>
    <col min="6907" max="6907" width="9" style="98" customWidth="1"/>
    <col min="6908" max="6908" width="10.7109375" style="98" customWidth="1"/>
    <col min="6909" max="6909" width="12.7109375" style="98" customWidth="1"/>
    <col min="6910" max="6910" width="1" style="98" customWidth="1"/>
    <col min="6911" max="6911" width="12.7109375" style="98" customWidth="1"/>
    <col min="6912" max="6912" width="1" style="98" customWidth="1"/>
    <col min="6913" max="6913" width="12.7109375" style="98" customWidth="1"/>
    <col min="6914" max="6914" width="1" style="98" customWidth="1"/>
    <col min="6915" max="6915" width="12.7109375" style="98" customWidth="1"/>
    <col min="6916" max="7159" width="9.140625" style="98"/>
    <col min="7160" max="7160" width="9" style="98" customWidth="1"/>
    <col min="7161" max="7161" width="9.140625" style="98"/>
    <col min="7162" max="7162" width="9.7109375" style="98" customWidth="1"/>
    <col min="7163" max="7163" width="9" style="98" customWidth="1"/>
    <col min="7164" max="7164" width="10.7109375" style="98" customWidth="1"/>
    <col min="7165" max="7165" width="12.7109375" style="98" customWidth="1"/>
    <col min="7166" max="7166" width="1" style="98" customWidth="1"/>
    <col min="7167" max="7167" width="12.7109375" style="98" customWidth="1"/>
    <col min="7168" max="7168" width="1" style="98" customWidth="1"/>
    <col min="7169" max="7169" width="12.7109375" style="98" customWidth="1"/>
    <col min="7170" max="7170" width="1" style="98" customWidth="1"/>
    <col min="7171" max="7171" width="12.7109375" style="98" customWidth="1"/>
    <col min="7172" max="7415" width="9.140625" style="98"/>
    <col min="7416" max="7416" width="9" style="98" customWidth="1"/>
    <col min="7417" max="7417" width="9.140625" style="98"/>
    <col min="7418" max="7418" width="9.7109375" style="98" customWidth="1"/>
    <col min="7419" max="7419" width="9" style="98" customWidth="1"/>
    <col min="7420" max="7420" width="10.7109375" style="98" customWidth="1"/>
    <col min="7421" max="7421" width="12.7109375" style="98" customWidth="1"/>
    <col min="7422" max="7422" width="1" style="98" customWidth="1"/>
    <col min="7423" max="7423" width="12.7109375" style="98" customWidth="1"/>
    <col min="7424" max="7424" width="1" style="98" customWidth="1"/>
    <col min="7425" max="7425" width="12.7109375" style="98" customWidth="1"/>
    <col min="7426" max="7426" width="1" style="98" customWidth="1"/>
    <col min="7427" max="7427" width="12.7109375" style="98" customWidth="1"/>
    <col min="7428" max="7671" width="9.140625" style="98"/>
    <col min="7672" max="7672" width="9" style="98" customWidth="1"/>
    <col min="7673" max="7673" width="9.140625" style="98"/>
    <col min="7674" max="7674" width="9.7109375" style="98" customWidth="1"/>
    <col min="7675" max="7675" width="9" style="98" customWidth="1"/>
    <col min="7676" max="7676" width="10.7109375" style="98" customWidth="1"/>
    <col min="7677" max="7677" width="12.7109375" style="98" customWidth="1"/>
    <col min="7678" max="7678" width="1" style="98" customWidth="1"/>
    <col min="7679" max="7679" width="12.7109375" style="98" customWidth="1"/>
    <col min="7680" max="7680" width="1" style="98" customWidth="1"/>
    <col min="7681" max="7681" width="12.7109375" style="98" customWidth="1"/>
    <col min="7682" max="7682" width="1" style="98" customWidth="1"/>
    <col min="7683" max="7683" width="12.7109375" style="98" customWidth="1"/>
    <col min="7684" max="7927" width="9.140625" style="98"/>
    <col min="7928" max="7928" width="9" style="98" customWidth="1"/>
    <col min="7929" max="7929" width="9.140625" style="98"/>
    <col min="7930" max="7930" width="9.7109375" style="98" customWidth="1"/>
    <col min="7931" max="7931" width="9" style="98" customWidth="1"/>
    <col min="7932" max="7932" width="10.7109375" style="98" customWidth="1"/>
    <col min="7933" max="7933" width="12.7109375" style="98" customWidth="1"/>
    <col min="7934" max="7934" width="1" style="98" customWidth="1"/>
    <col min="7935" max="7935" width="12.7109375" style="98" customWidth="1"/>
    <col min="7936" max="7936" width="1" style="98" customWidth="1"/>
    <col min="7937" max="7937" width="12.7109375" style="98" customWidth="1"/>
    <col min="7938" max="7938" width="1" style="98" customWidth="1"/>
    <col min="7939" max="7939" width="12.7109375" style="98" customWidth="1"/>
    <col min="7940" max="8183" width="9.140625" style="98"/>
    <col min="8184" max="8184" width="9" style="98" customWidth="1"/>
    <col min="8185" max="8185" width="9.140625" style="98"/>
    <col min="8186" max="8186" width="9.7109375" style="98" customWidth="1"/>
    <col min="8187" max="8187" width="9" style="98" customWidth="1"/>
    <col min="8188" max="8188" width="10.7109375" style="98" customWidth="1"/>
    <col min="8189" max="8189" width="12.7109375" style="98" customWidth="1"/>
    <col min="8190" max="8190" width="1" style="98" customWidth="1"/>
    <col min="8191" max="8191" width="12.7109375" style="98" customWidth="1"/>
    <col min="8192" max="8192" width="1" style="98" customWidth="1"/>
    <col min="8193" max="8193" width="12.7109375" style="98" customWidth="1"/>
    <col min="8194" max="8194" width="1" style="98" customWidth="1"/>
    <col min="8195" max="8195" width="12.7109375" style="98" customWidth="1"/>
    <col min="8196" max="8439" width="9.140625" style="98"/>
    <col min="8440" max="8440" width="9" style="98" customWidth="1"/>
    <col min="8441" max="8441" width="9.140625" style="98"/>
    <col min="8442" max="8442" width="9.7109375" style="98" customWidth="1"/>
    <col min="8443" max="8443" width="9" style="98" customWidth="1"/>
    <col min="8444" max="8444" width="10.7109375" style="98" customWidth="1"/>
    <col min="8445" max="8445" width="12.7109375" style="98" customWidth="1"/>
    <col min="8446" max="8446" width="1" style="98" customWidth="1"/>
    <col min="8447" max="8447" width="12.7109375" style="98" customWidth="1"/>
    <col min="8448" max="8448" width="1" style="98" customWidth="1"/>
    <col min="8449" max="8449" width="12.7109375" style="98" customWidth="1"/>
    <col min="8450" max="8450" width="1" style="98" customWidth="1"/>
    <col min="8451" max="8451" width="12.7109375" style="98" customWidth="1"/>
    <col min="8452" max="8695" width="9.140625" style="98"/>
    <col min="8696" max="8696" width="9" style="98" customWidth="1"/>
    <col min="8697" max="8697" width="9.140625" style="98"/>
    <col min="8698" max="8698" width="9.7109375" style="98" customWidth="1"/>
    <col min="8699" max="8699" width="9" style="98" customWidth="1"/>
    <col min="8700" max="8700" width="10.7109375" style="98" customWidth="1"/>
    <col min="8701" max="8701" width="12.7109375" style="98" customWidth="1"/>
    <col min="8702" max="8702" width="1" style="98" customWidth="1"/>
    <col min="8703" max="8703" width="12.7109375" style="98" customWidth="1"/>
    <col min="8704" max="8704" width="1" style="98" customWidth="1"/>
    <col min="8705" max="8705" width="12.7109375" style="98" customWidth="1"/>
    <col min="8706" max="8706" width="1" style="98" customWidth="1"/>
    <col min="8707" max="8707" width="12.7109375" style="98" customWidth="1"/>
    <col min="8708" max="8951" width="9.140625" style="98"/>
    <col min="8952" max="8952" width="9" style="98" customWidth="1"/>
    <col min="8953" max="8953" width="9.140625" style="98"/>
    <col min="8954" max="8954" width="9.7109375" style="98" customWidth="1"/>
    <col min="8955" max="8955" width="9" style="98" customWidth="1"/>
    <col min="8956" max="8956" width="10.7109375" style="98" customWidth="1"/>
    <col min="8957" max="8957" width="12.7109375" style="98" customWidth="1"/>
    <col min="8958" max="8958" width="1" style="98" customWidth="1"/>
    <col min="8959" max="8959" width="12.7109375" style="98" customWidth="1"/>
    <col min="8960" max="8960" width="1" style="98" customWidth="1"/>
    <col min="8961" max="8961" width="12.7109375" style="98" customWidth="1"/>
    <col min="8962" max="8962" width="1" style="98" customWidth="1"/>
    <col min="8963" max="8963" width="12.7109375" style="98" customWidth="1"/>
    <col min="8964" max="9207" width="9.140625" style="98"/>
    <col min="9208" max="9208" width="9" style="98" customWidth="1"/>
    <col min="9209" max="9209" width="9.140625" style="98"/>
    <col min="9210" max="9210" width="9.7109375" style="98" customWidth="1"/>
    <col min="9211" max="9211" width="9" style="98" customWidth="1"/>
    <col min="9212" max="9212" width="10.7109375" style="98" customWidth="1"/>
    <col min="9213" max="9213" width="12.7109375" style="98" customWidth="1"/>
    <col min="9214" max="9214" width="1" style="98" customWidth="1"/>
    <col min="9215" max="9215" width="12.7109375" style="98" customWidth="1"/>
    <col min="9216" max="9216" width="1" style="98" customWidth="1"/>
    <col min="9217" max="9217" width="12.7109375" style="98" customWidth="1"/>
    <col min="9218" max="9218" width="1" style="98" customWidth="1"/>
    <col min="9219" max="9219" width="12.7109375" style="98" customWidth="1"/>
    <col min="9220" max="9463" width="9.140625" style="98"/>
    <col min="9464" max="9464" width="9" style="98" customWidth="1"/>
    <col min="9465" max="9465" width="9.140625" style="98"/>
    <col min="9466" max="9466" width="9.7109375" style="98" customWidth="1"/>
    <col min="9467" max="9467" width="9" style="98" customWidth="1"/>
    <col min="9468" max="9468" width="10.7109375" style="98" customWidth="1"/>
    <col min="9469" max="9469" width="12.7109375" style="98" customWidth="1"/>
    <col min="9470" max="9470" width="1" style="98" customWidth="1"/>
    <col min="9471" max="9471" width="12.7109375" style="98" customWidth="1"/>
    <col min="9472" max="9472" width="1" style="98" customWidth="1"/>
    <col min="9473" max="9473" width="12.7109375" style="98" customWidth="1"/>
    <col min="9474" max="9474" width="1" style="98" customWidth="1"/>
    <col min="9475" max="9475" width="12.7109375" style="98" customWidth="1"/>
    <col min="9476" max="9719" width="9.140625" style="98"/>
    <col min="9720" max="9720" width="9" style="98" customWidth="1"/>
    <col min="9721" max="9721" width="9.140625" style="98"/>
    <col min="9722" max="9722" width="9.7109375" style="98" customWidth="1"/>
    <col min="9723" max="9723" width="9" style="98" customWidth="1"/>
    <col min="9724" max="9724" width="10.7109375" style="98" customWidth="1"/>
    <col min="9725" max="9725" width="12.7109375" style="98" customWidth="1"/>
    <col min="9726" max="9726" width="1" style="98" customWidth="1"/>
    <col min="9727" max="9727" width="12.7109375" style="98" customWidth="1"/>
    <col min="9728" max="9728" width="1" style="98" customWidth="1"/>
    <col min="9729" max="9729" width="12.7109375" style="98" customWidth="1"/>
    <col min="9730" max="9730" width="1" style="98" customWidth="1"/>
    <col min="9731" max="9731" width="12.7109375" style="98" customWidth="1"/>
    <col min="9732" max="9975" width="9.140625" style="98"/>
    <col min="9976" max="9976" width="9" style="98" customWidth="1"/>
    <col min="9977" max="9977" width="9.140625" style="98"/>
    <col min="9978" max="9978" width="9.7109375" style="98" customWidth="1"/>
    <col min="9979" max="9979" width="9" style="98" customWidth="1"/>
    <col min="9980" max="9980" width="10.7109375" style="98" customWidth="1"/>
    <col min="9981" max="9981" width="12.7109375" style="98" customWidth="1"/>
    <col min="9982" max="9982" width="1" style="98" customWidth="1"/>
    <col min="9983" max="9983" width="12.7109375" style="98" customWidth="1"/>
    <col min="9984" max="9984" width="1" style="98" customWidth="1"/>
    <col min="9985" max="9985" width="12.7109375" style="98" customWidth="1"/>
    <col min="9986" max="9986" width="1" style="98" customWidth="1"/>
    <col min="9987" max="9987" width="12.7109375" style="98" customWidth="1"/>
    <col min="9988" max="10231" width="9.140625" style="98"/>
    <col min="10232" max="10232" width="9" style="98" customWidth="1"/>
    <col min="10233" max="10233" width="9.140625" style="98"/>
    <col min="10234" max="10234" width="9.7109375" style="98" customWidth="1"/>
    <col min="10235" max="10235" width="9" style="98" customWidth="1"/>
    <col min="10236" max="10236" width="10.7109375" style="98" customWidth="1"/>
    <col min="10237" max="10237" width="12.7109375" style="98" customWidth="1"/>
    <col min="10238" max="10238" width="1" style="98" customWidth="1"/>
    <col min="10239" max="10239" width="12.7109375" style="98" customWidth="1"/>
    <col min="10240" max="10240" width="1" style="98" customWidth="1"/>
    <col min="10241" max="10241" width="12.7109375" style="98" customWidth="1"/>
    <col min="10242" max="10242" width="1" style="98" customWidth="1"/>
    <col min="10243" max="10243" width="12.7109375" style="98" customWidth="1"/>
    <col min="10244" max="10487" width="9.140625" style="98"/>
    <col min="10488" max="10488" width="9" style="98" customWidth="1"/>
    <col min="10489" max="10489" width="9.140625" style="98"/>
    <col min="10490" max="10490" width="9.7109375" style="98" customWidth="1"/>
    <col min="10491" max="10491" width="9" style="98" customWidth="1"/>
    <col min="10492" max="10492" width="10.7109375" style="98" customWidth="1"/>
    <col min="10493" max="10493" width="12.7109375" style="98" customWidth="1"/>
    <col min="10494" max="10494" width="1" style="98" customWidth="1"/>
    <col min="10495" max="10495" width="12.7109375" style="98" customWidth="1"/>
    <col min="10496" max="10496" width="1" style="98" customWidth="1"/>
    <col min="10497" max="10497" width="12.7109375" style="98" customWidth="1"/>
    <col min="10498" max="10498" width="1" style="98" customWidth="1"/>
    <col min="10499" max="10499" width="12.7109375" style="98" customWidth="1"/>
    <col min="10500" max="10743" width="9.140625" style="98"/>
    <col min="10744" max="10744" width="9" style="98" customWidth="1"/>
    <col min="10745" max="10745" width="9.140625" style="98"/>
    <col min="10746" max="10746" width="9.7109375" style="98" customWidth="1"/>
    <col min="10747" max="10747" width="9" style="98" customWidth="1"/>
    <col min="10748" max="10748" width="10.7109375" style="98" customWidth="1"/>
    <col min="10749" max="10749" width="12.7109375" style="98" customWidth="1"/>
    <col min="10750" max="10750" width="1" style="98" customWidth="1"/>
    <col min="10751" max="10751" width="12.7109375" style="98" customWidth="1"/>
    <col min="10752" max="10752" width="1" style="98" customWidth="1"/>
    <col min="10753" max="10753" width="12.7109375" style="98" customWidth="1"/>
    <col min="10754" max="10754" width="1" style="98" customWidth="1"/>
    <col min="10755" max="10755" width="12.7109375" style="98" customWidth="1"/>
    <col min="10756" max="10999" width="9.140625" style="98"/>
    <col min="11000" max="11000" width="9" style="98" customWidth="1"/>
    <col min="11001" max="11001" width="9.140625" style="98"/>
    <col min="11002" max="11002" width="9.7109375" style="98" customWidth="1"/>
    <col min="11003" max="11003" width="9" style="98" customWidth="1"/>
    <col min="11004" max="11004" width="10.7109375" style="98" customWidth="1"/>
    <col min="11005" max="11005" width="12.7109375" style="98" customWidth="1"/>
    <col min="11006" max="11006" width="1" style="98" customWidth="1"/>
    <col min="11007" max="11007" width="12.7109375" style="98" customWidth="1"/>
    <col min="11008" max="11008" width="1" style="98" customWidth="1"/>
    <col min="11009" max="11009" width="12.7109375" style="98" customWidth="1"/>
    <col min="11010" max="11010" width="1" style="98" customWidth="1"/>
    <col min="11011" max="11011" width="12.7109375" style="98" customWidth="1"/>
    <col min="11012" max="11255" width="9.140625" style="98"/>
    <col min="11256" max="11256" width="9" style="98" customWidth="1"/>
    <col min="11257" max="11257" width="9.140625" style="98"/>
    <col min="11258" max="11258" width="9.7109375" style="98" customWidth="1"/>
    <col min="11259" max="11259" width="9" style="98" customWidth="1"/>
    <col min="11260" max="11260" width="10.7109375" style="98" customWidth="1"/>
    <col min="11261" max="11261" width="12.7109375" style="98" customWidth="1"/>
    <col min="11262" max="11262" width="1" style="98" customWidth="1"/>
    <col min="11263" max="11263" width="12.7109375" style="98" customWidth="1"/>
    <col min="11264" max="11264" width="1" style="98" customWidth="1"/>
    <col min="11265" max="11265" width="12.7109375" style="98" customWidth="1"/>
    <col min="11266" max="11266" width="1" style="98" customWidth="1"/>
    <col min="11267" max="11267" width="12.7109375" style="98" customWidth="1"/>
    <col min="11268" max="11511" width="9.140625" style="98"/>
    <col min="11512" max="11512" width="9" style="98" customWidth="1"/>
    <col min="11513" max="11513" width="9.140625" style="98"/>
    <col min="11514" max="11514" width="9.7109375" style="98" customWidth="1"/>
    <col min="11515" max="11515" width="9" style="98" customWidth="1"/>
    <col min="11516" max="11516" width="10.7109375" style="98" customWidth="1"/>
    <col min="11517" max="11517" width="12.7109375" style="98" customWidth="1"/>
    <col min="11518" max="11518" width="1" style="98" customWidth="1"/>
    <col min="11519" max="11519" width="12.7109375" style="98" customWidth="1"/>
    <col min="11520" max="11520" width="1" style="98" customWidth="1"/>
    <col min="11521" max="11521" width="12.7109375" style="98" customWidth="1"/>
    <col min="11522" max="11522" width="1" style="98" customWidth="1"/>
    <col min="11523" max="11523" width="12.7109375" style="98" customWidth="1"/>
    <col min="11524" max="11767" width="9.140625" style="98"/>
    <col min="11768" max="11768" width="9" style="98" customWidth="1"/>
    <col min="11769" max="11769" width="9.140625" style="98"/>
    <col min="11770" max="11770" width="9.7109375" style="98" customWidth="1"/>
    <col min="11771" max="11771" width="9" style="98" customWidth="1"/>
    <col min="11772" max="11772" width="10.7109375" style="98" customWidth="1"/>
    <col min="11773" max="11773" width="12.7109375" style="98" customWidth="1"/>
    <col min="11774" max="11774" width="1" style="98" customWidth="1"/>
    <col min="11775" max="11775" width="12.7109375" style="98" customWidth="1"/>
    <col min="11776" max="11776" width="1" style="98" customWidth="1"/>
    <col min="11777" max="11777" width="12.7109375" style="98" customWidth="1"/>
    <col min="11778" max="11778" width="1" style="98" customWidth="1"/>
    <col min="11779" max="11779" width="12.7109375" style="98" customWidth="1"/>
    <col min="11780" max="12023" width="9.140625" style="98"/>
    <col min="12024" max="12024" width="9" style="98" customWidth="1"/>
    <col min="12025" max="12025" width="9.140625" style="98"/>
    <col min="12026" max="12026" width="9.7109375" style="98" customWidth="1"/>
    <col min="12027" max="12027" width="9" style="98" customWidth="1"/>
    <col min="12028" max="12028" width="10.7109375" style="98" customWidth="1"/>
    <col min="12029" max="12029" width="12.7109375" style="98" customWidth="1"/>
    <col min="12030" max="12030" width="1" style="98" customWidth="1"/>
    <col min="12031" max="12031" width="12.7109375" style="98" customWidth="1"/>
    <col min="12032" max="12032" width="1" style="98" customWidth="1"/>
    <col min="12033" max="12033" width="12.7109375" style="98" customWidth="1"/>
    <col min="12034" max="12034" width="1" style="98" customWidth="1"/>
    <col min="12035" max="12035" width="12.7109375" style="98" customWidth="1"/>
    <col min="12036" max="12279" width="9.140625" style="98"/>
    <col min="12280" max="12280" width="9" style="98" customWidth="1"/>
    <col min="12281" max="12281" width="9.140625" style="98"/>
    <col min="12282" max="12282" width="9.7109375" style="98" customWidth="1"/>
    <col min="12283" max="12283" width="9" style="98" customWidth="1"/>
    <col min="12284" max="12284" width="10.7109375" style="98" customWidth="1"/>
    <col min="12285" max="12285" width="12.7109375" style="98" customWidth="1"/>
    <col min="12286" max="12286" width="1" style="98" customWidth="1"/>
    <col min="12287" max="12287" width="12.7109375" style="98" customWidth="1"/>
    <col min="12288" max="12288" width="1" style="98" customWidth="1"/>
    <col min="12289" max="12289" width="12.7109375" style="98" customWidth="1"/>
    <col min="12290" max="12290" width="1" style="98" customWidth="1"/>
    <col min="12291" max="12291" width="12.7109375" style="98" customWidth="1"/>
    <col min="12292" max="12535" width="9.140625" style="98"/>
    <col min="12536" max="12536" width="9" style="98" customWidth="1"/>
    <col min="12537" max="12537" width="9.140625" style="98"/>
    <col min="12538" max="12538" width="9.7109375" style="98" customWidth="1"/>
    <col min="12539" max="12539" width="9" style="98" customWidth="1"/>
    <col min="12540" max="12540" width="10.7109375" style="98" customWidth="1"/>
    <col min="12541" max="12541" width="12.7109375" style="98" customWidth="1"/>
    <col min="12542" max="12542" width="1" style="98" customWidth="1"/>
    <col min="12543" max="12543" width="12.7109375" style="98" customWidth="1"/>
    <col min="12544" max="12544" width="1" style="98" customWidth="1"/>
    <col min="12545" max="12545" width="12.7109375" style="98" customWidth="1"/>
    <col min="12546" max="12546" width="1" style="98" customWidth="1"/>
    <col min="12547" max="12547" width="12.7109375" style="98" customWidth="1"/>
    <col min="12548" max="12791" width="9.140625" style="98"/>
    <col min="12792" max="12792" width="9" style="98" customWidth="1"/>
    <col min="12793" max="12793" width="9.140625" style="98"/>
    <col min="12794" max="12794" width="9.7109375" style="98" customWidth="1"/>
    <col min="12795" max="12795" width="9" style="98" customWidth="1"/>
    <col min="12796" max="12796" width="10.7109375" style="98" customWidth="1"/>
    <col min="12797" max="12797" width="12.7109375" style="98" customWidth="1"/>
    <col min="12798" max="12798" width="1" style="98" customWidth="1"/>
    <col min="12799" max="12799" width="12.7109375" style="98" customWidth="1"/>
    <col min="12800" max="12800" width="1" style="98" customWidth="1"/>
    <col min="12801" max="12801" width="12.7109375" style="98" customWidth="1"/>
    <col min="12802" max="12802" width="1" style="98" customWidth="1"/>
    <col min="12803" max="12803" width="12.7109375" style="98" customWidth="1"/>
    <col min="12804" max="13047" width="9.140625" style="98"/>
    <col min="13048" max="13048" width="9" style="98" customWidth="1"/>
    <col min="13049" max="13049" width="9.140625" style="98"/>
    <col min="13050" max="13050" width="9.7109375" style="98" customWidth="1"/>
    <col min="13051" max="13051" width="9" style="98" customWidth="1"/>
    <col min="13052" max="13052" width="10.7109375" style="98" customWidth="1"/>
    <col min="13053" max="13053" width="12.7109375" style="98" customWidth="1"/>
    <col min="13054" max="13054" width="1" style="98" customWidth="1"/>
    <col min="13055" max="13055" width="12.7109375" style="98" customWidth="1"/>
    <col min="13056" max="13056" width="1" style="98" customWidth="1"/>
    <col min="13057" max="13057" width="12.7109375" style="98" customWidth="1"/>
    <col min="13058" max="13058" width="1" style="98" customWidth="1"/>
    <col min="13059" max="13059" width="12.7109375" style="98" customWidth="1"/>
    <col min="13060" max="13303" width="9.140625" style="98"/>
    <col min="13304" max="13304" width="9" style="98" customWidth="1"/>
    <col min="13305" max="13305" width="9.140625" style="98"/>
    <col min="13306" max="13306" width="9.7109375" style="98" customWidth="1"/>
    <col min="13307" max="13307" width="9" style="98" customWidth="1"/>
    <col min="13308" max="13308" width="10.7109375" style="98" customWidth="1"/>
    <col min="13309" max="13309" width="12.7109375" style="98" customWidth="1"/>
    <col min="13310" max="13310" width="1" style="98" customWidth="1"/>
    <col min="13311" max="13311" width="12.7109375" style="98" customWidth="1"/>
    <col min="13312" max="13312" width="1" style="98" customWidth="1"/>
    <col min="13313" max="13313" width="12.7109375" style="98" customWidth="1"/>
    <col min="13314" max="13314" width="1" style="98" customWidth="1"/>
    <col min="13315" max="13315" width="12.7109375" style="98" customWidth="1"/>
    <col min="13316" max="13559" width="9.140625" style="98"/>
    <col min="13560" max="13560" width="9" style="98" customWidth="1"/>
    <col min="13561" max="13561" width="9.140625" style="98"/>
    <col min="13562" max="13562" width="9.7109375" style="98" customWidth="1"/>
    <col min="13563" max="13563" width="9" style="98" customWidth="1"/>
    <col min="13564" max="13564" width="10.7109375" style="98" customWidth="1"/>
    <col min="13565" max="13565" width="12.7109375" style="98" customWidth="1"/>
    <col min="13566" max="13566" width="1" style="98" customWidth="1"/>
    <col min="13567" max="13567" width="12.7109375" style="98" customWidth="1"/>
    <col min="13568" max="13568" width="1" style="98" customWidth="1"/>
    <col min="13569" max="13569" width="12.7109375" style="98" customWidth="1"/>
    <col min="13570" max="13570" width="1" style="98" customWidth="1"/>
    <col min="13571" max="13571" width="12.7109375" style="98" customWidth="1"/>
    <col min="13572" max="13815" width="9.140625" style="98"/>
    <col min="13816" max="13816" width="9" style="98" customWidth="1"/>
    <col min="13817" max="13817" width="9.140625" style="98"/>
    <col min="13818" max="13818" width="9.7109375" style="98" customWidth="1"/>
    <col min="13819" max="13819" width="9" style="98" customWidth="1"/>
    <col min="13820" max="13820" width="10.7109375" style="98" customWidth="1"/>
    <col min="13821" max="13821" width="12.7109375" style="98" customWidth="1"/>
    <col min="13822" max="13822" width="1" style="98" customWidth="1"/>
    <col min="13823" max="13823" width="12.7109375" style="98" customWidth="1"/>
    <col min="13824" max="13824" width="1" style="98" customWidth="1"/>
    <col min="13825" max="13825" width="12.7109375" style="98" customWidth="1"/>
    <col min="13826" max="13826" width="1" style="98" customWidth="1"/>
    <col min="13827" max="13827" width="12.7109375" style="98" customWidth="1"/>
    <col min="13828" max="14071" width="9.140625" style="98"/>
    <col min="14072" max="14072" width="9" style="98" customWidth="1"/>
    <col min="14073" max="14073" width="9.140625" style="98"/>
    <col min="14074" max="14074" width="9.7109375" style="98" customWidth="1"/>
    <col min="14075" max="14075" width="9" style="98" customWidth="1"/>
    <col min="14076" max="14076" width="10.7109375" style="98" customWidth="1"/>
    <col min="14077" max="14077" width="12.7109375" style="98" customWidth="1"/>
    <col min="14078" max="14078" width="1" style="98" customWidth="1"/>
    <col min="14079" max="14079" width="12.7109375" style="98" customWidth="1"/>
    <col min="14080" max="14080" width="1" style="98" customWidth="1"/>
    <col min="14081" max="14081" width="12.7109375" style="98" customWidth="1"/>
    <col min="14082" max="14082" width="1" style="98" customWidth="1"/>
    <col min="14083" max="14083" width="12.7109375" style="98" customWidth="1"/>
    <col min="14084" max="14327" width="9.140625" style="98"/>
    <col min="14328" max="14328" width="9" style="98" customWidth="1"/>
    <col min="14329" max="14329" width="9.140625" style="98"/>
    <col min="14330" max="14330" width="9.7109375" style="98" customWidth="1"/>
    <col min="14331" max="14331" width="9" style="98" customWidth="1"/>
    <col min="14332" max="14332" width="10.7109375" style="98" customWidth="1"/>
    <col min="14333" max="14333" width="12.7109375" style="98" customWidth="1"/>
    <col min="14334" max="14334" width="1" style="98" customWidth="1"/>
    <col min="14335" max="14335" width="12.7109375" style="98" customWidth="1"/>
    <col min="14336" max="14336" width="1" style="98" customWidth="1"/>
    <col min="14337" max="14337" width="12.7109375" style="98" customWidth="1"/>
    <col min="14338" max="14338" width="1" style="98" customWidth="1"/>
    <col min="14339" max="14339" width="12.7109375" style="98" customWidth="1"/>
    <col min="14340" max="14583" width="9.140625" style="98"/>
    <col min="14584" max="14584" width="9" style="98" customWidth="1"/>
    <col min="14585" max="14585" width="9.140625" style="98"/>
    <col min="14586" max="14586" width="9.7109375" style="98" customWidth="1"/>
    <col min="14587" max="14587" width="9" style="98" customWidth="1"/>
    <col min="14588" max="14588" width="10.7109375" style="98" customWidth="1"/>
    <col min="14589" max="14589" width="12.7109375" style="98" customWidth="1"/>
    <col min="14590" max="14590" width="1" style="98" customWidth="1"/>
    <col min="14591" max="14591" width="12.7109375" style="98" customWidth="1"/>
    <col min="14592" max="14592" width="1" style="98" customWidth="1"/>
    <col min="14593" max="14593" width="12.7109375" style="98" customWidth="1"/>
    <col min="14594" max="14594" width="1" style="98" customWidth="1"/>
    <col min="14595" max="14595" width="12.7109375" style="98" customWidth="1"/>
    <col min="14596" max="14839" width="9.140625" style="98"/>
    <col min="14840" max="14840" width="9" style="98" customWidth="1"/>
    <col min="14841" max="14841" width="9.140625" style="98"/>
    <col min="14842" max="14842" width="9.7109375" style="98" customWidth="1"/>
    <col min="14843" max="14843" width="9" style="98" customWidth="1"/>
    <col min="14844" max="14844" width="10.7109375" style="98" customWidth="1"/>
    <col min="14845" max="14845" width="12.7109375" style="98" customWidth="1"/>
    <col min="14846" max="14846" width="1" style="98" customWidth="1"/>
    <col min="14847" max="14847" width="12.7109375" style="98" customWidth="1"/>
    <col min="14848" max="14848" width="1" style="98" customWidth="1"/>
    <col min="14849" max="14849" width="12.7109375" style="98" customWidth="1"/>
    <col min="14850" max="14850" width="1" style="98" customWidth="1"/>
    <col min="14851" max="14851" width="12.7109375" style="98" customWidth="1"/>
    <col min="14852" max="15095" width="9.140625" style="98"/>
    <col min="15096" max="15096" width="9" style="98" customWidth="1"/>
    <col min="15097" max="15097" width="9.140625" style="98"/>
    <col min="15098" max="15098" width="9.7109375" style="98" customWidth="1"/>
    <col min="15099" max="15099" width="9" style="98" customWidth="1"/>
    <col min="15100" max="15100" width="10.7109375" style="98" customWidth="1"/>
    <col min="15101" max="15101" width="12.7109375" style="98" customWidth="1"/>
    <col min="15102" max="15102" width="1" style="98" customWidth="1"/>
    <col min="15103" max="15103" width="12.7109375" style="98" customWidth="1"/>
    <col min="15104" max="15104" width="1" style="98" customWidth="1"/>
    <col min="15105" max="15105" width="12.7109375" style="98" customWidth="1"/>
    <col min="15106" max="15106" width="1" style="98" customWidth="1"/>
    <col min="15107" max="15107" width="12.7109375" style="98" customWidth="1"/>
    <col min="15108" max="15351" width="9.140625" style="98"/>
    <col min="15352" max="15352" width="9" style="98" customWidth="1"/>
    <col min="15353" max="15353" width="9.140625" style="98"/>
    <col min="15354" max="15354" width="9.7109375" style="98" customWidth="1"/>
    <col min="15355" max="15355" width="9" style="98" customWidth="1"/>
    <col min="15356" max="15356" width="10.7109375" style="98" customWidth="1"/>
    <col min="15357" max="15357" width="12.7109375" style="98" customWidth="1"/>
    <col min="15358" max="15358" width="1" style="98" customWidth="1"/>
    <col min="15359" max="15359" width="12.7109375" style="98" customWidth="1"/>
    <col min="15360" max="15360" width="1" style="98" customWidth="1"/>
    <col min="15361" max="15361" width="12.7109375" style="98" customWidth="1"/>
    <col min="15362" max="15362" width="1" style="98" customWidth="1"/>
    <col min="15363" max="15363" width="12.7109375" style="98" customWidth="1"/>
    <col min="15364" max="15607" width="9.140625" style="98"/>
    <col min="15608" max="15608" width="9" style="98" customWidth="1"/>
    <col min="15609" max="15609" width="9.140625" style="98"/>
    <col min="15610" max="15610" width="9.7109375" style="98" customWidth="1"/>
    <col min="15611" max="15611" width="9" style="98" customWidth="1"/>
    <col min="15612" max="15612" width="10.7109375" style="98" customWidth="1"/>
    <col min="15613" max="15613" width="12.7109375" style="98" customWidth="1"/>
    <col min="15614" max="15614" width="1" style="98" customWidth="1"/>
    <col min="15615" max="15615" width="12.7109375" style="98" customWidth="1"/>
    <col min="15616" max="15616" width="1" style="98" customWidth="1"/>
    <col min="15617" max="15617" width="12.7109375" style="98" customWidth="1"/>
    <col min="15618" max="15618" width="1" style="98" customWidth="1"/>
    <col min="15619" max="15619" width="12.7109375" style="98" customWidth="1"/>
    <col min="15620" max="15863" width="9.140625" style="98"/>
    <col min="15864" max="15864" width="9" style="98" customWidth="1"/>
    <col min="15865" max="15865" width="9.140625" style="98"/>
    <col min="15866" max="15866" width="9.7109375" style="98" customWidth="1"/>
    <col min="15867" max="15867" width="9" style="98" customWidth="1"/>
    <col min="15868" max="15868" width="10.7109375" style="98" customWidth="1"/>
    <col min="15869" max="15869" width="12.7109375" style="98" customWidth="1"/>
    <col min="15870" max="15870" width="1" style="98" customWidth="1"/>
    <col min="15871" max="15871" width="12.7109375" style="98" customWidth="1"/>
    <col min="15872" max="15872" width="1" style="98" customWidth="1"/>
    <col min="15873" max="15873" width="12.7109375" style="98" customWidth="1"/>
    <col min="15874" max="15874" width="1" style="98" customWidth="1"/>
    <col min="15875" max="15875" width="12.7109375" style="98" customWidth="1"/>
    <col min="15876" max="16119" width="9.140625" style="98"/>
    <col min="16120" max="16120" width="9" style="98" customWidth="1"/>
    <col min="16121" max="16121" width="9.140625" style="98"/>
    <col min="16122" max="16122" width="9.7109375" style="98" customWidth="1"/>
    <col min="16123" max="16123" width="9" style="98" customWidth="1"/>
    <col min="16124" max="16124" width="10.7109375" style="98" customWidth="1"/>
    <col min="16125" max="16125" width="12.7109375" style="98" customWidth="1"/>
    <col min="16126" max="16126" width="1" style="98" customWidth="1"/>
    <col min="16127" max="16127" width="12.7109375" style="98" customWidth="1"/>
    <col min="16128" max="16128" width="1" style="98" customWidth="1"/>
    <col min="16129" max="16129" width="12.7109375" style="98" customWidth="1"/>
    <col min="16130" max="16130" width="1" style="98" customWidth="1"/>
    <col min="16131" max="16131" width="12.7109375" style="98" customWidth="1"/>
    <col min="16132" max="16384" width="9.140625" style="98"/>
  </cols>
  <sheetData>
    <row r="1" spans="1:22" ht="13.5" thickBot="1">
      <c r="A1" s="5" t="s">
        <v>29</v>
      </c>
    </row>
    <row r="2" spans="1:22" s="94" customFormat="1" ht="28.5" customHeight="1" thickTop="1" thickBot="1">
      <c r="A2" s="91" t="s">
        <v>259</v>
      </c>
      <c r="B2" s="712" t="s">
        <v>528</v>
      </c>
      <c r="C2" s="713"/>
      <c r="D2" s="92" t="s">
        <v>260</v>
      </c>
      <c r="E2" s="93" t="s">
        <v>537</v>
      </c>
      <c r="F2" s="308" t="s">
        <v>56</v>
      </c>
      <c r="G2" s="308" t="s">
        <v>23</v>
      </c>
      <c r="H2" s="308" t="s">
        <v>336</v>
      </c>
      <c r="I2" s="308" t="s">
        <v>335</v>
      </c>
      <c r="J2" s="308" t="s">
        <v>333</v>
      </c>
      <c r="K2" s="308" t="s">
        <v>334</v>
      </c>
      <c r="L2" s="308" t="s">
        <v>10</v>
      </c>
      <c r="M2" s="308" t="s">
        <v>331</v>
      </c>
      <c r="N2" s="308" t="s">
        <v>361</v>
      </c>
      <c r="O2" s="308" t="s">
        <v>353</v>
      </c>
      <c r="P2" s="308" t="s">
        <v>363</v>
      </c>
      <c r="Q2" s="308" t="s">
        <v>536</v>
      </c>
      <c r="R2" s="308" t="s">
        <v>365</v>
      </c>
      <c r="S2" s="309" t="s">
        <v>12</v>
      </c>
    </row>
    <row r="3" spans="1:22" ht="17.25" thickTop="1" thickBot="1">
      <c r="A3" s="95" t="s">
        <v>211</v>
      </c>
      <c r="B3" s="96"/>
      <c r="C3" s="96"/>
      <c r="D3" s="96"/>
      <c r="E3" s="96"/>
      <c r="F3" s="234">
        <v>3.9843481652616557</v>
      </c>
      <c r="G3" s="234">
        <v>3.9843481652616557</v>
      </c>
      <c r="H3" s="234">
        <v>3.8042328042328042</v>
      </c>
      <c r="I3" s="234">
        <v>4.0857142857142854</v>
      </c>
      <c r="J3" s="234">
        <v>4.0502645502645498</v>
      </c>
      <c r="K3" s="234">
        <v>4.0634920634920633</v>
      </c>
      <c r="L3" s="234">
        <v>4.0634920634920633</v>
      </c>
      <c r="M3" s="234">
        <v>3.9263668430335099</v>
      </c>
      <c r="N3" s="234">
        <v>3.943534726143421</v>
      </c>
      <c r="O3" s="234">
        <v>4.0238095238095237</v>
      </c>
      <c r="P3" s="234">
        <v>3.9095238095238098</v>
      </c>
      <c r="Q3" s="234">
        <v>3.6583333333333332</v>
      </c>
      <c r="R3" s="234">
        <v>3.5599206349206352</v>
      </c>
      <c r="S3" s="235">
        <v>3.9556878306878307</v>
      </c>
      <c r="V3" s="579"/>
    </row>
    <row r="4" spans="1:22">
      <c r="A4" s="236"/>
      <c r="B4" s="237"/>
      <c r="C4" s="237"/>
      <c r="D4" s="237"/>
      <c r="E4" s="238" t="s">
        <v>220</v>
      </c>
      <c r="F4" s="239">
        <v>4.001060343165606</v>
      </c>
      <c r="G4" s="239">
        <v>4.001060343165606</v>
      </c>
      <c r="H4" s="239">
        <v>3.8571428571428572</v>
      </c>
      <c r="I4" s="239">
        <v>4.257142857142858</v>
      </c>
      <c r="J4" s="239">
        <v>4.0952380952380949</v>
      </c>
      <c r="K4" s="239">
        <v>4.1071428571428568</v>
      </c>
      <c r="L4" s="239">
        <v>4.1071428571428568</v>
      </c>
      <c r="M4" s="239">
        <v>3.9365079365079367</v>
      </c>
      <c r="N4" s="239">
        <v>3.8819875776397517</v>
      </c>
      <c r="O4" s="239">
        <v>4.5714285714285712</v>
      </c>
      <c r="P4" s="239">
        <v>3.990476190476191</v>
      </c>
      <c r="Q4" s="239">
        <v>3.7321428571428568</v>
      </c>
      <c r="R4" s="239">
        <v>3.621428571428571</v>
      </c>
      <c r="S4" s="240">
        <v>3.9642857142857144</v>
      </c>
      <c r="V4" s="579"/>
    </row>
    <row r="5" spans="1:22" ht="13.5" thickBot="1">
      <c r="A5" s="99"/>
      <c r="B5" s="100"/>
      <c r="C5" s="100"/>
      <c r="D5" s="100"/>
      <c r="E5" s="101" t="s">
        <v>299</v>
      </c>
      <c r="F5" s="183">
        <v>4.001060343165606</v>
      </c>
      <c r="G5" s="183">
        <v>4.001060343165606</v>
      </c>
      <c r="H5" s="183">
        <v>3.8571428571428572</v>
      </c>
      <c r="I5" s="183">
        <v>4.257142857142858</v>
      </c>
      <c r="J5" s="183">
        <v>4.0952380952380949</v>
      </c>
      <c r="K5" s="183">
        <v>4.1071428571428568</v>
      </c>
      <c r="L5" s="183">
        <v>4.1071428571428568</v>
      </c>
      <c r="M5" s="183">
        <v>3.9365079365079367</v>
      </c>
      <c r="N5" s="183">
        <v>3.8819875776397517</v>
      </c>
      <c r="O5" s="183">
        <v>4.5714285714285712</v>
      </c>
      <c r="P5" s="183">
        <v>3.990476190476191</v>
      </c>
      <c r="Q5" s="183">
        <v>3.7321428571428568</v>
      </c>
      <c r="R5" s="183">
        <v>3.621428571428571</v>
      </c>
      <c r="S5" s="241">
        <v>3.9642857142857144</v>
      </c>
      <c r="V5" s="579"/>
    </row>
    <row r="6" spans="1:22">
      <c r="A6" s="99"/>
      <c r="B6" s="237"/>
      <c r="C6" s="237"/>
      <c r="D6" s="237"/>
      <c r="E6" s="238" t="s">
        <v>225</v>
      </c>
      <c r="F6" s="242">
        <v>3.8344937525202654</v>
      </c>
      <c r="G6" s="242">
        <v>3.8344937525202654</v>
      </c>
      <c r="H6" s="242">
        <v>3.6666666666666665</v>
      </c>
      <c r="I6" s="242">
        <v>3.7666666666666662</v>
      </c>
      <c r="J6" s="242">
        <v>4</v>
      </c>
      <c r="K6" s="242">
        <v>3.9166666666666665</v>
      </c>
      <c r="L6" s="242">
        <v>3.9166666666666665</v>
      </c>
      <c r="M6" s="242">
        <v>3.5833333333333335</v>
      </c>
      <c r="N6" s="242">
        <v>3.8399209486166002</v>
      </c>
      <c r="O6" s="242">
        <v>3.5</v>
      </c>
      <c r="P6" s="242">
        <v>3.804761904761905</v>
      </c>
      <c r="Q6" s="242">
        <v>3.342857142857143</v>
      </c>
      <c r="R6" s="242">
        <v>3.3583333333333329</v>
      </c>
      <c r="S6" s="240">
        <v>3.9444444444444442</v>
      </c>
      <c r="V6" s="579"/>
    </row>
    <row r="7" spans="1:22" ht="13.5" thickBot="1">
      <c r="A7" s="99"/>
      <c r="B7" s="100"/>
      <c r="C7" s="100"/>
      <c r="D7" s="100"/>
      <c r="E7" s="101" t="s">
        <v>299</v>
      </c>
      <c r="F7" s="104">
        <v>3.8344937525202654</v>
      </c>
      <c r="G7" s="104">
        <v>3.8344937525202654</v>
      </c>
      <c r="H7" s="104">
        <v>3.6666666666666665</v>
      </c>
      <c r="I7" s="104">
        <v>3.7666666666666662</v>
      </c>
      <c r="J7" s="104">
        <v>4</v>
      </c>
      <c r="K7" s="104">
        <v>3.9166666666666665</v>
      </c>
      <c r="L7" s="104">
        <v>3.9166666666666665</v>
      </c>
      <c r="M7" s="104">
        <v>3.5833333333333335</v>
      </c>
      <c r="N7" s="104">
        <v>3.8399209486166002</v>
      </c>
      <c r="O7" s="104">
        <v>3.5</v>
      </c>
      <c r="P7" s="104">
        <v>3.804761904761905</v>
      </c>
      <c r="Q7" s="104">
        <v>3.342857142857143</v>
      </c>
      <c r="R7" s="104">
        <v>3.3583333333333329</v>
      </c>
      <c r="S7" s="241">
        <v>3.9444444444444442</v>
      </c>
      <c r="V7" s="579"/>
    </row>
    <row r="8" spans="1:22">
      <c r="A8" s="99"/>
      <c r="B8" s="237"/>
      <c r="C8" s="237"/>
      <c r="D8" s="237"/>
      <c r="E8" s="238" t="s">
        <v>230</v>
      </c>
      <c r="F8" s="239">
        <v>4.1174904000990953</v>
      </c>
      <c r="G8" s="239">
        <v>4.1174904000990953</v>
      </c>
      <c r="H8" s="239">
        <v>3.8888888888888888</v>
      </c>
      <c r="I8" s="239">
        <v>4.2333333333333334</v>
      </c>
      <c r="J8" s="239">
        <v>4.0555555555555554</v>
      </c>
      <c r="K8" s="239">
        <v>4.166666666666667</v>
      </c>
      <c r="L8" s="239">
        <v>4.166666666666667</v>
      </c>
      <c r="M8" s="239">
        <v>4.2592592592592595</v>
      </c>
      <c r="N8" s="239">
        <v>4.1086956521739131</v>
      </c>
      <c r="O8" s="239">
        <v>4</v>
      </c>
      <c r="P8" s="239">
        <v>3.9333333333333331</v>
      </c>
      <c r="Q8" s="239">
        <v>3.9</v>
      </c>
      <c r="R8" s="239">
        <v>3.7000000000000006</v>
      </c>
      <c r="S8" s="240">
        <v>3.9583333333333335</v>
      </c>
      <c r="V8" s="579"/>
    </row>
    <row r="9" spans="1:22" ht="13.5" thickBot="1">
      <c r="A9" s="106"/>
      <c r="B9" s="107"/>
      <c r="C9" s="107"/>
      <c r="D9" s="107"/>
      <c r="E9" s="108" t="s">
        <v>299</v>
      </c>
      <c r="F9" s="184">
        <v>4.1174904000990953</v>
      </c>
      <c r="G9" s="184">
        <v>4.1174904000990953</v>
      </c>
      <c r="H9" s="184">
        <v>3.8888888888888888</v>
      </c>
      <c r="I9" s="184">
        <v>4.2333333333333334</v>
      </c>
      <c r="J9" s="184">
        <v>4.0555555555555554</v>
      </c>
      <c r="K9" s="184">
        <v>4.166666666666667</v>
      </c>
      <c r="L9" s="184">
        <v>4.166666666666667</v>
      </c>
      <c r="M9" s="184">
        <v>4.2592592592592595</v>
      </c>
      <c r="N9" s="184">
        <v>4.1086956521739131</v>
      </c>
      <c r="O9" s="184">
        <v>4</v>
      </c>
      <c r="P9" s="184">
        <v>3.9333333333333331</v>
      </c>
      <c r="Q9" s="184">
        <v>3.9</v>
      </c>
      <c r="R9" s="184">
        <v>3.7000000000000006</v>
      </c>
      <c r="S9" s="243">
        <v>3.9583333333333335</v>
      </c>
      <c r="V9" s="579"/>
    </row>
    <row r="10" spans="1:22" ht="17.25" thickTop="1" thickBot="1">
      <c r="A10" s="111" t="s">
        <v>212</v>
      </c>
      <c r="B10" s="112"/>
      <c r="C10" s="112"/>
      <c r="D10" s="112"/>
      <c r="E10" s="112"/>
      <c r="F10" s="185">
        <v>4.490397574123989</v>
      </c>
      <c r="G10" s="185">
        <v>4.490397574123989</v>
      </c>
      <c r="H10" s="185">
        <v>3.6666666666666665</v>
      </c>
      <c r="I10" s="185">
        <v>4.3499999999999996</v>
      </c>
      <c r="J10" s="185">
        <v>4.25</v>
      </c>
      <c r="K10" s="185">
        <v>4.583333333333333</v>
      </c>
      <c r="L10" s="185">
        <v>4.583333333333333</v>
      </c>
      <c r="M10" s="185">
        <v>4.708333333333333</v>
      </c>
      <c r="N10" s="185">
        <v>4.2664473684210531</v>
      </c>
      <c r="O10" s="185">
        <v>3</v>
      </c>
      <c r="P10" s="185">
        <v>3.5865384615384617</v>
      </c>
      <c r="Q10" s="185">
        <v>3.4</v>
      </c>
      <c r="R10" s="185">
        <v>3.4</v>
      </c>
      <c r="S10" s="244">
        <v>4</v>
      </c>
      <c r="V10" s="579"/>
    </row>
    <row r="11" spans="1:22" ht="14.25" customHeight="1" thickBot="1">
      <c r="A11" s="245"/>
      <c r="B11" s="114"/>
      <c r="C11" s="114"/>
      <c r="D11" s="114"/>
      <c r="E11" s="115" t="s">
        <v>265</v>
      </c>
      <c r="F11" s="116"/>
      <c r="G11" s="116"/>
      <c r="H11" s="116"/>
      <c r="I11" s="116"/>
      <c r="J11" s="116"/>
      <c r="K11" s="116"/>
      <c r="L11" s="116"/>
      <c r="M11" s="116"/>
      <c r="N11" s="116"/>
      <c r="O11" s="116"/>
      <c r="P11" s="116"/>
      <c r="Q11" s="116"/>
      <c r="R11" s="116"/>
      <c r="S11" s="119"/>
    </row>
    <row r="12" spans="1:22" ht="14.25" customHeight="1" thickBot="1">
      <c r="A12" s="120"/>
      <c r="B12" s="246"/>
      <c r="C12" s="246"/>
      <c r="D12" s="246"/>
      <c r="E12" s="247" t="s">
        <v>266</v>
      </c>
      <c r="F12" s="198">
        <v>4.490397574123989</v>
      </c>
      <c r="G12" s="198">
        <v>4.490397574123989</v>
      </c>
      <c r="H12" s="198">
        <v>3.6666666666666665</v>
      </c>
      <c r="I12" s="198">
        <v>4.3499999999999996</v>
      </c>
      <c r="J12" s="198">
        <v>4.25</v>
      </c>
      <c r="K12" s="198">
        <v>4.583333333333333</v>
      </c>
      <c r="L12" s="198">
        <v>4.583333333333333</v>
      </c>
      <c r="M12" s="198">
        <v>4.708333333333333</v>
      </c>
      <c r="N12" s="198">
        <v>4.2664473684210531</v>
      </c>
      <c r="O12" s="198">
        <v>3</v>
      </c>
      <c r="P12" s="198">
        <v>3.5865384615384617</v>
      </c>
      <c r="Q12" s="198">
        <v>3.4</v>
      </c>
      <c r="R12" s="198">
        <v>3.4</v>
      </c>
      <c r="S12" s="248">
        <v>4</v>
      </c>
      <c r="V12" s="579"/>
    </row>
    <row r="13" spans="1:22">
      <c r="A13" s="120"/>
      <c r="B13" s="122"/>
      <c r="C13" s="122"/>
      <c r="D13" s="122"/>
      <c r="E13" s="123" t="s">
        <v>57</v>
      </c>
      <c r="F13" s="203">
        <v>0.9877987908808975</v>
      </c>
      <c r="G13" s="203">
        <v>0.9877987908808975</v>
      </c>
      <c r="H13" s="203" t="s">
        <v>527</v>
      </c>
      <c r="I13" s="203">
        <v>1.0000249057140824</v>
      </c>
      <c r="J13" s="203">
        <v>0.96863181961181222</v>
      </c>
      <c r="K13" s="203">
        <v>1</v>
      </c>
      <c r="L13" s="203">
        <v>1</v>
      </c>
      <c r="M13" s="203">
        <v>0.99999999999999989</v>
      </c>
      <c r="N13" s="203">
        <v>0.94793017556014536</v>
      </c>
      <c r="O13" s="203" t="s">
        <v>527</v>
      </c>
      <c r="P13" s="203">
        <v>0.94793017556014536</v>
      </c>
      <c r="Q13" s="203" t="s">
        <v>527</v>
      </c>
      <c r="R13" s="203" t="s">
        <v>527</v>
      </c>
      <c r="S13" s="249" t="s">
        <v>527</v>
      </c>
      <c r="V13" s="580"/>
    </row>
    <row r="14" spans="1:22" ht="13.5" thickBot="1">
      <c r="A14" s="120"/>
      <c r="B14" s="126"/>
      <c r="C14" s="126"/>
      <c r="D14" s="126"/>
      <c r="E14" s="127" t="s">
        <v>299</v>
      </c>
      <c r="F14" s="104">
        <v>3.9807951482479789</v>
      </c>
      <c r="G14" s="104">
        <v>3.9807951482479789</v>
      </c>
      <c r="H14" s="104">
        <v>3.6666666666666665</v>
      </c>
      <c r="I14" s="104">
        <v>3.7</v>
      </c>
      <c r="J14" s="104">
        <v>4</v>
      </c>
      <c r="K14" s="104">
        <v>4.1666666666666661</v>
      </c>
      <c r="L14" s="104">
        <v>4.1666666666666661</v>
      </c>
      <c r="M14" s="104">
        <v>4.4166666666666661</v>
      </c>
      <c r="N14" s="104">
        <v>4.5328947368421053</v>
      </c>
      <c r="O14" s="104">
        <v>3</v>
      </c>
      <c r="P14" s="104">
        <v>3.1730769230769234</v>
      </c>
      <c r="Q14" s="104">
        <v>3.4</v>
      </c>
      <c r="R14" s="104">
        <v>3.4</v>
      </c>
      <c r="S14" s="241">
        <v>4</v>
      </c>
      <c r="V14" s="579"/>
    </row>
    <row r="15" spans="1:22" ht="14.25" customHeight="1" thickBot="1">
      <c r="A15" s="120"/>
      <c r="B15" s="122"/>
      <c r="C15" s="122"/>
      <c r="D15" s="122"/>
      <c r="E15" s="130" t="s">
        <v>301</v>
      </c>
      <c r="F15" s="131"/>
      <c r="G15" s="131"/>
      <c r="H15" s="131"/>
      <c r="I15" s="131"/>
      <c r="J15" s="131"/>
      <c r="K15" s="131"/>
      <c r="L15" s="131"/>
      <c r="M15" s="131"/>
      <c r="N15" s="131"/>
      <c r="O15" s="131"/>
      <c r="P15" s="131"/>
      <c r="Q15" s="131"/>
      <c r="R15" s="131"/>
      <c r="S15" s="133"/>
    </row>
    <row r="16" spans="1:22" ht="14.25" customHeight="1">
      <c r="A16" s="120"/>
      <c r="B16" s="122"/>
      <c r="C16" s="122"/>
      <c r="D16" s="134"/>
      <c r="E16" s="123" t="s">
        <v>294</v>
      </c>
      <c r="F16" s="135">
        <v>0</v>
      </c>
      <c r="G16" s="135">
        <v>0</v>
      </c>
      <c r="H16" s="135">
        <v>0</v>
      </c>
      <c r="I16" s="135">
        <v>2.2999999999999998</v>
      </c>
      <c r="J16" s="135">
        <v>0.77</v>
      </c>
      <c r="K16" s="135">
        <v>0</v>
      </c>
      <c r="L16" s="135">
        <v>0</v>
      </c>
      <c r="M16" s="135">
        <v>0</v>
      </c>
      <c r="N16" s="135">
        <v>1.1200000000000001</v>
      </c>
      <c r="O16" s="135">
        <v>0</v>
      </c>
      <c r="P16" s="135">
        <v>0.37</v>
      </c>
      <c r="Q16" s="135">
        <v>0</v>
      </c>
      <c r="R16" s="135">
        <v>0</v>
      </c>
      <c r="S16" s="250">
        <v>0</v>
      </c>
      <c r="V16" s="581"/>
    </row>
    <row r="17" spans="1:22" ht="14.25" customHeight="1">
      <c r="A17" s="120"/>
      <c r="B17" s="122"/>
      <c r="C17" s="122"/>
      <c r="D17" s="134"/>
      <c r="E17" s="123" t="s">
        <v>295</v>
      </c>
      <c r="F17" s="138">
        <v>0</v>
      </c>
      <c r="G17" s="138">
        <v>0</v>
      </c>
      <c r="H17" s="138">
        <v>0</v>
      </c>
      <c r="I17" s="138">
        <v>0</v>
      </c>
      <c r="J17" s="138">
        <v>0.94</v>
      </c>
      <c r="K17" s="138">
        <v>0</v>
      </c>
      <c r="L17" s="138">
        <v>0</v>
      </c>
      <c r="M17" s="138">
        <v>0</v>
      </c>
      <c r="N17" s="138">
        <v>0</v>
      </c>
      <c r="O17" s="138">
        <v>0</v>
      </c>
      <c r="P17" s="138">
        <v>3.96</v>
      </c>
      <c r="Q17" s="138">
        <v>5.84</v>
      </c>
      <c r="R17" s="138">
        <v>0.22</v>
      </c>
      <c r="S17" s="251">
        <v>0</v>
      </c>
      <c r="V17" s="581"/>
    </row>
    <row r="18" spans="1:22" ht="14.25" customHeight="1">
      <c r="A18" s="120"/>
      <c r="B18" s="122"/>
      <c r="C18" s="122"/>
      <c r="D18" s="134"/>
      <c r="E18" s="123" t="s">
        <v>296</v>
      </c>
      <c r="F18" s="138">
        <v>0</v>
      </c>
      <c r="G18" s="138">
        <v>0</v>
      </c>
      <c r="H18" s="138">
        <v>0</v>
      </c>
      <c r="I18" s="138">
        <v>2.16</v>
      </c>
      <c r="J18" s="138">
        <v>0.43</v>
      </c>
      <c r="K18" s="138">
        <v>0</v>
      </c>
      <c r="L18" s="138">
        <v>0</v>
      </c>
      <c r="M18" s="138">
        <v>0.8</v>
      </c>
      <c r="N18" s="138">
        <v>0.84</v>
      </c>
      <c r="O18" s="138">
        <v>0</v>
      </c>
      <c r="P18" s="138">
        <v>5.25</v>
      </c>
      <c r="Q18" s="138">
        <v>0.56000000000000005</v>
      </c>
      <c r="R18" s="138">
        <v>0.33</v>
      </c>
      <c r="S18" s="251">
        <v>0</v>
      </c>
      <c r="V18" s="581"/>
    </row>
    <row r="19" spans="1:22" ht="14.25" customHeight="1">
      <c r="A19" s="120"/>
      <c r="B19" s="122"/>
      <c r="C19" s="122"/>
      <c r="D19" s="134"/>
      <c r="E19" s="123" t="s">
        <v>297</v>
      </c>
      <c r="F19" s="138">
        <v>0</v>
      </c>
      <c r="G19" s="138">
        <v>0</v>
      </c>
      <c r="H19" s="138">
        <v>0</v>
      </c>
      <c r="I19" s="138">
        <v>2.3199999999999998</v>
      </c>
      <c r="J19" s="138">
        <v>0.38</v>
      </c>
      <c r="K19" s="138">
        <v>0</v>
      </c>
      <c r="L19" s="138">
        <v>0</v>
      </c>
      <c r="M19" s="138">
        <v>0</v>
      </c>
      <c r="N19" s="138">
        <v>0.14000000000000001</v>
      </c>
      <c r="O19" s="138">
        <v>0</v>
      </c>
      <c r="P19" s="138">
        <v>0.33</v>
      </c>
      <c r="Q19" s="138">
        <v>0.25</v>
      </c>
      <c r="R19" s="138">
        <v>0.46</v>
      </c>
      <c r="S19" s="251">
        <v>0</v>
      </c>
      <c r="V19" s="581"/>
    </row>
    <row r="20" spans="1:22" ht="14.25" customHeight="1">
      <c r="A20" s="120"/>
      <c r="B20" s="122"/>
      <c r="C20" s="122"/>
      <c r="D20" s="134"/>
      <c r="E20" s="123" t="s">
        <v>298</v>
      </c>
      <c r="F20" s="138">
        <v>0</v>
      </c>
      <c r="G20" s="138">
        <v>0</v>
      </c>
      <c r="H20" s="138">
        <v>0</v>
      </c>
      <c r="I20" s="138">
        <v>0.88</v>
      </c>
      <c r="J20" s="138">
        <v>1.06</v>
      </c>
      <c r="K20" s="138">
        <v>0.91</v>
      </c>
      <c r="L20" s="138">
        <v>0.91</v>
      </c>
      <c r="M20" s="138">
        <v>0.99</v>
      </c>
      <c r="N20" s="138">
        <v>1.02</v>
      </c>
      <c r="O20" s="138">
        <v>0</v>
      </c>
      <c r="P20" s="138">
        <v>0.96</v>
      </c>
      <c r="Q20" s="138">
        <v>0.99</v>
      </c>
      <c r="R20" s="138">
        <v>0.96</v>
      </c>
      <c r="S20" s="251">
        <v>0</v>
      </c>
      <c r="V20" s="581"/>
    </row>
    <row r="21" spans="1:22" ht="14.25" customHeight="1" thickBot="1">
      <c r="A21" s="140"/>
      <c r="B21" s="141"/>
      <c r="C21" s="141"/>
      <c r="D21" s="141"/>
      <c r="E21" s="142" t="s">
        <v>302</v>
      </c>
      <c r="F21" s="143">
        <v>0</v>
      </c>
      <c r="G21" s="143">
        <v>0</v>
      </c>
      <c r="H21" s="143">
        <v>0</v>
      </c>
      <c r="I21" s="143">
        <v>0</v>
      </c>
      <c r="J21" s="143">
        <v>0</v>
      </c>
      <c r="K21" s="143">
        <v>0</v>
      </c>
      <c r="L21" s="143">
        <v>0</v>
      </c>
      <c r="M21" s="143">
        <v>0</v>
      </c>
      <c r="N21" s="143">
        <v>0</v>
      </c>
      <c r="O21" s="143">
        <v>0</v>
      </c>
      <c r="P21" s="143">
        <v>0</v>
      </c>
      <c r="Q21" s="143">
        <v>-2.12</v>
      </c>
      <c r="R21" s="143">
        <v>1.17</v>
      </c>
      <c r="S21" s="252">
        <v>0</v>
      </c>
      <c r="V21" s="581"/>
    </row>
    <row r="22" spans="1:22" ht="17.25" thickTop="1" thickBot="1">
      <c r="A22" s="146" t="s">
        <v>213</v>
      </c>
      <c r="B22" s="147"/>
      <c r="C22" s="147"/>
      <c r="D22" s="147"/>
      <c r="E22" s="147"/>
      <c r="F22" s="185">
        <v>4.1970695970695964</v>
      </c>
      <c r="G22" s="185">
        <v>4.1970695970695964</v>
      </c>
      <c r="H22" s="185" t="s">
        <v>531</v>
      </c>
      <c r="I22" s="185">
        <v>3.7633333333333336</v>
      </c>
      <c r="J22" s="185">
        <v>4.0416666666666661</v>
      </c>
      <c r="K22" s="185">
        <v>4.1666666666666661</v>
      </c>
      <c r="L22" s="185">
        <v>4.1666666666666661</v>
      </c>
      <c r="M22" s="185">
        <v>5</v>
      </c>
      <c r="N22" s="185">
        <v>4.9166666666666661</v>
      </c>
      <c r="O22" s="185" t="s">
        <v>531</v>
      </c>
      <c r="P22" s="185">
        <v>4</v>
      </c>
      <c r="Q22" s="185" t="s">
        <v>531</v>
      </c>
      <c r="R22" s="185" t="s">
        <v>531</v>
      </c>
      <c r="S22" s="244" t="s">
        <v>531</v>
      </c>
      <c r="V22" s="579"/>
    </row>
    <row r="23" spans="1:22">
      <c r="A23" s="253"/>
      <c r="B23" s="254"/>
      <c r="C23" s="254"/>
      <c r="D23" s="254"/>
      <c r="E23" s="255" t="s">
        <v>223</v>
      </c>
      <c r="F23" s="242">
        <v>4.1941391941391934</v>
      </c>
      <c r="G23" s="242">
        <v>4.1941391941391934</v>
      </c>
      <c r="H23" s="242" t="s">
        <v>531</v>
      </c>
      <c r="I23" s="242">
        <v>3.7666666666666671</v>
      </c>
      <c r="J23" s="242">
        <v>4.083333333333333</v>
      </c>
      <c r="K23" s="242">
        <v>4.333333333333333</v>
      </c>
      <c r="L23" s="242">
        <v>4.333333333333333</v>
      </c>
      <c r="M23" s="242">
        <v>5</v>
      </c>
      <c r="N23" s="242">
        <v>4.833333333333333</v>
      </c>
      <c r="O23" s="242" t="s">
        <v>531</v>
      </c>
      <c r="P23" s="242">
        <v>4</v>
      </c>
      <c r="Q23" s="242" t="s">
        <v>531</v>
      </c>
      <c r="R23" s="242" t="s">
        <v>531</v>
      </c>
      <c r="S23" s="240" t="s">
        <v>531</v>
      </c>
      <c r="V23" s="579"/>
    </row>
    <row r="24" spans="1:22" ht="13.5" thickBot="1">
      <c r="A24" s="148"/>
      <c r="B24" s="149"/>
      <c r="C24" s="149"/>
      <c r="D24" s="149"/>
      <c r="E24" s="150" t="s">
        <v>299</v>
      </c>
      <c r="F24" s="256">
        <v>4.1941391941391934</v>
      </c>
      <c r="G24" s="256">
        <v>4.1941391941391934</v>
      </c>
      <c r="H24" s="256" t="s">
        <v>531</v>
      </c>
      <c r="I24" s="256">
        <v>3.7666666666666671</v>
      </c>
      <c r="J24" s="256">
        <v>4.083333333333333</v>
      </c>
      <c r="K24" s="256">
        <v>4.333333333333333</v>
      </c>
      <c r="L24" s="256">
        <v>4.333333333333333</v>
      </c>
      <c r="M24" s="256">
        <v>5</v>
      </c>
      <c r="N24" s="256">
        <v>4.833333333333333</v>
      </c>
      <c r="O24" s="256" t="s">
        <v>531</v>
      </c>
      <c r="P24" s="256">
        <v>4</v>
      </c>
      <c r="Q24" s="256" t="s">
        <v>531</v>
      </c>
      <c r="R24" s="256" t="s">
        <v>531</v>
      </c>
      <c r="S24" s="257" t="s">
        <v>531</v>
      </c>
      <c r="V24" s="579"/>
    </row>
    <row r="25" spans="1:22">
      <c r="A25" s="148"/>
      <c r="B25" s="254"/>
      <c r="C25" s="254"/>
      <c r="D25" s="254"/>
      <c r="E25" s="255" t="s">
        <v>267</v>
      </c>
      <c r="F25" s="242">
        <v>4.2</v>
      </c>
      <c r="G25" s="242">
        <v>4.2</v>
      </c>
      <c r="H25" s="242" t="s">
        <v>531</v>
      </c>
      <c r="I25" s="242">
        <v>3.7600000000000002</v>
      </c>
      <c r="J25" s="242">
        <v>4</v>
      </c>
      <c r="K25" s="242">
        <v>4</v>
      </c>
      <c r="L25" s="242">
        <v>4</v>
      </c>
      <c r="M25" s="242">
        <v>5</v>
      </c>
      <c r="N25" s="242">
        <v>5</v>
      </c>
      <c r="O25" s="242" t="s">
        <v>531</v>
      </c>
      <c r="P25" s="242">
        <v>4</v>
      </c>
      <c r="Q25" s="242" t="s">
        <v>531</v>
      </c>
      <c r="R25" s="242" t="s">
        <v>531</v>
      </c>
      <c r="S25" s="240" t="s">
        <v>531</v>
      </c>
      <c r="V25" s="579"/>
    </row>
    <row r="26" spans="1:22" ht="13.5" thickBot="1">
      <c r="A26" s="148"/>
      <c r="B26" s="149"/>
      <c r="C26" s="149"/>
      <c r="D26" s="149"/>
      <c r="E26" s="150" t="s">
        <v>299</v>
      </c>
      <c r="F26" s="256">
        <v>4.2</v>
      </c>
      <c r="G26" s="256">
        <v>4.2</v>
      </c>
      <c r="H26" s="256" t="s">
        <v>531</v>
      </c>
      <c r="I26" s="256">
        <v>3.7600000000000002</v>
      </c>
      <c r="J26" s="256">
        <v>4</v>
      </c>
      <c r="K26" s="256">
        <v>4</v>
      </c>
      <c r="L26" s="256">
        <v>4</v>
      </c>
      <c r="M26" s="256">
        <v>5</v>
      </c>
      <c r="N26" s="256">
        <v>5</v>
      </c>
      <c r="O26" s="256" t="s">
        <v>531</v>
      </c>
      <c r="P26" s="256">
        <v>4</v>
      </c>
      <c r="Q26" s="256" t="s">
        <v>531</v>
      </c>
      <c r="R26" s="256" t="s">
        <v>531</v>
      </c>
      <c r="S26" s="257" t="s">
        <v>531</v>
      </c>
      <c r="V26" s="579"/>
    </row>
    <row r="27" spans="1:22" ht="13.5" thickBot="1">
      <c r="A27" s="151"/>
      <c r="B27" s="152"/>
      <c r="C27" s="152"/>
      <c r="D27" s="152"/>
      <c r="E27" s="153" t="s">
        <v>268</v>
      </c>
      <c r="F27" s="154"/>
      <c r="G27" s="154"/>
      <c r="H27" s="154"/>
      <c r="I27" s="154"/>
      <c r="J27" s="154"/>
      <c r="K27" s="154"/>
      <c r="L27" s="154"/>
      <c r="M27" s="154"/>
      <c r="N27" s="154"/>
      <c r="O27" s="154"/>
      <c r="P27" s="154"/>
      <c r="Q27" s="154"/>
      <c r="R27" s="154"/>
      <c r="S27" s="155"/>
    </row>
    <row r="28" spans="1:22" ht="17.25" thickTop="1" thickBot="1">
      <c r="A28" s="156" t="s">
        <v>214</v>
      </c>
      <c r="B28" s="157"/>
      <c r="C28" s="157"/>
      <c r="D28" s="157"/>
      <c r="E28" s="199" t="s">
        <v>318</v>
      </c>
      <c r="F28" s="186" t="s">
        <v>531</v>
      </c>
      <c r="G28" s="186" t="s">
        <v>531</v>
      </c>
      <c r="H28" s="186" t="s">
        <v>531</v>
      </c>
      <c r="I28" s="186" t="s">
        <v>531</v>
      </c>
      <c r="J28" s="186" t="s">
        <v>531</v>
      </c>
      <c r="K28" s="186" t="s">
        <v>531</v>
      </c>
      <c r="L28" s="186" t="s">
        <v>531</v>
      </c>
      <c r="M28" s="186" t="s">
        <v>531</v>
      </c>
      <c r="N28" s="186" t="s">
        <v>531</v>
      </c>
      <c r="O28" s="186" t="s">
        <v>531</v>
      </c>
      <c r="P28" s="186" t="s">
        <v>531</v>
      </c>
      <c r="Q28" s="186" t="s">
        <v>531</v>
      </c>
      <c r="R28" s="186" t="s">
        <v>531</v>
      </c>
      <c r="S28" s="244" t="s">
        <v>531</v>
      </c>
      <c r="V28" s="579"/>
    </row>
    <row r="29" spans="1:22">
      <c r="A29" s="158"/>
      <c r="B29" s="258"/>
      <c r="C29" s="258"/>
      <c r="D29" s="258"/>
      <c r="E29" s="259" t="s">
        <v>224</v>
      </c>
      <c r="F29" s="260" t="s">
        <v>531</v>
      </c>
      <c r="G29" s="260" t="s">
        <v>531</v>
      </c>
      <c r="H29" s="260" t="s">
        <v>531</v>
      </c>
      <c r="I29" s="260" t="s">
        <v>531</v>
      </c>
      <c r="J29" s="260" t="s">
        <v>531</v>
      </c>
      <c r="K29" s="260" t="s">
        <v>531</v>
      </c>
      <c r="L29" s="260" t="s">
        <v>531</v>
      </c>
      <c r="M29" s="260" t="s">
        <v>531</v>
      </c>
      <c r="N29" s="260" t="s">
        <v>531</v>
      </c>
      <c r="O29" s="260" t="s">
        <v>531</v>
      </c>
      <c r="P29" s="260" t="s">
        <v>531</v>
      </c>
      <c r="Q29" s="260" t="s">
        <v>531</v>
      </c>
      <c r="R29" s="260" t="s">
        <v>531</v>
      </c>
      <c r="S29" s="261" t="s">
        <v>531</v>
      </c>
      <c r="V29" s="579"/>
    </row>
    <row r="30" spans="1:22" ht="13.5" thickBot="1">
      <c r="A30" s="158"/>
      <c r="B30" s="159"/>
      <c r="C30" s="159"/>
      <c r="D30" s="159"/>
      <c r="E30" s="160" t="s">
        <v>299</v>
      </c>
      <c r="F30" s="256" t="s">
        <v>531</v>
      </c>
      <c r="G30" s="256" t="s">
        <v>531</v>
      </c>
      <c r="H30" s="256" t="s">
        <v>531</v>
      </c>
      <c r="I30" s="256" t="s">
        <v>531</v>
      </c>
      <c r="J30" s="256" t="s">
        <v>531</v>
      </c>
      <c r="K30" s="256" t="s">
        <v>531</v>
      </c>
      <c r="L30" s="256" t="s">
        <v>531</v>
      </c>
      <c r="M30" s="256" t="s">
        <v>531</v>
      </c>
      <c r="N30" s="256" t="s">
        <v>531</v>
      </c>
      <c r="O30" s="256" t="s">
        <v>531</v>
      </c>
      <c r="P30" s="256" t="s">
        <v>531</v>
      </c>
      <c r="Q30" s="256" t="s">
        <v>531</v>
      </c>
      <c r="R30" s="256" t="s">
        <v>531</v>
      </c>
      <c r="S30" s="257" t="s">
        <v>531</v>
      </c>
      <c r="V30" s="579"/>
    </row>
    <row r="31" spans="1:22" ht="13.5" thickBot="1">
      <c r="A31" s="158"/>
      <c r="B31" s="161"/>
      <c r="C31" s="161"/>
      <c r="D31" s="161"/>
      <c r="E31" s="162" t="s">
        <v>229</v>
      </c>
      <c r="F31" s="163"/>
      <c r="G31" s="163"/>
      <c r="H31" s="163"/>
      <c r="I31" s="163"/>
      <c r="J31" s="163"/>
      <c r="K31" s="163"/>
      <c r="L31" s="163"/>
      <c r="M31" s="163"/>
      <c r="N31" s="163"/>
      <c r="O31" s="163"/>
      <c r="P31" s="163"/>
      <c r="Q31" s="163"/>
      <c r="R31" s="163"/>
      <c r="S31" s="262"/>
    </row>
    <row r="32" spans="1:22">
      <c r="A32" s="158"/>
      <c r="B32" s="258"/>
      <c r="C32" s="258"/>
      <c r="D32" s="258"/>
      <c r="E32" s="259" t="s">
        <v>235</v>
      </c>
      <c r="F32" s="239" t="s">
        <v>531</v>
      </c>
      <c r="G32" s="239" t="s">
        <v>531</v>
      </c>
      <c r="H32" s="239" t="s">
        <v>531</v>
      </c>
      <c r="I32" s="239" t="s">
        <v>531</v>
      </c>
      <c r="J32" s="239" t="s">
        <v>531</v>
      </c>
      <c r="K32" s="239" t="s">
        <v>531</v>
      </c>
      <c r="L32" s="239" t="s">
        <v>531</v>
      </c>
      <c r="M32" s="239" t="s">
        <v>531</v>
      </c>
      <c r="N32" s="239" t="s">
        <v>531</v>
      </c>
      <c r="O32" s="239" t="s">
        <v>531</v>
      </c>
      <c r="P32" s="239" t="s">
        <v>531</v>
      </c>
      <c r="Q32" s="239" t="s">
        <v>531</v>
      </c>
      <c r="R32" s="239" t="s">
        <v>531</v>
      </c>
      <c r="S32" s="240" t="s">
        <v>531</v>
      </c>
      <c r="V32" s="579"/>
    </row>
    <row r="33" spans="1:22" ht="13.5" thickBot="1">
      <c r="A33" s="158"/>
      <c r="B33" s="161"/>
      <c r="C33" s="161"/>
      <c r="D33" s="161"/>
      <c r="E33" s="263" t="s">
        <v>299</v>
      </c>
      <c r="F33" s="264" t="s">
        <v>531</v>
      </c>
      <c r="G33" s="264" t="s">
        <v>531</v>
      </c>
      <c r="H33" s="264" t="s">
        <v>531</v>
      </c>
      <c r="I33" s="264" t="s">
        <v>531</v>
      </c>
      <c r="J33" s="264" t="s">
        <v>531</v>
      </c>
      <c r="K33" s="264" t="s">
        <v>531</v>
      </c>
      <c r="L33" s="264" t="s">
        <v>531</v>
      </c>
      <c r="M33" s="264" t="s">
        <v>531</v>
      </c>
      <c r="N33" s="264" t="s">
        <v>531</v>
      </c>
      <c r="O33" s="264" t="s">
        <v>531</v>
      </c>
      <c r="P33" s="264" t="s">
        <v>531</v>
      </c>
      <c r="Q33" s="264" t="s">
        <v>531</v>
      </c>
      <c r="R33" s="264" t="s">
        <v>531</v>
      </c>
      <c r="S33" s="265" t="s">
        <v>531</v>
      </c>
      <c r="V33" s="579"/>
    </row>
    <row r="34" spans="1:22" ht="15.75" thickTop="1">
      <c r="A34" s="266" t="s">
        <v>532</v>
      </c>
      <c r="B34" s="267"/>
      <c r="C34" s="267"/>
      <c r="D34" s="268"/>
      <c r="E34" s="269" t="s">
        <v>533</v>
      </c>
      <c r="F34" s="270">
        <v>2595</v>
      </c>
      <c r="G34" s="270">
        <v>208</v>
      </c>
      <c r="H34" s="270">
        <v>86</v>
      </c>
      <c r="I34" s="270">
        <v>340</v>
      </c>
      <c r="J34" s="270">
        <v>87</v>
      </c>
      <c r="K34" s="270">
        <v>106</v>
      </c>
      <c r="L34" s="270">
        <v>440</v>
      </c>
      <c r="M34" s="270">
        <v>200</v>
      </c>
      <c r="N34" s="270">
        <v>973</v>
      </c>
      <c r="O34" s="270">
        <v>0</v>
      </c>
      <c r="P34" s="270">
        <v>69</v>
      </c>
      <c r="Q34" s="270">
        <v>86</v>
      </c>
      <c r="R34" s="270">
        <v>28</v>
      </c>
      <c r="S34" s="271">
        <v>0</v>
      </c>
    </row>
    <row r="35" spans="1:22" ht="14.25">
      <c r="A35" s="272"/>
      <c r="B35" s="273"/>
      <c r="C35" s="274"/>
      <c r="D35" s="275"/>
      <c r="E35" s="276" t="s">
        <v>534</v>
      </c>
      <c r="F35" s="277">
        <v>2822</v>
      </c>
      <c r="G35" s="277">
        <v>219</v>
      </c>
      <c r="H35" s="277">
        <v>95</v>
      </c>
      <c r="I35" s="277">
        <v>319</v>
      </c>
      <c r="J35" s="277">
        <v>78</v>
      </c>
      <c r="K35" s="277">
        <v>153</v>
      </c>
      <c r="L35" s="277">
        <v>469</v>
      </c>
      <c r="M35" s="277">
        <v>166</v>
      </c>
      <c r="N35" s="277">
        <v>1191</v>
      </c>
      <c r="O35" s="277">
        <v>0</v>
      </c>
      <c r="P35" s="277">
        <v>68</v>
      </c>
      <c r="Q35" s="277">
        <v>95</v>
      </c>
      <c r="R35" s="277">
        <v>35</v>
      </c>
      <c r="S35" s="278">
        <v>0</v>
      </c>
    </row>
    <row r="36" spans="1:22" ht="13.5" thickBot="1">
      <c r="A36" s="279"/>
      <c r="B36" s="280"/>
      <c r="C36" s="281"/>
      <c r="D36" s="281"/>
      <c r="E36" s="282" t="s">
        <v>288</v>
      </c>
      <c r="F36" s="283">
        <v>17042</v>
      </c>
      <c r="G36" s="283">
        <v>2047</v>
      </c>
      <c r="H36" s="283">
        <v>531</v>
      </c>
      <c r="I36" s="283">
        <v>1920</v>
      </c>
      <c r="J36" s="283">
        <v>639</v>
      </c>
      <c r="K36" s="283">
        <v>920</v>
      </c>
      <c r="L36" s="283">
        <v>2797</v>
      </c>
      <c r="M36" s="283">
        <v>2909</v>
      </c>
      <c r="N36" s="283">
        <v>4228</v>
      </c>
      <c r="O36" s="283">
        <v>0</v>
      </c>
      <c r="P36" s="283">
        <v>398</v>
      </c>
      <c r="Q36" s="283">
        <v>531</v>
      </c>
      <c r="R36" s="283">
        <v>184</v>
      </c>
      <c r="S36" s="284">
        <v>0</v>
      </c>
    </row>
    <row r="37" spans="1:22" ht="13.5" thickTop="1"/>
    <row r="38" spans="1:22" ht="12.75" customHeight="1"/>
    <row r="39" spans="1:22" ht="39" customHeight="1"/>
    <row r="40" spans="1:22" ht="24" customHeight="1"/>
    <row r="42" spans="1:22">
      <c r="A42" s="182"/>
    </row>
  </sheetData>
  <mergeCells count="1">
    <mergeCell ref="B2:C2"/>
  </mergeCells>
  <hyperlinks>
    <hyperlink ref="A1" location="'Table of Contents'!A1" display="Table of Contents"/>
  </hyperlinks>
  <pageMargins left="0.25" right="0.25" top="0.5" bottom="0.5" header="0.3" footer="0.3"/>
  <pageSetup paperSize="5" orientation="landscape" r:id="rId1"/>
  <headerFooter alignWithMargins="0">
    <oddHeader>&amp;A</oddHeader>
    <oddFooter>&amp;L&amp;5&amp;Z&amp;F
Created: 9/29/2006 10:44:00 PM
Last Saved: 2/22/2008 9:07:29 AM
Last Printed: 2/22/2008 9:10:13 AM&amp;R&amp;5&amp;P - &amp;N
Title :&lt;Not Set&gt;
Subject: &lt;Not Set&gt;</oddFooter>
  </headerFooter>
</worksheet>
</file>

<file path=xl/worksheets/sheet4.xml><?xml version="1.0" encoding="utf-8"?>
<worksheet xmlns="http://schemas.openxmlformats.org/spreadsheetml/2006/main" xmlns:r="http://schemas.openxmlformats.org/officeDocument/2006/relationships">
  <sheetPr codeName="Sheet261">
    <pageSetUpPr fitToPage="1"/>
  </sheetPr>
  <dimension ref="A1:T42"/>
  <sheetViews>
    <sheetView topLeftCell="I4" workbookViewId="0">
      <selection activeCell="T3" sqref="T3:T36"/>
    </sheetView>
  </sheetViews>
  <sheetFormatPr defaultRowHeight="12.75"/>
  <cols>
    <col min="1" max="1" width="9" style="98" customWidth="1"/>
    <col min="2" max="2" width="9.140625" style="98"/>
    <col min="3" max="3" width="9.7109375" style="98" customWidth="1"/>
    <col min="4" max="4" width="9" style="98" customWidth="1"/>
    <col min="5" max="5" width="10.7109375" style="98" customWidth="1"/>
    <col min="6" max="18" width="9.140625" style="98"/>
    <col min="19" max="19" width="9.140625" style="98" customWidth="1"/>
    <col min="20" max="20" width="7.7109375" style="98" bestFit="1" customWidth="1"/>
    <col min="21" max="246" width="9.140625" style="98"/>
    <col min="247" max="247" width="9" style="98" customWidth="1"/>
    <col min="248" max="248" width="9.140625" style="98"/>
    <col min="249" max="249" width="9.7109375" style="98" customWidth="1"/>
    <col min="250" max="250" width="9" style="98" customWidth="1"/>
    <col min="251" max="251" width="10.7109375" style="98" customWidth="1"/>
    <col min="252" max="252" width="12.7109375" style="98" customWidth="1"/>
    <col min="253" max="253" width="1" style="98" customWidth="1"/>
    <col min="254" max="254" width="12.7109375" style="98" customWidth="1"/>
    <col min="255" max="255" width="1" style="98" customWidth="1"/>
    <col min="256" max="256" width="12.7109375" style="98" customWidth="1"/>
    <col min="257" max="257" width="1" style="98" customWidth="1"/>
    <col min="258" max="258" width="12.7109375" style="98" customWidth="1"/>
    <col min="259" max="502" width="9.140625" style="98"/>
    <col min="503" max="503" width="9" style="98" customWidth="1"/>
    <col min="504" max="504" width="9.140625" style="98"/>
    <col min="505" max="505" width="9.7109375" style="98" customWidth="1"/>
    <col min="506" max="506" width="9" style="98" customWidth="1"/>
    <col min="507" max="507" width="10.7109375" style="98" customWidth="1"/>
    <col min="508" max="508" width="12.7109375" style="98" customWidth="1"/>
    <col min="509" max="509" width="1" style="98" customWidth="1"/>
    <col min="510" max="510" width="12.7109375" style="98" customWidth="1"/>
    <col min="511" max="511" width="1" style="98" customWidth="1"/>
    <col min="512" max="512" width="12.7109375" style="98" customWidth="1"/>
    <col min="513" max="513" width="1" style="98" customWidth="1"/>
    <col min="514" max="514" width="12.7109375" style="98" customWidth="1"/>
    <col min="515" max="758" width="9.140625" style="98"/>
    <col min="759" max="759" width="9" style="98" customWidth="1"/>
    <col min="760" max="760" width="9.140625" style="98"/>
    <col min="761" max="761" width="9.7109375" style="98" customWidth="1"/>
    <col min="762" max="762" width="9" style="98" customWidth="1"/>
    <col min="763" max="763" width="10.7109375" style="98" customWidth="1"/>
    <col min="764" max="764" width="12.7109375" style="98" customWidth="1"/>
    <col min="765" max="765" width="1" style="98" customWidth="1"/>
    <col min="766" max="766" width="12.7109375" style="98" customWidth="1"/>
    <col min="767" max="767" width="1" style="98" customWidth="1"/>
    <col min="768" max="768" width="12.7109375" style="98" customWidth="1"/>
    <col min="769" max="769" width="1" style="98" customWidth="1"/>
    <col min="770" max="770" width="12.7109375" style="98" customWidth="1"/>
    <col min="771" max="1014" width="9.140625" style="98"/>
    <col min="1015" max="1015" width="9" style="98" customWidth="1"/>
    <col min="1016" max="1016" width="9.140625" style="98"/>
    <col min="1017" max="1017" width="9.7109375" style="98" customWidth="1"/>
    <col min="1018" max="1018" width="9" style="98" customWidth="1"/>
    <col min="1019" max="1019" width="10.7109375" style="98" customWidth="1"/>
    <col min="1020" max="1020" width="12.7109375" style="98" customWidth="1"/>
    <col min="1021" max="1021" width="1" style="98" customWidth="1"/>
    <col min="1022" max="1022" width="12.7109375" style="98" customWidth="1"/>
    <col min="1023" max="1023" width="1" style="98" customWidth="1"/>
    <col min="1024" max="1024" width="12.7109375" style="98" customWidth="1"/>
    <col min="1025" max="1025" width="1" style="98" customWidth="1"/>
    <col min="1026" max="1026" width="12.7109375" style="98" customWidth="1"/>
    <col min="1027" max="1270" width="9.140625" style="98"/>
    <col min="1271" max="1271" width="9" style="98" customWidth="1"/>
    <col min="1272" max="1272" width="9.140625" style="98"/>
    <col min="1273" max="1273" width="9.7109375" style="98" customWidth="1"/>
    <col min="1274" max="1274" width="9" style="98" customWidth="1"/>
    <col min="1275" max="1275" width="10.7109375" style="98" customWidth="1"/>
    <col min="1276" max="1276" width="12.7109375" style="98" customWidth="1"/>
    <col min="1277" max="1277" width="1" style="98" customWidth="1"/>
    <col min="1278" max="1278" width="12.7109375" style="98" customWidth="1"/>
    <col min="1279" max="1279" width="1" style="98" customWidth="1"/>
    <col min="1280" max="1280" width="12.7109375" style="98" customWidth="1"/>
    <col min="1281" max="1281" width="1" style="98" customWidth="1"/>
    <col min="1282" max="1282" width="12.7109375" style="98" customWidth="1"/>
    <col min="1283" max="1526" width="9.140625" style="98"/>
    <col min="1527" max="1527" width="9" style="98" customWidth="1"/>
    <col min="1528" max="1528" width="9.140625" style="98"/>
    <col min="1529" max="1529" width="9.7109375" style="98" customWidth="1"/>
    <col min="1530" max="1530" width="9" style="98" customWidth="1"/>
    <col min="1531" max="1531" width="10.7109375" style="98" customWidth="1"/>
    <col min="1532" max="1532" width="12.7109375" style="98" customWidth="1"/>
    <col min="1533" max="1533" width="1" style="98" customWidth="1"/>
    <col min="1534" max="1534" width="12.7109375" style="98" customWidth="1"/>
    <col min="1535" max="1535" width="1" style="98" customWidth="1"/>
    <col min="1536" max="1536" width="12.7109375" style="98" customWidth="1"/>
    <col min="1537" max="1537" width="1" style="98" customWidth="1"/>
    <col min="1538" max="1538" width="12.7109375" style="98" customWidth="1"/>
    <col min="1539" max="1782" width="9.140625" style="98"/>
    <col min="1783" max="1783" width="9" style="98" customWidth="1"/>
    <col min="1784" max="1784" width="9.140625" style="98"/>
    <col min="1785" max="1785" width="9.7109375" style="98" customWidth="1"/>
    <col min="1786" max="1786" width="9" style="98" customWidth="1"/>
    <col min="1787" max="1787" width="10.7109375" style="98" customWidth="1"/>
    <col min="1788" max="1788" width="12.7109375" style="98" customWidth="1"/>
    <col min="1789" max="1789" width="1" style="98" customWidth="1"/>
    <col min="1790" max="1790" width="12.7109375" style="98" customWidth="1"/>
    <col min="1791" max="1791" width="1" style="98" customWidth="1"/>
    <col min="1792" max="1792" width="12.7109375" style="98" customWidth="1"/>
    <col min="1793" max="1793" width="1" style="98" customWidth="1"/>
    <col min="1794" max="1794" width="12.7109375" style="98" customWidth="1"/>
    <col min="1795" max="2038" width="9.140625" style="98"/>
    <col min="2039" max="2039" width="9" style="98" customWidth="1"/>
    <col min="2040" max="2040" width="9.140625" style="98"/>
    <col min="2041" max="2041" width="9.7109375" style="98" customWidth="1"/>
    <col min="2042" max="2042" width="9" style="98" customWidth="1"/>
    <col min="2043" max="2043" width="10.7109375" style="98" customWidth="1"/>
    <col min="2044" max="2044" width="12.7109375" style="98" customWidth="1"/>
    <col min="2045" max="2045" width="1" style="98" customWidth="1"/>
    <col min="2046" max="2046" width="12.7109375" style="98" customWidth="1"/>
    <col min="2047" max="2047" width="1" style="98" customWidth="1"/>
    <col min="2048" max="2048" width="12.7109375" style="98" customWidth="1"/>
    <col min="2049" max="2049" width="1" style="98" customWidth="1"/>
    <col min="2050" max="2050" width="12.7109375" style="98" customWidth="1"/>
    <col min="2051" max="2294" width="9.140625" style="98"/>
    <col min="2295" max="2295" width="9" style="98" customWidth="1"/>
    <col min="2296" max="2296" width="9.140625" style="98"/>
    <col min="2297" max="2297" width="9.7109375" style="98" customWidth="1"/>
    <col min="2298" max="2298" width="9" style="98" customWidth="1"/>
    <col min="2299" max="2299" width="10.7109375" style="98" customWidth="1"/>
    <col min="2300" max="2300" width="12.7109375" style="98" customWidth="1"/>
    <col min="2301" max="2301" width="1" style="98" customWidth="1"/>
    <col min="2302" max="2302" width="12.7109375" style="98" customWidth="1"/>
    <col min="2303" max="2303" width="1" style="98" customWidth="1"/>
    <col min="2304" max="2304" width="12.7109375" style="98" customWidth="1"/>
    <col min="2305" max="2305" width="1" style="98" customWidth="1"/>
    <col min="2306" max="2306" width="12.7109375" style="98" customWidth="1"/>
    <col min="2307" max="2550" width="9.140625" style="98"/>
    <col min="2551" max="2551" width="9" style="98" customWidth="1"/>
    <col min="2552" max="2552" width="9.140625" style="98"/>
    <col min="2553" max="2553" width="9.7109375" style="98" customWidth="1"/>
    <col min="2554" max="2554" width="9" style="98" customWidth="1"/>
    <col min="2555" max="2555" width="10.7109375" style="98" customWidth="1"/>
    <col min="2556" max="2556" width="12.7109375" style="98" customWidth="1"/>
    <col min="2557" max="2557" width="1" style="98" customWidth="1"/>
    <col min="2558" max="2558" width="12.7109375" style="98" customWidth="1"/>
    <col min="2559" max="2559" width="1" style="98" customWidth="1"/>
    <col min="2560" max="2560" width="12.7109375" style="98" customWidth="1"/>
    <col min="2561" max="2561" width="1" style="98" customWidth="1"/>
    <col min="2562" max="2562" width="12.7109375" style="98" customWidth="1"/>
    <col min="2563" max="2806" width="9.140625" style="98"/>
    <col min="2807" max="2807" width="9" style="98" customWidth="1"/>
    <col min="2808" max="2808" width="9.140625" style="98"/>
    <col min="2809" max="2809" width="9.7109375" style="98" customWidth="1"/>
    <col min="2810" max="2810" width="9" style="98" customWidth="1"/>
    <col min="2811" max="2811" width="10.7109375" style="98" customWidth="1"/>
    <col min="2812" max="2812" width="12.7109375" style="98" customWidth="1"/>
    <col min="2813" max="2813" width="1" style="98" customWidth="1"/>
    <col min="2814" max="2814" width="12.7109375" style="98" customWidth="1"/>
    <col min="2815" max="2815" width="1" style="98" customWidth="1"/>
    <col min="2816" max="2816" width="12.7109375" style="98" customWidth="1"/>
    <col min="2817" max="2817" width="1" style="98" customWidth="1"/>
    <col min="2818" max="2818" width="12.7109375" style="98" customWidth="1"/>
    <col min="2819" max="3062" width="9.140625" style="98"/>
    <col min="3063" max="3063" width="9" style="98" customWidth="1"/>
    <col min="3064" max="3064" width="9.140625" style="98"/>
    <col min="3065" max="3065" width="9.7109375" style="98" customWidth="1"/>
    <col min="3066" max="3066" width="9" style="98" customWidth="1"/>
    <col min="3067" max="3067" width="10.7109375" style="98" customWidth="1"/>
    <col min="3068" max="3068" width="12.7109375" style="98" customWidth="1"/>
    <col min="3069" max="3069" width="1" style="98" customWidth="1"/>
    <col min="3070" max="3070" width="12.7109375" style="98" customWidth="1"/>
    <col min="3071" max="3071" width="1" style="98" customWidth="1"/>
    <col min="3072" max="3072" width="12.7109375" style="98" customWidth="1"/>
    <col min="3073" max="3073" width="1" style="98" customWidth="1"/>
    <col min="3074" max="3074" width="12.7109375" style="98" customWidth="1"/>
    <col min="3075" max="3318" width="9.140625" style="98"/>
    <col min="3319" max="3319" width="9" style="98" customWidth="1"/>
    <col min="3320" max="3320" width="9.140625" style="98"/>
    <col min="3321" max="3321" width="9.7109375" style="98" customWidth="1"/>
    <col min="3322" max="3322" width="9" style="98" customWidth="1"/>
    <col min="3323" max="3323" width="10.7109375" style="98" customWidth="1"/>
    <col min="3324" max="3324" width="12.7109375" style="98" customWidth="1"/>
    <col min="3325" max="3325" width="1" style="98" customWidth="1"/>
    <col min="3326" max="3326" width="12.7109375" style="98" customWidth="1"/>
    <col min="3327" max="3327" width="1" style="98" customWidth="1"/>
    <col min="3328" max="3328" width="12.7109375" style="98" customWidth="1"/>
    <col min="3329" max="3329" width="1" style="98" customWidth="1"/>
    <col min="3330" max="3330" width="12.7109375" style="98" customWidth="1"/>
    <col min="3331" max="3574" width="9.140625" style="98"/>
    <col min="3575" max="3575" width="9" style="98" customWidth="1"/>
    <col min="3576" max="3576" width="9.140625" style="98"/>
    <col min="3577" max="3577" width="9.7109375" style="98" customWidth="1"/>
    <col min="3578" max="3578" width="9" style="98" customWidth="1"/>
    <col min="3579" max="3579" width="10.7109375" style="98" customWidth="1"/>
    <col min="3580" max="3580" width="12.7109375" style="98" customWidth="1"/>
    <col min="3581" max="3581" width="1" style="98" customWidth="1"/>
    <col min="3582" max="3582" width="12.7109375" style="98" customWidth="1"/>
    <col min="3583" max="3583" width="1" style="98" customWidth="1"/>
    <col min="3584" max="3584" width="12.7109375" style="98" customWidth="1"/>
    <col min="3585" max="3585" width="1" style="98" customWidth="1"/>
    <col min="3586" max="3586" width="12.7109375" style="98" customWidth="1"/>
    <col min="3587" max="3830" width="9.140625" style="98"/>
    <col min="3831" max="3831" width="9" style="98" customWidth="1"/>
    <col min="3832" max="3832" width="9.140625" style="98"/>
    <col min="3833" max="3833" width="9.7109375" style="98" customWidth="1"/>
    <col min="3834" max="3834" width="9" style="98" customWidth="1"/>
    <col min="3835" max="3835" width="10.7109375" style="98" customWidth="1"/>
    <col min="3836" max="3836" width="12.7109375" style="98" customWidth="1"/>
    <col min="3837" max="3837" width="1" style="98" customWidth="1"/>
    <col min="3838" max="3838" width="12.7109375" style="98" customWidth="1"/>
    <col min="3839" max="3839" width="1" style="98" customWidth="1"/>
    <col min="3840" max="3840" width="12.7109375" style="98" customWidth="1"/>
    <col min="3841" max="3841" width="1" style="98" customWidth="1"/>
    <col min="3842" max="3842" width="12.7109375" style="98" customWidth="1"/>
    <col min="3843" max="4086" width="9.140625" style="98"/>
    <col min="4087" max="4087" width="9" style="98" customWidth="1"/>
    <col min="4088" max="4088" width="9.140625" style="98"/>
    <col min="4089" max="4089" width="9.7109375" style="98" customWidth="1"/>
    <col min="4090" max="4090" width="9" style="98" customWidth="1"/>
    <col min="4091" max="4091" width="10.7109375" style="98" customWidth="1"/>
    <col min="4092" max="4092" width="12.7109375" style="98" customWidth="1"/>
    <col min="4093" max="4093" width="1" style="98" customWidth="1"/>
    <col min="4094" max="4094" width="12.7109375" style="98" customWidth="1"/>
    <col min="4095" max="4095" width="1" style="98" customWidth="1"/>
    <col min="4096" max="4096" width="12.7109375" style="98" customWidth="1"/>
    <col min="4097" max="4097" width="1" style="98" customWidth="1"/>
    <col min="4098" max="4098" width="12.7109375" style="98" customWidth="1"/>
    <col min="4099" max="4342" width="9.140625" style="98"/>
    <col min="4343" max="4343" width="9" style="98" customWidth="1"/>
    <col min="4344" max="4344" width="9.140625" style="98"/>
    <col min="4345" max="4345" width="9.7109375" style="98" customWidth="1"/>
    <col min="4346" max="4346" width="9" style="98" customWidth="1"/>
    <col min="4347" max="4347" width="10.7109375" style="98" customWidth="1"/>
    <col min="4348" max="4348" width="12.7109375" style="98" customWidth="1"/>
    <col min="4349" max="4349" width="1" style="98" customWidth="1"/>
    <col min="4350" max="4350" width="12.7109375" style="98" customWidth="1"/>
    <col min="4351" max="4351" width="1" style="98" customWidth="1"/>
    <col min="4352" max="4352" width="12.7109375" style="98" customWidth="1"/>
    <col min="4353" max="4353" width="1" style="98" customWidth="1"/>
    <col min="4354" max="4354" width="12.7109375" style="98" customWidth="1"/>
    <col min="4355" max="4598" width="9.140625" style="98"/>
    <col min="4599" max="4599" width="9" style="98" customWidth="1"/>
    <col min="4600" max="4600" width="9.140625" style="98"/>
    <col min="4601" max="4601" width="9.7109375" style="98" customWidth="1"/>
    <col min="4602" max="4602" width="9" style="98" customWidth="1"/>
    <col min="4603" max="4603" width="10.7109375" style="98" customWidth="1"/>
    <col min="4604" max="4604" width="12.7109375" style="98" customWidth="1"/>
    <col min="4605" max="4605" width="1" style="98" customWidth="1"/>
    <col min="4606" max="4606" width="12.7109375" style="98" customWidth="1"/>
    <col min="4607" max="4607" width="1" style="98" customWidth="1"/>
    <col min="4608" max="4608" width="12.7109375" style="98" customWidth="1"/>
    <col min="4609" max="4609" width="1" style="98" customWidth="1"/>
    <col min="4610" max="4610" width="12.7109375" style="98" customWidth="1"/>
    <col min="4611" max="4854" width="9.140625" style="98"/>
    <col min="4855" max="4855" width="9" style="98" customWidth="1"/>
    <col min="4856" max="4856" width="9.140625" style="98"/>
    <col min="4857" max="4857" width="9.7109375" style="98" customWidth="1"/>
    <col min="4858" max="4858" width="9" style="98" customWidth="1"/>
    <col min="4859" max="4859" width="10.7109375" style="98" customWidth="1"/>
    <col min="4860" max="4860" width="12.7109375" style="98" customWidth="1"/>
    <col min="4861" max="4861" width="1" style="98" customWidth="1"/>
    <col min="4862" max="4862" width="12.7109375" style="98" customWidth="1"/>
    <col min="4863" max="4863" width="1" style="98" customWidth="1"/>
    <col min="4864" max="4864" width="12.7109375" style="98" customWidth="1"/>
    <col min="4865" max="4865" width="1" style="98" customWidth="1"/>
    <col min="4866" max="4866" width="12.7109375" style="98" customWidth="1"/>
    <col min="4867" max="5110" width="9.140625" style="98"/>
    <col min="5111" max="5111" width="9" style="98" customWidth="1"/>
    <col min="5112" max="5112" width="9.140625" style="98"/>
    <col min="5113" max="5113" width="9.7109375" style="98" customWidth="1"/>
    <col min="5114" max="5114" width="9" style="98" customWidth="1"/>
    <col min="5115" max="5115" width="10.7109375" style="98" customWidth="1"/>
    <col min="5116" max="5116" width="12.7109375" style="98" customWidth="1"/>
    <col min="5117" max="5117" width="1" style="98" customWidth="1"/>
    <col min="5118" max="5118" width="12.7109375" style="98" customWidth="1"/>
    <col min="5119" max="5119" width="1" style="98" customWidth="1"/>
    <col min="5120" max="5120" width="12.7109375" style="98" customWidth="1"/>
    <col min="5121" max="5121" width="1" style="98" customWidth="1"/>
    <col min="5122" max="5122" width="12.7109375" style="98" customWidth="1"/>
    <col min="5123" max="5366" width="9.140625" style="98"/>
    <col min="5367" max="5367" width="9" style="98" customWidth="1"/>
    <col min="5368" max="5368" width="9.140625" style="98"/>
    <col min="5369" max="5369" width="9.7109375" style="98" customWidth="1"/>
    <col min="5370" max="5370" width="9" style="98" customWidth="1"/>
    <col min="5371" max="5371" width="10.7109375" style="98" customWidth="1"/>
    <col min="5372" max="5372" width="12.7109375" style="98" customWidth="1"/>
    <col min="5373" max="5373" width="1" style="98" customWidth="1"/>
    <col min="5374" max="5374" width="12.7109375" style="98" customWidth="1"/>
    <col min="5375" max="5375" width="1" style="98" customWidth="1"/>
    <col min="5376" max="5376" width="12.7109375" style="98" customWidth="1"/>
    <col min="5377" max="5377" width="1" style="98" customWidth="1"/>
    <col min="5378" max="5378" width="12.7109375" style="98" customWidth="1"/>
    <col min="5379" max="5622" width="9.140625" style="98"/>
    <col min="5623" max="5623" width="9" style="98" customWidth="1"/>
    <col min="5624" max="5624" width="9.140625" style="98"/>
    <col min="5625" max="5625" width="9.7109375" style="98" customWidth="1"/>
    <col min="5626" max="5626" width="9" style="98" customWidth="1"/>
    <col min="5627" max="5627" width="10.7109375" style="98" customWidth="1"/>
    <col min="5628" max="5628" width="12.7109375" style="98" customWidth="1"/>
    <col min="5629" max="5629" width="1" style="98" customWidth="1"/>
    <col min="5630" max="5630" width="12.7109375" style="98" customWidth="1"/>
    <col min="5631" max="5631" width="1" style="98" customWidth="1"/>
    <col min="5632" max="5632" width="12.7109375" style="98" customWidth="1"/>
    <col min="5633" max="5633" width="1" style="98" customWidth="1"/>
    <col min="5634" max="5634" width="12.7109375" style="98" customWidth="1"/>
    <col min="5635" max="5878" width="9.140625" style="98"/>
    <col min="5879" max="5879" width="9" style="98" customWidth="1"/>
    <col min="5880" max="5880" width="9.140625" style="98"/>
    <col min="5881" max="5881" width="9.7109375" style="98" customWidth="1"/>
    <col min="5882" max="5882" width="9" style="98" customWidth="1"/>
    <col min="5883" max="5883" width="10.7109375" style="98" customWidth="1"/>
    <col min="5884" max="5884" width="12.7109375" style="98" customWidth="1"/>
    <col min="5885" max="5885" width="1" style="98" customWidth="1"/>
    <col min="5886" max="5886" width="12.7109375" style="98" customWidth="1"/>
    <col min="5887" max="5887" width="1" style="98" customWidth="1"/>
    <col min="5888" max="5888" width="12.7109375" style="98" customWidth="1"/>
    <col min="5889" max="5889" width="1" style="98" customWidth="1"/>
    <col min="5890" max="5890" width="12.7109375" style="98" customWidth="1"/>
    <col min="5891" max="6134" width="9.140625" style="98"/>
    <col min="6135" max="6135" width="9" style="98" customWidth="1"/>
    <col min="6136" max="6136" width="9.140625" style="98"/>
    <col min="6137" max="6137" width="9.7109375" style="98" customWidth="1"/>
    <col min="6138" max="6138" width="9" style="98" customWidth="1"/>
    <col min="6139" max="6139" width="10.7109375" style="98" customWidth="1"/>
    <col min="6140" max="6140" width="12.7109375" style="98" customWidth="1"/>
    <col min="6141" max="6141" width="1" style="98" customWidth="1"/>
    <col min="6142" max="6142" width="12.7109375" style="98" customWidth="1"/>
    <col min="6143" max="6143" width="1" style="98" customWidth="1"/>
    <col min="6144" max="6144" width="12.7109375" style="98" customWidth="1"/>
    <col min="6145" max="6145" width="1" style="98" customWidth="1"/>
    <col min="6146" max="6146" width="12.7109375" style="98" customWidth="1"/>
    <col min="6147" max="6390" width="9.140625" style="98"/>
    <col min="6391" max="6391" width="9" style="98" customWidth="1"/>
    <col min="6392" max="6392" width="9.140625" style="98"/>
    <col min="6393" max="6393" width="9.7109375" style="98" customWidth="1"/>
    <col min="6394" max="6394" width="9" style="98" customWidth="1"/>
    <col min="6395" max="6395" width="10.7109375" style="98" customWidth="1"/>
    <col min="6396" max="6396" width="12.7109375" style="98" customWidth="1"/>
    <col min="6397" max="6397" width="1" style="98" customWidth="1"/>
    <col min="6398" max="6398" width="12.7109375" style="98" customWidth="1"/>
    <col min="6399" max="6399" width="1" style="98" customWidth="1"/>
    <col min="6400" max="6400" width="12.7109375" style="98" customWidth="1"/>
    <col min="6401" max="6401" width="1" style="98" customWidth="1"/>
    <col min="6402" max="6402" width="12.7109375" style="98" customWidth="1"/>
    <col min="6403" max="6646" width="9.140625" style="98"/>
    <col min="6647" max="6647" width="9" style="98" customWidth="1"/>
    <col min="6648" max="6648" width="9.140625" style="98"/>
    <col min="6649" max="6649" width="9.7109375" style="98" customWidth="1"/>
    <col min="6650" max="6650" width="9" style="98" customWidth="1"/>
    <col min="6651" max="6651" width="10.7109375" style="98" customWidth="1"/>
    <col min="6652" max="6652" width="12.7109375" style="98" customWidth="1"/>
    <col min="6653" max="6653" width="1" style="98" customWidth="1"/>
    <col min="6654" max="6654" width="12.7109375" style="98" customWidth="1"/>
    <col min="6655" max="6655" width="1" style="98" customWidth="1"/>
    <col min="6656" max="6656" width="12.7109375" style="98" customWidth="1"/>
    <col min="6657" max="6657" width="1" style="98" customWidth="1"/>
    <col min="6658" max="6658" width="12.7109375" style="98" customWidth="1"/>
    <col min="6659" max="6902" width="9.140625" style="98"/>
    <col min="6903" max="6903" width="9" style="98" customWidth="1"/>
    <col min="6904" max="6904" width="9.140625" style="98"/>
    <col min="6905" max="6905" width="9.7109375" style="98" customWidth="1"/>
    <col min="6906" max="6906" width="9" style="98" customWidth="1"/>
    <col min="6907" max="6907" width="10.7109375" style="98" customWidth="1"/>
    <col min="6908" max="6908" width="12.7109375" style="98" customWidth="1"/>
    <col min="6909" max="6909" width="1" style="98" customWidth="1"/>
    <col min="6910" max="6910" width="12.7109375" style="98" customWidth="1"/>
    <col min="6911" max="6911" width="1" style="98" customWidth="1"/>
    <col min="6912" max="6912" width="12.7109375" style="98" customWidth="1"/>
    <col min="6913" max="6913" width="1" style="98" customWidth="1"/>
    <col min="6914" max="6914" width="12.7109375" style="98" customWidth="1"/>
    <col min="6915" max="7158" width="9.140625" style="98"/>
    <col min="7159" max="7159" width="9" style="98" customWidth="1"/>
    <col min="7160" max="7160" width="9.140625" style="98"/>
    <col min="7161" max="7161" width="9.7109375" style="98" customWidth="1"/>
    <col min="7162" max="7162" width="9" style="98" customWidth="1"/>
    <col min="7163" max="7163" width="10.7109375" style="98" customWidth="1"/>
    <col min="7164" max="7164" width="12.7109375" style="98" customWidth="1"/>
    <col min="7165" max="7165" width="1" style="98" customWidth="1"/>
    <col min="7166" max="7166" width="12.7109375" style="98" customWidth="1"/>
    <col min="7167" max="7167" width="1" style="98" customWidth="1"/>
    <col min="7168" max="7168" width="12.7109375" style="98" customWidth="1"/>
    <col min="7169" max="7169" width="1" style="98" customWidth="1"/>
    <col min="7170" max="7170" width="12.7109375" style="98" customWidth="1"/>
    <col min="7171" max="7414" width="9.140625" style="98"/>
    <col min="7415" max="7415" width="9" style="98" customWidth="1"/>
    <col min="7416" max="7416" width="9.140625" style="98"/>
    <col min="7417" max="7417" width="9.7109375" style="98" customWidth="1"/>
    <col min="7418" max="7418" width="9" style="98" customWidth="1"/>
    <col min="7419" max="7419" width="10.7109375" style="98" customWidth="1"/>
    <col min="7420" max="7420" width="12.7109375" style="98" customWidth="1"/>
    <col min="7421" max="7421" width="1" style="98" customWidth="1"/>
    <col min="7422" max="7422" width="12.7109375" style="98" customWidth="1"/>
    <col min="7423" max="7423" width="1" style="98" customWidth="1"/>
    <col min="7424" max="7424" width="12.7109375" style="98" customWidth="1"/>
    <col min="7425" max="7425" width="1" style="98" customWidth="1"/>
    <col min="7426" max="7426" width="12.7109375" style="98" customWidth="1"/>
    <col min="7427" max="7670" width="9.140625" style="98"/>
    <col min="7671" max="7671" width="9" style="98" customWidth="1"/>
    <col min="7672" max="7672" width="9.140625" style="98"/>
    <col min="7673" max="7673" width="9.7109375" style="98" customWidth="1"/>
    <col min="7674" max="7674" width="9" style="98" customWidth="1"/>
    <col min="7675" max="7675" width="10.7109375" style="98" customWidth="1"/>
    <col min="7676" max="7676" width="12.7109375" style="98" customWidth="1"/>
    <col min="7677" max="7677" width="1" style="98" customWidth="1"/>
    <col min="7678" max="7678" width="12.7109375" style="98" customWidth="1"/>
    <col min="7679" max="7679" width="1" style="98" customWidth="1"/>
    <col min="7680" max="7680" width="12.7109375" style="98" customWidth="1"/>
    <col min="7681" max="7681" width="1" style="98" customWidth="1"/>
    <col min="7682" max="7682" width="12.7109375" style="98" customWidth="1"/>
    <col min="7683" max="7926" width="9.140625" style="98"/>
    <col min="7927" max="7927" width="9" style="98" customWidth="1"/>
    <col min="7928" max="7928" width="9.140625" style="98"/>
    <col min="7929" max="7929" width="9.7109375" style="98" customWidth="1"/>
    <col min="7930" max="7930" width="9" style="98" customWidth="1"/>
    <col min="7931" max="7931" width="10.7109375" style="98" customWidth="1"/>
    <col min="7932" max="7932" width="12.7109375" style="98" customWidth="1"/>
    <col min="7933" max="7933" width="1" style="98" customWidth="1"/>
    <col min="7934" max="7934" width="12.7109375" style="98" customWidth="1"/>
    <col min="7935" max="7935" width="1" style="98" customWidth="1"/>
    <col min="7936" max="7936" width="12.7109375" style="98" customWidth="1"/>
    <col min="7937" max="7937" width="1" style="98" customWidth="1"/>
    <col min="7938" max="7938" width="12.7109375" style="98" customWidth="1"/>
    <col min="7939" max="8182" width="9.140625" style="98"/>
    <col min="8183" max="8183" width="9" style="98" customWidth="1"/>
    <col min="8184" max="8184" width="9.140625" style="98"/>
    <col min="8185" max="8185" width="9.7109375" style="98" customWidth="1"/>
    <col min="8186" max="8186" width="9" style="98" customWidth="1"/>
    <col min="8187" max="8187" width="10.7109375" style="98" customWidth="1"/>
    <col min="8188" max="8188" width="12.7109375" style="98" customWidth="1"/>
    <col min="8189" max="8189" width="1" style="98" customWidth="1"/>
    <col min="8190" max="8190" width="12.7109375" style="98" customWidth="1"/>
    <col min="8191" max="8191" width="1" style="98" customWidth="1"/>
    <col min="8192" max="8192" width="12.7109375" style="98" customWidth="1"/>
    <col min="8193" max="8193" width="1" style="98" customWidth="1"/>
    <col min="8194" max="8194" width="12.7109375" style="98" customWidth="1"/>
    <col min="8195" max="8438" width="9.140625" style="98"/>
    <col min="8439" max="8439" width="9" style="98" customWidth="1"/>
    <col min="8440" max="8440" width="9.140625" style="98"/>
    <col min="8441" max="8441" width="9.7109375" style="98" customWidth="1"/>
    <col min="8442" max="8442" width="9" style="98" customWidth="1"/>
    <col min="8443" max="8443" width="10.7109375" style="98" customWidth="1"/>
    <col min="8444" max="8444" width="12.7109375" style="98" customWidth="1"/>
    <col min="8445" max="8445" width="1" style="98" customWidth="1"/>
    <col min="8446" max="8446" width="12.7109375" style="98" customWidth="1"/>
    <col min="8447" max="8447" width="1" style="98" customWidth="1"/>
    <col min="8448" max="8448" width="12.7109375" style="98" customWidth="1"/>
    <col min="8449" max="8449" width="1" style="98" customWidth="1"/>
    <col min="8450" max="8450" width="12.7109375" style="98" customWidth="1"/>
    <col min="8451" max="8694" width="9.140625" style="98"/>
    <col min="8695" max="8695" width="9" style="98" customWidth="1"/>
    <col min="8696" max="8696" width="9.140625" style="98"/>
    <col min="8697" max="8697" width="9.7109375" style="98" customWidth="1"/>
    <col min="8698" max="8698" width="9" style="98" customWidth="1"/>
    <col min="8699" max="8699" width="10.7109375" style="98" customWidth="1"/>
    <col min="8700" max="8700" width="12.7109375" style="98" customWidth="1"/>
    <col min="8701" max="8701" width="1" style="98" customWidth="1"/>
    <col min="8702" max="8702" width="12.7109375" style="98" customWidth="1"/>
    <col min="8703" max="8703" width="1" style="98" customWidth="1"/>
    <col min="8704" max="8704" width="12.7109375" style="98" customWidth="1"/>
    <col min="8705" max="8705" width="1" style="98" customWidth="1"/>
    <col min="8706" max="8706" width="12.7109375" style="98" customWidth="1"/>
    <col min="8707" max="8950" width="9.140625" style="98"/>
    <col min="8951" max="8951" width="9" style="98" customWidth="1"/>
    <col min="8952" max="8952" width="9.140625" style="98"/>
    <col min="8953" max="8953" width="9.7109375" style="98" customWidth="1"/>
    <col min="8954" max="8954" width="9" style="98" customWidth="1"/>
    <col min="8955" max="8955" width="10.7109375" style="98" customWidth="1"/>
    <col min="8956" max="8956" width="12.7109375" style="98" customWidth="1"/>
    <col min="8957" max="8957" width="1" style="98" customWidth="1"/>
    <col min="8958" max="8958" width="12.7109375" style="98" customWidth="1"/>
    <col min="8959" max="8959" width="1" style="98" customWidth="1"/>
    <col min="8960" max="8960" width="12.7109375" style="98" customWidth="1"/>
    <col min="8961" max="8961" width="1" style="98" customWidth="1"/>
    <col min="8962" max="8962" width="12.7109375" style="98" customWidth="1"/>
    <col min="8963" max="9206" width="9.140625" style="98"/>
    <col min="9207" max="9207" width="9" style="98" customWidth="1"/>
    <col min="9208" max="9208" width="9.140625" style="98"/>
    <col min="9209" max="9209" width="9.7109375" style="98" customWidth="1"/>
    <col min="9210" max="9210" width="9" style="98" customWidth="1"/>
    <col min="9211" max="9211" width="10.7109375" style="98" customWidth="1"/>
    <col min="9212" max="9212" width="12.7109375" style="98" customWidth="1"/>
    <col min="9213" max="9213" width="1" style="98" customWidth="1"/>
    <col min="9214" max="9214" width="12.7109375" style="98" customWidth="1"/>
    <col min="9215" max="9215" width="1" style="98" customWidth="1"/>
    <col min="9216" max="9216" width="12.7109375" style="98" customWidth="1"/>
    <col min="9217" max="9217" width="1" style="98" customWidth="1"/>
    <col min="9218" max="9218" width="12.7109375" style="98" customWidth="1"/>
    <col min="9219" max="9462" width="9.140625" style="98"/>
    <col min="9463" max="9463" width="9" style="98" customWidth="1"/>
    <col min="9464" max="9464" width="9.140625" style="98"/>
    <col min="9465" max="9465" width="9.7109375" style="98" customWidth="1"/>
    <col min="9466" max="9466" width="9" style="98" customWidth="1"/>
    <col min="9467" max="9467" width="10.7109375" style="98" customWidth="1"/>
    <col min="9468" max="9468" width="12.7109375" style="98" customWidth="1"/>
    <col min="9469" max="9469" width="1" style="98" customWidth="1"/>
    <col min="9470" max="9470" width="12.7109375" style="98" customWidth="1"/>
    <col min="9471" max="9471" width="1" style="98" customWidth="1"/>
    <col min="9472" max="9472" width="12.7109375" style="98" customWidth="1"/>
    <col min="9473" max="9473" width="1" style="98" customWidth="1"/>
    <col min="9474" max="9474" width="12.7109375" style="98" customWidth="1"/>
    <col min="9475" max="9718" width="9.140625" style="98"/>
    <col min="9719" max="9719" width="9" style="98" customWidth="1"/>
    <col min="9720" max="9720" width="9.140625" style="98"/>
    <col min="9721" max="9721" width="9.7109375" style="98" customWidth="1"/>
    <col min="9722" max="9722" width="9" style="98" customWidth="1"/>
    <col min="9723" max="9723" width="10.7109375" style="98" customWidth="1"/>
    <col min="9724" max="9724" width="12.7109375" style="98" customWidth="1"/>
    <col min="9725" max="9725" width="1" style="98" customWidth="1"/>
    <col min="9726" max="9726" width="12.7109375" style="98" customWidth="1"/>
    <col min="9727" max="9727" width="1" style="98" customWidth="1"/>
    <col min="9728" max="9728" width="12.7109375" style="98" customWidth="1"/>
    <col min="9729" max="9729" width="1" style="98" customWidth="1"/>
    <col min="9730" max="9730" width="12.7109375" style="98" customWidth="1"/>
    <col min="9731" max="9974" width="9.140625" style="98"/>
    <col min="9975" max="9975" width="9" style="98" customWidth="1"/>
    <col min="9976" max="9976" width="9.140625" style="98"/>
    <col min="9977" max="9977" width="9.7109375" style="98" customWidth="1"/>
    <col min="9978" max="9978" width="9" style="98" customWidth="1"/>
    <col min="9979" max="9979" width="10.7109375" style="98" customWidth="1"/>
    <col min="9980" max="9980" width="12.7109375" style="98" customWidth="1"/>
    <col min="9981" max="9981" width="1" style="98" customWidth="1"/>
    <col min="9982" max="9982" width="12.7109375" style="98" customWidth="1"/>
    <col min="9983" max="9983" width="1" style="98" customWidth="1"/>
    <col min="9984" max="9984" width="12.7109375" style="98" customWidth="1"/>
    <col min="9985" max="9985" width="1" style="98" customWidth="1"/>
    <col min="9986" max="9986" width="12.7109375" style="98" customWidth="1"/>
    <col min="9987" max="10230" width="9.140625" style="98"/>
    <col min="10231" max="10231" width="9" style="98" customWidth="1"/>
    <col min="10232" max="10232" width="9.140625" style="98"/>
    <col min="10233" max="10233" width="9.7109375" style="98" customWidth="1"/>
    <col min="10234" max="10234" width="9" style="98" customWidth="1"/>
    <col min="10235" max="10235" width="10.7109375" style="98" customWidth="1"/>
    <col min="10236" max="10236" width="12.7109375" style="98" customWidth="1"/>
    <col min="10237" max="10237" width="1" style="98" customWidth="1"/>
    <col min="10238" max="10238" width="12.7109375" style="98" customWidth="1"/>
    <col min="10239" max="10239" width="1" style="98" customWidth="1"/>
    <col min="10240" max="10240" width="12.7109375" style="98" customWidth="1"/>
    <col min="10241" max="10241" width="1" style="98" customWidth="1"/>
    <col min="10242" max="10242" width="12.7109375" style="98" customWidth="1"/>
    <col min="10243" max="10486" width="9.140625" style="98"/>
    <col min="10487" max="10487" width="9" style="98" customWidth="1"/>
    <col min="10488" max="10488" width="9.140625" style="98"/>
    <col min="10489" max="10489" width="9.7109375" style="98" customWidth="1"/>
    <col min="10490" max="10490" width="9" style="98" customWidth="1"/>
    <col min="10491" max="10491" width="10.7109375" style="98" customWidth="1"/>
    <col min="10492" max="10492" width="12.7109375" style="98" customWidth="1"/>
    <col min="10493" max="10493" width="1" style="98" customWidth="1"/>
    <col min="10494" max="10494" width="12.7109375" style="98" customWidth="1"/>
    <col min="10495" max="10495" width="1" style="98" customWidth="1"/>
    <col min="10496" max="10496" width="12.7109375" style="98" customWidth="1"/>
    <col min="10497" max="10497" width="1" style="98" customWidth="1"/>
    <col min="10498" max="10498" width="12.7109375" style="98" customWidth="1"/>
    <col min="10499" max="10742" width="9.140625" style="98"/>
    <col min="10743" max="10743" width="9" style="98" customWidth="1"/>
    <col min="10744" max="10744" width="9.140625" style="98"/>
    <col min="10745" max="10745" width="9.7109375" style="98" customWidth="1"/>
    <col min="10746" max="10746" width="9" style="98" customWidth="1"/>
    <col min="10747" max="10747" width="10.7109375" style="98" customWidth="1"/>
    <col min="10748" max="10748" width="12.7109375" style="98" customWidth="1"/>
    <col min="10749" max="10749" width="1" style="98" customWidth="1"/>
    <col min="10750" max="10750" width="12.7109375" style="98" customWidth="1"/>
    <col min="10751" max="10751" width="1" style="98" customWidth="1"/>
    <col min="10752" max="10752" width="12.7109375" style="98" customWidth="1"/>
    <col min="10753" max="10753" width="1" style="98" customWidth="1"/>
    <col min="10754" max="10754" width="12.7109375" style="98" customWidth="1"/>
    <col min="10755" max="10998" width="9.140625" style="98"/>
    <col min="10999" max="10999" width="9" style="98" customWidth="1"/>
    <col min="11000" max="11000" width="9.140625" style="98"/>
    <col min="11001" max="11001" width="9.7109375" style="98" customWidth="1"/>
    <col min="11002" max="11002" width="9" style="98" customWidth="1"/>
    <col min="11003" max="11003" width="10.7109375" style="98" customWidth="1"/>
    <col min="11004" max="11004" width="12.7109375" style="98" customWidth="1"/>
    <col min="11005" max="11005" width="1" style="98" customWidth="1"/>
    <col min="11006" max="11006" width="12.7109375" style="98" customWidth="1"/>
    <col min="11007" max="11007" width="1" style="98" customWidth="1"/>
    <col min="11008" max="11008" width="12.7109375" style="98" customWidth="1"/>
    <col min="11009" max="11009" width="1" style="98" customWidth="1"/>
    <col min="11010" max="11010" width="12.7109375" style="98" customWidth="1"/>
    <col min="11011" max="11254" width="9.140625" style="98"/>
    <col min="11255" max="11255" width="9" style="98" customWidth="1"/>
    <col min="11256" max="11256" width="9.140625" style="98"/>
    <col min="11257" max="11257" width="9.7109375" style="98" customWidth="1"/>
    <col min="11258" max="11258" width="9" style="98" customWidth="1"/>
    <col min="11259" max="11259" width="10.7109375" style="98" customWidth="1"/>
    <col min="11260" max="11260" width="12.7109375" style="98" customWidth="1"/>
    <col min="11261" max="11261" width="1" style="98" customWidth="1"/>
    <col min="11262" max="11262" width="12.7109375" style="98" customWidth="1"/>
    <col min="11263" max="11263" width="1" style="98" customWidth="1"/>
    <col min="11264" max="11264" width="12.7109375" style="98" customWidth="1"/>
    <col min="11265" max="11265" width="1" style="98" customWidth="1"/>
    <col min="11266" max="11266" width="12.7109375" style="98" customWidth="1"/>
    <col min="11267" max="11510" width="9.140625" style="98"/>
    <col min="11511" max="11511" width="9" style="98" customWidth="1"/>
    <col min="11512" max="11512" width="9.140625" style="98"/>
    <col min="11513" max="11513" width="9.7109375" style="98" customWidth="1"/>
    <col min="11514" max="11514" width="9" style="98" customWidth="1"/>
    <col min="11515" max="11515" width="10.7109375" style="98" customWidth="1"/>
    <col min="11516" max="11516" width="12.7109375" style="98" customWidth="1"/>
    <col min="11517" max="11517" width="1" style="98" customWidth="1"/>
    <col min="11518" max="11518" width="12.7109375" style="98" customWidth="1"/>
    <col min="11519" max="11519" width="1" style="98" customWidth="1"/>
    <col min="11520" max="11520" width="12.7109375" style="98" customWidth="1"/>
    <col min="11521" max="11521" width="1" style="98" customWidth="1"/>
    <col min="11522" max="11522" width="12.7109375" style="98" customWidth="1"/>
    <col min="11523" max="11766" width="9.140625" style="98"/>
    <col min="11767" max="11767" width="9" style="98" customWidth="1"/>
    <col min="11768" max="11768" width="9.140625" style="98"/>
    <col min="11769" max="11769" width="9.7109375" style="98" customWidth="1"/>
    <col min="11770" max="11770" width="9" style="98" customWidth="1"/>
    <col min="11771" max="11771" width="10.7109375" style="98" customWidth="1"/>
    <col min="11772" max="11772" width="12.7109375" style="98" customWidth="1"/>
    <col min="11773" max="11773" width="1" style="98" customWidth="1"/>
    <col min="11774" max="11774" width="12.7109375" style="98" customWidth="1"/>
    <col min="11775" max="11775" width="1" style="98" customWidth="1"/>
    <col min="11776" max="11776" width="12.7109375" style="98" customWidth="1"/>
    <col min="11777" max="11777" width="1" style="98" customWidth="1"/>
    <col min="11778" max="11778" width="12.7109375" style="98" customWidth="1"/>
    <col min="11779" max="12022" width="9.140625" style="98"/>
    <col min="12023" max="12023" width="9" style="98" customWidth="1"/>
    <col min="12024" max="12024" width="9.140625" style="98"/>
    <col min="12025" max="12025" width="9.7109375" style="98" customWidth="1"/>
    <col min="12026" max="12026" width="9" style="98" customWidth="1"/>
    <col min="12027" max="12027" width="10.7109375" style="98" customWidth="1"/>
    <col min="12028" max="12028" width="12.7109375" style="98" customWidth="1"/>
    <col min="12029" max="12029" width="1" style="98" customWidth="1"/>
    <col min="12030" max="12030" width="12.7109375" style="98" customWidth="1"/>
    <col min="12031" max="12031" width="1" style="98" customWidth="1"/>
    <col min="12032" max="12032" width="12.7109375" style="98" customWidth="1"/>
    <col min="12033" max="12033" width="1" style="98" customWidth="1"/>
    <col min="12034" max="12034" width="12.7109375" style="98" customWidth="1"/>
    <col min="12035" max="12278" width="9.140625" style="98"/>
    <col min="12279" max="12279" width="9" style="98" customWidth="1"/>
    <col min="12280" max="12280" width="9.140625" style="98"/>
    <col min="12281" max="12281" width="9.7109375" style="98" customWidth="1"/>
    <col min="12282" max="12282" width="9" style="98" customWidth="1"/>
    <col min="12283" max="12283" width="10.7109375" style="98" customWidth="1"/>
    <col min="12284" max="12284" width="12.7109375" style="98" customWidth="1"/>
    <col min="12285" max="12285" width="1" style="98" customWidth="1"/>
    <col min="12286" max="12286" width="12.7109375" style="98" customWidth="1"/>
    <col min="12287" max="12287" width="1" style="98" customWidth="1"/>
    <col min="12288" max="12288" width="12.7109375" style="98" customWidth="1"/>
    <col min="12289" max="12289" width="1" style="98" customWidth="1"/>
    <col min="12290" max="12290" width="12.7109375" style="98" customWidth="1"/>
    <col min="12291" max="12534" width="9.140625" style="98"/>
    <col min="12535" max="12535" width="9" style="98" customWidth="1"/>
    <col min="12536" max="12536" width="9.140625" style="98"/>
    <col min="12537" max="12537" width="9.7109375" style="98" customWidth="1"/>
    <col min="12538" max="12538" width="9" style="98" customWidth="1"/>
    <col min="12539" max="12539" width="10.7109375" style="98" customWidth="1"/>
    <col min="12540" max="12540" width="12.7109375" style="98" customWidth="1"/>
    <col min="12541" max="12541" width="1" style="98" customWidth="1"/>
    <col min="12542" max="12542" width="12.7109375" style="98" customWidth="1"/>
    <col min="12543" max="12543" width="1" style="98" customWidth="1"/>
    <col min="12544" max="12544" width="12.7109375" style="98" customWidth="1"/>
    <col min="12545" max="12545" width="1" style="98" customWidth="1"/>
    <col min="12546" max="12546" width="12.7109375" style="98" customWidth="1"/>
    <col min="12547" max="12790" width="9.140625" style="98"/>
    <col min="12791" max="12791" width="9" style="98" customWidth="1"/>
    <col min="12792" max="12792" width="9.140625" style="98"/>
    <col min="12793" max="12793" width="9.7109375" style="98" customWidth="1"/>
    <col min="12794" max="12794" width="9" style="98" customWidth="1"/>
    <col min="12795" max="12795" width="10.7109375" style="98" customWidth="1"/>
    <col min="12796" max="12796" width="12.7109375" style="98" customWidth="1"/>
    <col min="12797" max="12797" width="1" style="98" customWidth="1"/>
    <col min="12798" max="12798" width="12.7109375" style="98" customWidth="1"/>
    <col min="12799" max="12799" width="1" style="98" customWidth="1"/>
    <col min="12800" max="12800" width="12.7109375" style="98" customWidth="1"/>
    <col min="12801" max="12801" width="1" style="98" customWidth="1"/>
    <col min="12802" max="12802" width="12.7109375" style="98" customWidth="1"/>
    <col min="12803" max="13046" width="9.140625" style="98"/>
    <col min="13047" max="13047" width="9" style="98" customWidth="1"/>
    <col min="13048" max="13048" width="9.140625" style="98"/>
    <col min="13049" max="13049" width="9.7109375" style="98" customWidth="1"/>
    <col min="13050" max="13050" width="9" style="98" customWidth="1"/>
    <col min="13051" max="13051" width="10.7109375" style="98" customWidth="1"/>
    <col min="13052" max="13052" width="12.7109375" style="98" customWidth="1"/>
    <col min="13053" max="13053" width="1" style="98" customWidth="1"/>
    <col min="13054" max="13054" width="12.7109375" style="98" customWidth="1"/>
    <col min="13055" max="13055" width="1" style="98" customWidth="1"/>
    <col min="13056" max="13056" width="12.7109375" style="98" customWidth="1"/>
    <col min="13057" max="13057" width="1" style="98" customWidth="1"/>
    <col min="13058" max="13058" width="12.7109375" style="98" customWidth="1"/>
    <col min="13059" max="13302" width="9.140625" style="98"/>
    <col min="13303" max="13303" width="9" style="98" customWidth="1"/>
    <col min="13304" max="13304" width="9.140625" style="98"/>
    <col min="13305" max="13305" width="9.7109375" style="98" customWidth="1"/>
    <col min="13306" max="13306" width="9" style="98" customWidth="1"/>
    <col min="13307" max="13307" width="10.7109375" style="98" customWidth="1"/>
    <col min="13308" max="13308" width="12.7109375" style="98" customWidth="1"/>
    <col min="13309" max="13309" width="1" style="98" customWidth="1"/>
    <col min="13310" max="13310" width="12.7109375" style="98" customWidth="1"/>
    <col min="13311" max="13311" width="1" style="98" customWidth="1"/>
    <col min="13312" max="13312" width="12.7109375" style="98" customWidth="1"/>
    <col min="13313" max="13313" width="1" style="98" customWidth="1"/>
    <col min="13314" max="13314" width="12.7109375" style="98" customWidth="1"/>
    <col min="13315" max="13558" width="9.140625" style="98"/>
    <col min="13559" max="13559" width="9" style="98" customWidth="1"/>
    <col min="13560" max="13560" width="9.140625" style="98"/>
    <col min="13561" max="13561" width="9.7109375" style="98" customWidth="1"/>
    <col min="13562" max="13562" width="9" style="98" customWidth="1"/>
    <col min="13563" max="13563" width="10.7109375" style="98" customWidth="1"/>
    <col min="13564" max="13564" width="12.7109375" style="98" customWidth="1"/>
    <col min="13565" max="13565" width="1" style="98" customWidth="1"/>
    <col min="13566" max="13566" width="12.7109375" style="98" customWidth="1"/>
    <col min="13567" max="13567" width="1" style="98" customWidth="1"/>
    <col min="13568" max="13568" width="12.7109375" style="98" customWidth="1"/>
    <col min="13569" max="13569" width="1" style="98" customWidth="1"/>
    <col min="13570" max="13570" width="12.7109375" style="98" customWidth="1"/>
    <col min="13571" max="13814" width="9.140625" style="98"/>
    <col min="13815" max="13815" width="9" style="98" customWidth="1"/>
    <col min="13816" max="13816" width="9.140625" style="98"/>
    <col min="13817" max="13817" width="9.7109375" style="98" customWidth="1"/>
    <col min="13818" max="13818" width="9" style="98" customWidth="1"/>
    <col min="13819" max="13819" width="10.7109375" style="98" customWidth="1"/>
    <col min="13820" max="13820" width="12.7109375" style="98" customWidth="1"/>
    <col min="13821" max="13821" width="1" style="98" customWidth="1"/>
    <col min="13822" max="13822" width="12.7109375" style="98" customWidth="1"/>
    <col min="13823" max="13823" width="1" style="98" customWidth="1"/>
    <col min="13824" max="13824" width="12.7109375" style="98" customWidth="1"/>
    <col min="13825" max="13825" width="1" style="98" customWidth="1"/>
    <col min="13826" max="13826" width="12.7109375" style="98" customWidth="1"/>
    <col min="13827" max="14070" width="9.140625" style="98"/>
    <col min="14071" max="14071" width="9" style="98" customWidth="1"/>
    <col min="14072" max="14072" width="9.140625" style="98"/>
    <col min="14073" max="14073" width="9.7109375" style="98" customWidth="1"/>
    <col min="14074" max="14074" width="9" style="98" customWidth="1"/>
    <col min="14075" max="14075" width="10.7109375" style="98" customWidth="1"/>
    <col min="14076" max="14076" width="12.7109375" style="98" customWidth="1"/>
    <col min="14077" max="14077" width="1" style="98" customWidth="1"/>
    <col min="14078" max="14078" width="12.7109375" style="98" customWidth="1"/>
    <col min="14079" max="14079" width="1" style="98" customWidth="1"/>
    <col min="14080" max="14080" width="12.7109375" style="98" customWidth="1"/>
    <col min="14081" max="14081" width="1" style="98" customWidth="1"/>
    <col min="14082" max="14082" width="12.7109375" style="98" customWidth="1"/>
    <col min="14083" max="14326" width="9.140625" style="98"/>
    <col min="14327" max="14327" width="9" style="98" customWidth="1"/>
    <col min="14328" max="14328" width="9.140625" style="98"/>
    <col min="14329" max="14329" width="9.7109375" style="98" customWidth="1"/>
    <col min="14330" max="14330" width="9" style="98" customWidth="1"/>
    <col min="14331" max="14331" width="10.7109375" style="98" customWidth="1"/>
    <col min="14332" max="14332" width="12.7109375" style="98" customWidth="1"/>
    <col min="14333" max="14333" width="1" style="98" customWidth="1"/>
    <col min="14334" max="14334" width="12.7109375" style="98" customWidth="1"/>
    <col min="14335" max="14335" width="1" style="98" customWidth="1"/>
    <col min="14336" max="14336" width="12.7109375" style="98" customWidth="1"/>
    <col min="14337" max="14337" width="1" style="98" customWidth="1"/>
    <col min="14338" max="14338" width="12.7109375" style="98" customWidth="1"/>
    <col min="14339" max="14582" width="9.140625" style="98"/>
    <col min="14583" max="14583" width="9" style="98" customWidth="1"/>
    <col min="14584" max="14584" width="9.140625" style="98"/>
    <col min="14585" max="14585" width="9.7109375" style="98" customWidth="1"/>
    <col min="14586" max="14586" width="9" style="98" customWidth="1"/>
    <col min="14587" max="14587" width="10.7109375" style="98" customWidth="1"/>
    <col min="14588" max="14588" width="12.7109375" style="98" customWidth="1"/>
    <col min="14589" max="14589" width="1" style="98" customWidth="1"/>
    <col min="14590" max="14590" width="12.7109375" style="98" customWidth="1"/>
    <col min="14591" max="14591" width="1" style="98" customWidth="1"/>
    <col min="14592" max="14592" width="12.7109375" style="98" customWidth="1"/>
    <col min="14593" max="14593" width="1" style="98" customWidth="1"/>
    <col min="14594" max="14594" width="12.7109375" style="98" customWidth="1"/>
    <col min="14595" max="14838" width="9.140625" style="98"/>
    <col min="14839" max="14839" width="9" style="98" customWidth="1"/>
    <col min="14840" max="14840" width="9.140625" style="98"/>
    <col min="14841" max="14841" width="9.7109375" style="98" customWidth="1"/>
    <col min="14842" max="14842" width="9" style="98" customWidth="1"/>
    <col min="14843" max="14843" width="10.7109375" style="98" customWidth="1"/>
    <col min="14844" max="14844" width="12.7109375" style="98" customWidth="1"/>
    <col min="14845" max="14845" width="1" style="98" customWidth="1"/>
    <col min="14846" max="14846" width="12.7109375" style="98" customWidth="1"/>
    <col min="14847" max="14847" width="1" style="98" customWidth="1"/>
    <col min="14848" max="14848" width="12.7109375" style="98" customWidth="1"/>
    <col min="14849" max="14849" width="1" style="98" customWidth="1"/>
    <col min="14850" max="14850" width="12.7109375" style="98" customWidth="1"/>
    <col min="14851" max="15094" width="9.140625" style="98"/>
    <col min="15095" max="15095" width="9" style="98" customWidth="1"/>
    <col min="15096" max="15096" width="9.140625" style="98"/>
    <col min="15097" max="15097" width="9.7109375" style="98" customWidth="1"/>
    <col min="15098" max="15098" width="9" style="98" customWidth="1"/>
    <col min="15099" max="15099" width="10.7109375" style="98" customWidth="1"/>
    <col min="15100" max="15100" width="12.7109375" style="98" customWidth="1"/>
    <col min="15101" max="15101" width="1" style="98" customWidth="1"/>
    <col min="15102" max="15102" width="12.7109375" style="98" customWidth="1"/>
    <col min="15103" max="15103" width="1" style="98" customWidth="1"/>
    <col min="15104" max="15104" width="12.7109375" style="98" customWidth="1"/>
    <col min="15105" max="15105" width="1" style="98" customWidth="1"/>
    <col min="15106" max="15106" width="12.7109375" style="98" customWidth="1"/>
    <col min="15107" max="15350" width="9.140625" style="98"/>
    <col min="15351" max="15351" width="9" style="98" customWidth="1"/>
    <col min="15352" max="15352" width="9.140625" style="98"/>
    <col min="15353" max="15353" width="9.7109375" style="98" customWidth="1"/>
    <col min="15354" max="15354" width="9" style="98" customWidth="1"/>
    <col min="15355" max="15355" width="10.7109375" style="98" customWidth="1"/>
    <col min="15356" max="15356" width="12.7109375" style="98" customWidth="1"/>
    <col min="15357" max="15357" width="1" style="98" customWidth="1"/>
    <col min="15358" max="15358" width="12.7109375" style="98" customWidth="1"/>
    <col min="15359" max="15359" width="1" style="98" customWidth="1"/>
    <col min="15360" max="15360" width="12.7109375" style="98" customWidth="1"/>
    <col min="15361" max="15361" width="1" style="98" customWidth="1"/>
    <col min="15362" max="15362" width="12.7109375" style="98" customWidth="1"/>
    <col min="15363" max="15606" width="9.140625" style="98"/>
    <col min="15607" max="15607" width="9" style="98" customWidth="1"/>
    <col min="15608" max="15608" width="9.140625" style="98"/>
    <col min="15609" max="15609" width="9.7109375" style="98" customWidth="1"/>
    <col min="15610" max="15610" width="9" style="98" customWidth="1"/>
    <col min="15611" max="15611" width="10.7109375" style="98" customWidth="1"/>
    <col min="15612" max="15612" width="12.7109375" style="98" customWidth="1"/>
    <col min="15613" max="15613" width="1" style="98" customWidth="1"/>
    <col min="15614" max="15614" width="12.7109375" style="98" customWidth="1"/>
    <col min="15615" max="15615" width="1" style="98" customWidth="1"/>
    <col min="15616" max="15616" width="12.7109375" style="98" customWidth="1"/>
    <col min="15617" max="15617" width="1" style="98" customWidth="1"/>
    <col min="15618" max="15618" width="12.7109375" style="98" customWidth="1"/>
    <col min="15619" max="15862" width="9.140625" style="98"/>
    <col min="15863" max="15863" width="9" style="98" customWidth="1"/>
    <col min="15864" max="15864" width="9.140625" style="98"/>
    <col min="15865" max="15865" width="9.7109375" style="98" customWidth="1"/>
    <col min="15866" max="15866" width="9" style="98" customWidth="1"/>
    <col min="15867" max="15867" width="10.7109375" style="98" customWidth="1"/>
    <col min="15868" max="15868" width="12.7109375" style="98" customWidth="1"/>
    <col min="15869" max="15869" width="1" style="98" customWidth="1"/>
    <col min="15870" max="15870" width="12.7109375" style="98" customWidth="1"/>
    <col min="15871" max="15871" width="1" style="98" customWidth="1"/>
    <col min="15872" max="15872" width="12.7109375" style="98" customWidth="1"/>
    <col min="15873" max="15873" width="1" style="98" customWidth="1"/>
    <col min="15874" max="15874" width="12.7109375" style="98" customWidth="1"/>
    <col min="15875" max="16118" width="9.140625" style="98"/>
    <col min="16119" max="16119" width="9" style="98" customWidth="1"/>
    <col min="16120" max="16120" width="9.140625" style="98"/>
    <col min="16121" max="16121" width="9.7109375" style="98" customWidth="1"/>
    <col min="16122" max="16122" width="9" style="98" customWidth="1"/>
    <col min="16123" max="16123" width="10.7109375" style="98" customWidth="1"/>
    <col min="16124" max="16124" width="12.7109375" style="98" customWidth="1"/>
    <col min="16125" max="16125" width="1" style="98" customWidth="1"/>
    <col min="16126" max="16126" width="12.7109375" style="98" customWidth="1"/>
    <col min="16127" max="16127" width="1" style="98" customWidth="1"/>
    <col min="16128" max="16128" width="12.7109375" style="98" customWidth="1"/>
    <col min="16129" max="16129" width="1" style="98" customWidth="1"/>
    <col min="16130" max="16130" width="12.7109375" style="98" customWidth="1"/>
    <col min="16131" max="16384" width="9.140625" style="98"/>
  </cols>
  <sheetData>
    <row r="1" spans="1:20" ht="13.5" thickBot="1">
      <c r="A1" s="5" t="s">
        <v>29</v>
      </c>
    </row>
    <row r="2" spans="1:20" s="94" customFormat="1" ht="28.5" customHeight="1" thickTop="1" thickBot="1">
      <c r="A2" s="91" t="s">
        <v>259</v>
      </c>
      <c r="B2" s="722" t="s">
        <v>1052</v>
      </c>
      <c r="C2" s="723"/>
      <c r="D2" s="92" t="s">
        <v>260</v>
      </c>
      <c r="E2" s="93" t="str">
        <f>[1]!Survey_Period</f>
        <v>H2 2006</v>
      </c>
      <c r="F2" s="308" t="s">
        <v>56</v>
      </c>
      <c r="G2" s="308" t="s">
        <v>84</v>
      </c>
      <c r="H2" s="308" t="s">
        <v>23</v>
      </c>
      <c r="I2" s="308" t="s">
        <v>24</v>
      </c>
      <c r="J2" s="308" t="s">
        <v>25</v>
      </c>
      <c r="K2" s="308" t="s">
        <v>7</v>
      </c>
      <c r="L2" s="308" t="s">
        <v>81</v>
      </c>
      <c r="M2" s="308" t="s">
        <v>8</v>
      </c>
      <c r="N2" s="308" t="s">
        <v>9</v>
      </c>
      <c r="O2" s="308" t="s">
        <v>12</v>
      </c>
      <c r="P2" s="308" t="s">
        <v>10</v>
      </c>
      <c r="Q2" s="308" t="s">
        <v>529</v>
      </c>
      <c r="R2" s="308" t="s">
        <v>530</v>
      </c>
      <c r="S2" s="309" t="s">
        <v>11</v>
      </c>
    </row>
    <row r="3" spans="1:20" ht="17.25" thickTop="1" thickBot="1">
      <c r="A3" s="95" t="s">
        <v>211</v>
      </c>
      <c r="B3" s="96"/>
      <c r="C3" s="96"/>
      <c r="D3" s="96"/>
      <c r="E3" s="96"/>
      <c r="F3" s="345">
        <v>3.8479099232786775</v>
      </c>
      <c r="G3" s="346" t="s">
        <v>531</v>
      </c>
      <c r="H3" s="346" t="s">
        <v>531</v>
      </c>
      <c r="I3" s="346" t="s">
        <v>531</v>
      </c>
      <c r="J3" s="345">
        <v>4.4365079365079367</v>
      </c>
      <c r="K3" s="346" t="s">
        <v>531</v>
      </c>
      <c r="L3" s="345">
        <v>3.8340388007054678</v>
      </c>
      <c r="M3" s="345">
        <v>3.8342679956973047</v>
      </c>
      <c r="N3" s="345">
        <v>3.7884278664341058</v>
      </c>
      <c r="O3" s="346" t="s">
        <v>531</v>
      </c>
      <c r="P3" s="345">
        <v>3.9482052080091292</v>
      </c>
      <c r="Q3" s="346" t="s">
        <v>531</v>
      </c>
      <c r="R3" s="345">
        <v>4.1575963718820859</v>
      </c>
      <c r="S3" s="347" t="s">
        <v>531</v>
      </c>
      <c r="T3" s="98" t="s">
        <v>531</v>
      </c>
    </row>
    <row r="4" spans="1:20">
      <c r="A4" s="621"/>
      <c r="B4" s="622"/>
      <c r="C4" s="622"/>
      <c r="D4" s="622"/>
      <c r="E4" s="623" t="s">
        <v>220</v>
      </c>
      <c r="F4" s="624">
        <v>3.8806510937490661</v>
      </c>
      <c r="G4" s="624">
        <v>4.1269841269841274</v>
      </c>
      <c r="H4" s="624">
        <v>3.6403061224489797</v>
      </c>
      <c r="I4" s="624">
        <v>3.8174603174603172</v>
      </c>
      <c r="J4" s="624">
        <v>4.4285714285714288</v>
      </c>
      <c r="K4" s="624">
        <v>3.8061224489795924</v>
      </c>
      <c r="L4" s="624">
        <v>3.9285714285714284</v>
      </c>
      <c r="M4" s="624">
        <v>3.8128261831048209</v>
      </c>
      <c r="N4" s="624">
        <v>3.8063492063492066</v>
      </c>
      <c r="O4" s="624" t="s">
        <v>531</v>
      </c>
      <c r="P4" s="624">
        <v>4.0079365079365079</v>
      </c>
      <c r="Q4" s="624">
        <v>4.1428571428571432</v>
      </c>
      <c r="R4" s="624">
        <v>4.1632653061224483</v>
      </c>
      <c r="S4" s="625">
        <v>3.8253968253968256</v>
      </c>
      <c r="T4" s="98" t="s">
        <v>531</v>
      </c>
    </row>
    <row r="5" spans="1:20" ht="13.5" thickBot="1">
      <c r="A5" s="99"/>
      <c r="B5" s="100"/>
      <c r="C5" s="100"/>
      <c r="D5" s="100"/>
      <c r="E5" s="101" t="s">
        <v>299</v>
      </c>
      <c r="F5" s="183">
        <v>3.8806510937490661</v>
      </c>
      <c r="G5" s="183">
        <v>4.1269841269841274</v>
      </c>
      <c r="H5" s="183">
        <v>3.6403061224489797</v>
      </c>
      <c r="I5" s="183">
        <v>3.8174603174603172</v>
      </c>
      <c r="J5" s="183">
        <v>4.4285714285714288</v>
      </c>
      <c r="K5" s="183">
        <v>3.8061224489795924</v>
      </c>
      <c r="L5" s="183">
        <v>3.9285714285714284</v>
      </c>
      <c r="M5" s="183">
        <v>3.8128261831048209</v>
      </c>
      <c r="N5" s="183">
        <v>3.8063492063492066</v>
      </c>
      <c r="O5" s="183" t="s">
        <v>531</v>
      </c>
      <c r="P5" s="183">
        <v>4.0079365079365079</v>
      </c>
      <c r="Q5" s="183">
        <v>4.1428571428571432</v>
      </c>
      <c r="R5" s="183">
        <v>4.1632653061224483</v>
      </c>
      <c r="S5" s="241">
        <v>3.8253968253968256</v>
      </c>
      <c r="T5" s="98" t="s">
        <v>531</v>
      </c>
    </row>
    <row r="6" spans="1:20">
      <c r="A6" s="99"/>
      <c r="B6" s="622"/>
      <c r="C6" s="622"/>
      <c r="D6" s="622"/>
      <c r="E6" s="623" t="s">
        <v>225</v>
      </c>
      <c r="F6" s="626">
        <v>3.7011372841455752</v>
      </c>
      <c r="G6" s="626">
        <v>3.9833333333333338</v>
      </c>
      <c r="H6" s="626">
        <v>3.6220238095238089</v>
      </c>
      <c r="I6" s="626">
        <v>3.4375</v>
      </c>
      <c r="J6" s="626">
        <v>4.166666666666667</v>
      </c>
      <c r="K6" s="626">
        <v>3.5833333333333335</v>
      </c>
      <c r="L6" s="626">
        <v>3.7592592592592595</v>
      </c>
      <c r="M6" s="626">
        <v>3.5114063754156639</v>
      </c>
      <c r="N6" s="626">
        <v>3.6924338392432552</v>
      </c>
      <c r="O6" s="626" t="s">
        <v>531</v>
      </c>
      <c r="P6" s="626">
        <v>3.7652505446623086</v>
      </c>
      <c r="Q6" s="626">
        <v>3.3333333333333335</v>
      </c>
      <c r="R6" s="626">
        <v>4.0952380952380958</v>
      </c>
      <c r="S6" s="625">
        <v>3.75</v>
      </c>
      <c r="T6" s="98" t="s">
        <v>531</v>
      </c>
    </row>
    <row r="7" spans="1:20" ht="13.5" thickBot="1">
      <c r="A7" s="99"/>
      <c r="B7" s="100"/>
      <c r="C7" s="100"/>
      <c r="D7" s="100"/>
      <c r="E7" s="101" t="s">
        <v>299</v>
      </c>
      <c r="F7" s="104">
        <v>3.7011372841455752</v>
      </c>
      <c r="G7" s="104">
        <v>3.9833333333333338</v>
      </c>
      <c r="H7" s="104">
        <v>3.6220238095238089</v>
      </c>
      <c r="I7" s="104">
        <v>3.4375</v>
      </c>
      <c r="J7" s="104">
        <v>4.166666666666667</v>
      </c>
      <c r="K7" s="104">
        <v>3.5833333333333335</v>
      </c>
      <c r="L7" s="104">
        <v>3.7592592592592595</v>
      </c>
      <c r="M7" s="104">
        <v>3.5114063754156639</v>
      </c>
      <c r="N7" s="104">
        <v>3.6924338392432552</v>
      </c>
      <c r="O7" s="104" t="s">
        <v>531</v>
      </c>
      <c r="P7" s="104">
        <v>3.7652505446623086</v>
      </c>
      <c r="Q7" s="104">
        <v>3.3333333333333335</v>
      </c>
      <c r="R7" s="104">
        <v>4.0952380952380958</v>
      </c>
      <c r="S7" s="241">
        <v>3.75</v>
      </c>
      <c r="T7" s="98" t="s">
        <v>531</v>
      </c>
    </row>
    <row r="8" spans="1:20">
      <c r="A8" s="99"/>
      <c r="B8" s="622"/>
      <c r="C8" s="622"/>
      <c r="D8" s="622"/>
      <c r="E8" s="623" t="s">
        <v>230</v>
      </c>
      <c r="F8" s="624">
        <v>3.9619413919413913</v>
      </c>
      <c r="G8" s="624" t="s">
        <v>531</v>
      </c>
      <c r="H8" s="624" t="s">
        <v>531</v>
      </c>
      <c r="I8" s="624" t="s">
        <v>531</v>
      </c>
      <c r="J8" s="624">
        <v>4.7142857142857144</v>
      </c>
      <c r="K8" s="624" t="s">
        <v>531</v>
      </c>
      <c r="L8" s="624">
        <v>3.8142857142857145</v>
      </c>
      <c r="M8" s="624">
        <v>4.1785714285714288</v>
      </c>
      <c r="N8" s="624">
        <v>3.866500553709856</v>
      </c>
      <c r="O8" s="624" t="s">
        <v>531</v>
      </c>
      <c r="P8" s="624">
        <v>4.0714285714285721</v>
      </c>
      <c r="Q8" s="624" t="s">
        <v>531</v>
      </c>
      <c r="R8" s="624">
        <v>4.2142857142857144</v>
      </c>
      <c r="S8" s="625" t="s">
        <v>531</v>
      </c>
      <c r="T8" s="98" t="s">
        <v>531</v>
      </c>
    </row>
    <row r="9" spans="1:20" ht="13.5" thickBot="1">
      <c r="A9" s="106"/>
      <c r="B9" s="107"/>
      <c r="C9" s="107"/>
      <c r="D9" s="107"/>
      <c r="E9" s="108" t="s">
        <v>299</v>
      </c>
      <c r="F9" s="184">
        <v>3.9619413919413913</v>
      </c>
      <c r="G9" s="184" t="s">
        <v>531</v>
      </c>
      <c r="H9" s="184" t="s">
        <v>531</v>
      </c>
      <c r="I9" s="184" t="s">
        <v>531</v>
      </c>
      <c r="J9" s="184">
        <v>4.7142857142857144</v>
      </c>
      <c r="K9" s="184" t="s">
        <v>531</v>
      </c>
      <c r="L9" s="184">
        <v>3.8142857142857145</v>
      </c>
      <c r="M9" s="184">
        <v>4.1785714285714288</v>
      </c>
      <c r="N9" s="184">
        <v>3.866500553709856</v>
      </c>
      <c r="O9" s="184" t="s">
        <v>531</v>
      </c>
      <c r="P9" s="184">
        <v>4.0714285714285721</v>
      </c>
      <c r="Q9" s="184" t="s">
        <v>531</v>
      </c>
      <c r="R9" s="184">
        <v>4.2142857142857144</v>
      </c>
      <c r="S9" s="243" t="s">
        <v>531</v>
      </c>
      <c r="T9" s="98" t="s">
        <v>531</v>
      </c>
    </row>
    <row r="10" spans="1:20" ht="17.25" thickTop="1" thickBot="1">
      <c r="A10" s="111" t="s">
        <v>212</v>
      </c>
      <c r="B10" s="112"/>
      <c r="C10" s="112"/>
      <c r="D10" s="112"/>
      <c r="E10" s="112"/>
      <c r="F10" s="185">
        <v>4.4858405388775546</v>
      </c>
      <c r="G10" s="342" t="s">
        <v>531</v>
      </c>
      <c r="H10" s="185">
        <v>4.5</v>
      </c>
      <c r="I10" s="342" t="s">
        <v>531</v>
      </c>
      <c r="J10" s="185">
        <v>4.4733333333333327</v>
      </c>
      <c r="K10" s="342" t="s">
        <v>531</v>
      </c>
      <c r="L10" s="185">
        <v>4.6288888888888886</v>
      </c>
      <c r="M10" s="185">
        <v>4.5549019607843135</v>
      </c>
      <c r="N10" s="185">
        <v>4.425845665961945</v>
      </c>
      <c r="O10" s="342" t="s">
        <v>531</v>
      </c>
      <c r="P10" s="185">
        <v>3.3970588235294117</v>
      </c>
      <c r="Q10" s="342" t="s">
        <v>531</v>
      </c>
      <c r="R10" s="185">
        <v>4.2928571428571427</v>
      </c>
      <c r="S10" s="244">
        <v>5</v>
      </c>
      <c r="T10" s="98" t="s">
        <v>531</v>
      </c>
    </row>
    <row r="11" spans="1:20" ht="14.25" customHeight="1" thickBot="1">
      <c r="A11" s="627"/>
      <c r="B11" s="628"/>
      <c r="C11" s="628"/>
      <c r="D11" s="628"/>
      <c r="E11" s="629" t="s">
        <v>265</v>
      </c>
      <c r="F11" s="630"/>
      <c r="G11" s="630"/>
      <c r="H11" s="630"/>
      <c r="I11" s="630"/>
      <c r="J11" s="630"/>
      <c r="K11" s="630"/>
      <c r="L11" s="630"/>
      <c r="M11" s="630"/>
      <c r="N11" s="630"/>
      <c r="O11" s="630"/>
      <c r="P11" s="630"/>
      <c r="Q11" s="630"/>
      <c r="R11" s="630"/>
      <c r="S11" s="631"/>
      <c r="T11" s="98" t="s">
        <v>531</v>
      </c>
    </row>
    <row r="12" spans="1:20" ht="14.25" customHeight="1" thickBot="1">
      <c r="A12" s="120"/>
      <c r="B12" s="632"/>
      <c r="C12" s="632"/>
      <c r="D12" s="632"/>
      <c r="E12" s="633" t="s">
        <v>266</v>
      </c>
      <c r="F12" s="634">
        <v>4.4858405388775546</v>
      </c>
      <c r="G12" s="634" t="s">
        <v>531</v>
      </c>
      <c r="H12" s="634">
        <v>4.5</v>
      </c>
      <c r="I12" s="634" t="s">
        <v>531</v>
      </c>
      <c r="J12" s="634">
        <v>4.4733333333333327</v>
      </c>
      <c r="K12" s="634" t="s">
        <v>531</v>
      </c>
      <c r="L12" s="634">
        <v>4.6288888888888886</v>
      </c>
      <c r="M12" s="634">
        <v>4.5549019607843135</v>
      </c>
      <c r="N12" s="634">
        <v>4.425845665961945</v>
      </c>
      <c r="O12" s="634" t="s">
        <v>531</v>
      </c>
      <c r="P12" s="634">
        <v>3.3970588235294117</v>
      </c>
      <c r="Q12" s="634" t="s">
        <v>531</v>
      </c>
      <c r="R12" s="634">
        <v>4.2928571428571427</v>
      </c>
      <c r="S12" s="635">
        <v>5</v>
      </c>
      <c r="T12" s="98" t="s">
        <v>531</v>
      </c>
    </row>
    <row r="13" spans="1:20">
      <c r="A13" s="120"/>
      <c r="B13" s="122"/>
      <c r="C13" s="122"/>
      <c r="D13" s="122"/>
      <c r="E13" s="123" t="s">
        <v>57</v>
      </c>
      <c r="F13" s="203">
        <v>1.0139668318243389</v>
      </c>
      <c r="G13" s="203" t="s">
        <v>531</v>
      </c>
      <c r="H13" s="203">
        <v>0.9619976721428839</v>
      </c>
      <c r="I13" s="203" t="s">
        <v>531</v>
      </c>
      <c r="J13" s="203">
        <v>0.98987499999999995</v>
      </c>
      <c r="K13" s="203" t="s">
        <v>531</v>
      </c>
      <c r="L13" s="203">
        <v>0.99222437971440081</v>
      </c>
      <c r="M13" s="203">
        <v>1</v>
      </c>
      <c r="N13" s="203">
        <v>0.98824762711603897</v>
      </c>
      <c r="O13" s="203" t="s">
        <v>531</v>
      </c>
      <c r="P13" s="203">
        <v>1.2048043031165956</v>
      </c>
      <c r="Q13" s="203" t="s">
        <v>531</v>
      </c>
      <c r="R13" s="203">
        <v>0.97458567250479033</v>
      </c>
      <c r="S13" s="249">
        <v>1</v>
      </c>
      <c r="T13" s="98" t="s">
        <v>531</v>
      </c>
    </row>
    <row r="14" spans="1:20" ht="13.5" thickBot="1">
      <c r="A14" s="120"/>
      <c r="B14" s="126"/>
      <c r="C14" s="126"/>
      <c r="D14" s="126"/>
      <c r="E14" s="127" t="s">
        <v>299</v>
      </c>
      <c r="F14" s="104">
        <v>3.9716810777551088</v>
      </c>
      <c r="G14" s="104" t="s">
        <v>531</v>
      </c>
      <c r="H14" s="104" t="s">
        <v>531</v>
      </c>
      <c r="I14" s="104" t="s">
        <v>531</v>
      </c>
      <c r="J14" s="104">
        <v>3.9466666666666663</v>
      </c>
      <c r="K14" s="104" t="s">
        <v>531</v>
      </c>
      <c r="L14" s="104">
        <v>4.2577777777777772</v>
      </c>
      <c r="M14" s="104">
        <v>4.1098039215686271</v>
      </c>
      <c r="N14" s="104">
        <v>3.8516913319238903</v>
      </c>
      <c r="O14" s="104" t="s">
        <v>531</v>
      </c>
      <c r="P14" s="104">
        <v>3.7941176470588234</v>
      </c>
      <c r="Q14" s="104" t="s">
        <v>531</v>
      </c>
      <c r="R14" s="104">
        <v>4.0857142857142863</v>
      </c>
      <c r="S14" s="241" t="s">
        <v>531</v>
      </c>
      <c r="T14" s="98" t="s">
        <v>531</v>
      </c>
    </row>
    <row r="15" spans="1:20" ht="14.25" customHeight="1" thickBot="1">
      <c r="A15" s="120"/>
      <c r="B15" s="122"/>
      <c r="C15" s="122"/>
      <c r="D15" s="122"/>
      <c r="E15" s="130" t="s">
        <v>301</v>
      </c>
      <c r="F15" s="131"/>
      <c r="G15" s="131"/>
      <c r="H15" s="131"/>
      <c r="I15" s="131"/>
      <c r="J15" s="131"/>
      <c r="K15" s="131"/>
      <c r="L15" s="131"/>
      <c r="M15" s="131"/>
      <c r="N15" s="131"/>
      <c r="O15" s="131"/>
      <c r="P15" s="131"/>
      <c r="Q15" s="131"/>
      <c r="R15" s="131"/>
      <c r="S15" s="133"/>
      <c r="T15" s="98" t="s">
        <v>531</v>
      </c>
    </row>
    <row r="16" spans="1:20" ht="14.25" customHeight="1">
      <c r="A16" s="120"/>
      <c r="B16" s="122"/>
      <c r="C16" s="122"/>
      <c r="D16" s="134"/>
      <c r="E16" s="123" t="s">
        <v>294</v>
      </c>
      <c r="F16" s="135">
        <v>1.1499999999999999</v>
      </c>
      <c r="G16" s="135">
        <v>0</v>
      </c>
      <c r="H16" s="135">
        <v>3.53</v>
      </c>
      <c r="I16" s="135">
        <v>0</v>
      </c>
      <c r="J16" s="135">
        <v>0.53</v>
      </c>
      <c r="K16" s="135">
        <v>0</v>
      </c>
      <c r="L16" s="135">
        <v>1.67</v>
      </c>
      <c r="M16" s="135">
        <v>0.96</v>
      </c>
      <c r="N16" s="135">
        <v>0.95</v>
      </c>
      <c r="O16" s="135">
        <v>0</v>
      </c>
      <c r="P16" s="135">
        <v>0.91</v>
      </c>
      <c r="Q16" s="135">
        <v>0.91</v>
      </c>
      <c r="R16" s="135">
        <v>1.67</v>
      </c>
      <c r="S16" s="250">
        <v>0.31</v>
      </c>
      <c r="T16" s="98" t="s">
        <v>531</v>
      </c>
    </row>
    <row r="17" spans="1:20" ht="14.25" customHeight="1">
      <c r="A17" s="120"/>
      <c r="B17" s="122"/>
      <c r="C17" s="122"/>
      <c r="D17" s="134"/>
      <c r="E17" s="123" t="s">
        <v>295</v>
      </c>
      <c r="F17" s="138">
        <v>1.1499999999999999</v>
      </c>
      <c r="G17" s="138">
        <v>0</v>
      </c>
      <c r="H17" s="138">
        <v>0</v>
      </c>
      <c r="I17" s="138">
        <v>0.73</v>
      </c>
      <c r="J17" s="138">
        <v>0</v>
      </c>
      <c r="K17" s="138">
        <v>0</v>
      </c>
      <c r="L17" s="138">
        <v>1.35</v>
      </c>
      <c r="M17" s="138">
        <v>0.92</v>
      </c>
      <c r="N17" s="138">
        <v>0.01</v>
      </c>
      <c r="O17" s="138">
        <v>0</v>
      </c>
      <c r="P17" s="138">
        <v>0</v>
      </c>
      <c r="Q17" s="138">
        <v>0</v>
      </c>
      <c r="R17" s="138">
        <v>1.35</v>
      </c>
      <c r="S17" s="251">
        <v>0.8</v>
      </c>
      <c r="T17" s="98" t="s">
        <v>531</v>
      </c>
    </row>
    <row r="18" spans="1:20" ht="14.25" customHeight="1">
      <c r="A18" s="120"/>
      <c r="B18" s="122"/>
      <c r="C18" s="122"/>
      <c r="D18" s="134"/>
      <c r="E18" s="123" t="s">
        <v>296</v>
      </c>
      <c r="F18" s="138">
        <v>0.94</v>
      </c>
      <c r="G18" s="138">
        <v>0.28000000000000003</v>
      </c>
      <c r="H18" s="138">
        <v>0.35</v>
      </c>
      <c r="I18" s="138">
        <v>1.22</v>
      </c>
      <c r="J18" s="138">
        <v>0.83</v>
      </c>
      <c r="K18" s="138">
        <v>0</v>
      </c>
      <c r="L18" s="138">
        <v>2.06</v>
      </c>
      <c r="M18" s="138">
        <v>0.43</v>
      </c>
      <c r="N18" s="138">
        <v>0.95</v>
      </c>
      <c r="O18" s="138">
        <v>0</v>
      </c>
      <c r="P18" s="138">
        <v>0</v>
      </c>
      <c r="Q18" s="138">
        <v>0</v>
      </c>
      <c r="R18" s="138">
        <v>2.06</v>
      </c>
      <c r="S18" s="251">
        <v>1.33</v>
      </c>
      <c r="T18" s="98" t="s">
        <v>531</v>
      </c>
    </row>
    <row r="19" spans="1:20" ht="14.25" customHeight="1">
      <c r="A19" s="120"/>
      <c r="B19" s="122"/>
      <c r="C19" s="122"/>
      <c r="D19" s="134"/>
      <c r="E19" s="123" t="s">
        <v>297</v>
      </c>
      <c r="F19" s="138">
        <v>1.19</v>
      </c>
      <c r="G19" s="138">
        <v>0</v>
      </c>
      <c r="H19" s="138">
        <v>1.1000000000000001</v>
      </c>
      <c r="I19" s="138">
        <v>0.81</v>
      </c>
      <c r="J19" s="138">
        <v>0.47</v>
      </c>
      <c r="K19" s="138">
        <v>0</v>
      </c>
      <c r="L19" s="138">
        <v>0</v>
      </c>
      <c r="M19" s="138">
        <v>0</v>
      </c>
      <c r="N19" s="138">
        <v>0.61</v>
      </c>
      <c r="O19" s="138">
        <v>0</v>
      </c>
      <c r="P19" s="138">
        <v>0.38</v>
      </c>
      <c r="Q19" s="138">
        <v>0.38</v>
      </c>
      <c r="R19" s="138">
        <v>0</v>
      </c>
      <c r="S19" s="251">
        <v>0</v>
      </c>
      <c r="T19" s="98" t="s">
        <v>531</v>
      </c>
    </row>
    <row r="20" spans="1:20" ht="14.25" customHeight="1">
      <c r="A20" s="120"/>
      <c r="B20" s="122"/>
      <c r="C20" s="122"/>
      <c r="D20" s="134"/>
      <c r="E20" s="123" t="s">
        <v>298</v>
      </c>
      <c r="F20" s="138">
        <v>1.03</v>
      </c>
      <c r="G20" s="138">
        <v>0.99</v>
      </c>
      <c r="H20" s="138">
        <v>0.9</v>
      </c>
      <c r="I20" s="138">
        <v>1.01</v>
      </c>
      <c r="J20" s="138">
        <v>0.97</v>
      </c>
      <c r="K20" s="138">
        <v>0</v>
      </c>
      <c r="L20" s="138">
        <v>1.1299999999999999</v>
      </c>
      <c r="M20" s="138">
        <v>0.96</v>
      </c>
      <c r="N20" s="138">
        <v>1.02</v>
      </c>
      <c r="O20" s="138">
        <v>1.1299999999999999</v>
      </c>
      <c r="P20" s="138">
        <v>0.95</v>
      </c>
      <c r="Q20" s="138">
        <v>0.95</v>
      </c>
      <c r="R20" s="138">
        <v>1.1299999999999999</v>
      </c>
      <c r="S20" s="251">
        <v>0.95</v>
      </c>
      <c r="T20" s="98" t="s">
        <v>531</v>
      </c>
    </row>
    <row r="21" spans="1:20" ht="14.25" customHeight="1" thickBot="1">
      <c r="A21" s="140"/>
      <c r="B21" s="141"/>
      <c r="C21" s="141"/>
      <c r="D21" s="141"/>
      <c r="E21" s="142" t="s">
        <v>302</v>
      </c>
      <c r="F21" s="143">
        <v>4.21</v>
      </c>
      <c r="G21" s="143">
        <v>0</v>
      </c>
      <c r="H21" s="143">
        <v>0</v>
      </c>
      <c r="I21" s="143">
        <v>0.2</v>
      </c>
      <c r="J21" s="143">
        <v>0</v>
      </c>
      <c r="K21" s="143">
        <v>0</v>
      </c>
      <c r="L21" s="143">
        <v>0</v>
      </c>
      <c r="M21" s="143">
        <v>0</v>
      </c>
      <c r="N21" s="143">
        <v>0.32</v>
      </c>
      <c r="O21" s="143">
        <v>0</v>
      </c>
      <c r="P21" s="143">
        <v>0</v>
      </c>
      <c r="Q21" s="143">
        <v>0</v>
      </c>
      <c r="R21" s="143">
        <v>0</v>
      </c>
      <c r="S21" s="252">
        <v>0</v>
      </c>
      <c r="T21" s="98" t="s">
        <v>531</v>
      </c>
    </row>
    <row r="22" spans="1:20" ht="17.25" thickTop="1" thickBot="1">
      <c r="A22" s="146" t="s">
        <v>213</v>
      </c>
      <c r="B22" s="147"/>
      <c r="C22" s="147"/>
      <c r="D22" s="147"/>
      <c r="E22" s="147"/>
      <c r="F22" s="185">
        <v>4.0320447846379537</v>
      </c>
      <c r="G22" s="342" t="s">
        <v>531</v>
      </c>
      <c r="H22" s="185">
        <v>4.4166666666666661</v>
      </c>
      <c r="I22" s="342" t="s">
        <v>531</v>
      </c>
      <c r="J22" s="185">
        <v>3.9095238095238094</v>
      </c>
      <c r="K22" s="342" t="s">
        <v>531</v>
      </c>
      <c r="L22" s="185">
        <v>4.2722222222222221</v>
      </c>
      <c r="M22" s="185">
        <v>4.4444444444444446</v>
      </c>
      <c r="N22" s="185">
        <v>3.9177609427609426</v>
      </c>
      <c r="O22" s="342" t="s">
        <v>531</v>
      </c>
      <c r="P22" s="185">
        <v>3.666666666666667</v>
      </c>
      <c r="Q22" s="342" t="s">
        <v>531</v>
      </c>
      <c r="R22" s="185">
        <v>4.1294642857142856</v>
      </c>
      <c r="S22" s="343" t="s">
        <v>531</v>
      </c>
      <c r="T22" s="98" t="s">
        <v>531</v>
      </c>
    </row>
    <row r="23" spans="1:20">
      <c r="A23" s="636"/>
      <c r="B23" s="637"/>
      <c r="C23" s="637"/>
      <c r="D23" s="637"/>
      <c r="E23" s="638" t="s">
        <v>223</v>
      </c>
      <c r="F23" s="626">
        <v>3.9877548658135118</v>
      </c>
      <c r="G23" s="626">
        <v>4</v>
      </c>
      <c r="H23" s="626">
        <v>4.583333333333333</v>
      </c>
      <c r="I23" s="626" t="s">
        <v>531</v>
      </c>
      <c r="J23" s="626">
        <v>3.8523809523809525</v>
      </c>
      <c r="K23" s="626" t="s">
        <v>531</v>
      </c>
      <c r="L23" s="626">
        <v>4.3777777777777782</v>
      </c>
      <c r="M23" s="626">
        <v>4.3888888888888893</v>
      </c>
      <c r="N23" s="626">
        <v>3.8454545454545457</v>
      </c>
      <c r="O23" s="626" t="s">
        <v>531</v>
      </c>
      <c r="P23" s="626">
        <v>3.4666666666666668</v>
      </c>
      <c r="Q23" s="626">
        <v>4.333333333333333</v>
      </c>
      <c r="R23" s="626">
        <v>4.0505952380952381</v>
      </c>
      <c r="S23" s="625" t="s">
        <v>531</v>
      </c>
      <c r="T23" s="98" t="s">
        <v>531</v>
      </c>
    </row>
    <row r="24" spans="1:20" ht="13.5" thickBot="1">
      <c r="A24" s="148"/>
      <c r="B24" s="149"/>
      <c r="C24" s="149"/>
      <c r="D24" s="149"/>
      <c r="E24" s="150" t="s">
        <v>299</v>
      </c>
      <c r="F24" s="201">
        <v>3.9877548658135118</v>
      </c>
      <c r="G24" s="201">
        <v>4</v>
      </c>
      <c r="H24" s="201">
        <v>4.583333333333333</v>
      </c>
      <c r="I24" s="201" t="s">
        <v>531</v>
      </c>
      <c r="J24" s="201">
        <v>3.8523809523809525</v>
      </c>
      <c r="K24" s="201" t="s">
        <v>531</v>
      </c>
      <c r="L24" s="201">
        <v>4.3777777777777782</v>
      </c>
      <c r="M24" s="201">
        <v>4.3888888888888893</v>
      </c>
      <c r="N24" s="201">
        <v>3.8454545454545457</v>
      </c>
      <c r="O24" s="201" t="s">
        <v>531</v>
      </c>
      <c r="P24" s="201">
        <v>3.4666666666666668</v>
      </c>
      <c r="Q24" s="201">
        <v>4.333333333333333</v>
      </c>
      <c r="R24" s="201">
        <v>4.0505952380952381</v>
      </c>
      <c r="S24" s="348" t="s">
        <v>531</v>
      </c>
      <c r="T24" s="98" t="s">
        <v>531</v>
      </c>
    </row>
    <row r="25" spans="1:20">
      <c r="A25" s="148"/>
      <c r="B25" s="637"/>
      <c r="C25" s="637"/>
      <c r="D25" s="637"/>
      <c r="E25" s="638" t="s">
        <v>267</v>
      </c>
      <c r="F25" s="626">
        <v>4.076334703462396</v>
      </c>
      <c r="G25" s="626" t="s">
        <v>531</v>
      </c>
      <c r="H25" s="626">
        <v>4.25</v>
      </c>
      <c r="I25" s="626" t="s">
        <v>531</v>
      </c>
      <c r="J25" s="626">
        <v>3.9666666666666663</v>
      </c>
      <c r="K25" s="626" t="s">
        <v>531</v>
      </c>
      <c r="L25" s="626">
        <v>4.166666666666667</v>
      </c>
      <c r="M25" s="626">
        <v>4.5</v>
      </c>
      <c r="N25" s="626">
        <v>3.9900673400673399</v>
      </c>
      <c r="O25" s="626" t="s">
        <v>531</v>
      </c>
      <c r="P25" s="626">
        <v>3.8666666666666667</v>
      </c>
      <c r="Q25" s="626" t="s">
        <v>531</v>
      </c>
      <c r="R25" s="626">
        <v>4.208333333333333</v>
      </c>
      <c r="S25" s="625" t="s">
        <v>531</v>
      </c>
      <c r="T25" s="98" t="s">
        <v>531</v>
      </c>
    </row>
    <row r="26" spans="1:20" ht="13.5" thickBot="1">
      <c r="A26" s="148"/>
      <c r="B26" s="149"/>
      <c r="C26" s="149"/>
      <c r="D26" s="149"/>
      <c r="E26" s="150" t="s">
        <v>299</v>
      </c>
      <c r="F26" s="201">
        <v>4.076334703462396</v>
      </c>
      <c r="G26" s="201" t="s">
        <v>531</v>
      </c>
      <c r="H26" s="201">
        <v>4.25</v>
      </c>
      <c r="I26" s="201" t="s">
        <v>531</v>
      </c>
      <c r="J26" s="201">
        <v>3.9666666666666663</v>
      </c>
      <c r="K26" s="201" t="s">
        <v>531</v>
      </c>
      <c r="L26" s="201">
        <v>4.166666666666667</v>
      </c>
      <c r="M26" s="201">
        <v>4.5</v>
      </c>
      <c r="N26" s="201">
        <v>3.9900673400673399</v>
      </c>
      <c r="O26" s="201" t="s">
        <v>531</v>
      </c>
      <c r="P26" s="201">
        <v>3.8666666666666667</v>
      </c>
      <c r="Q26" s="201" t="s">
        <v>531</v>
      </c>
      <c r="R26" s="201">
        <v>4.208333333333333</v>
      </c>
      <c r="S26" s="348" t="s">
        <v>531</v>
      </c>
      <c r="T26" s="98" t="s">
        <v>531</v>
      </c>
    </row>
    <row r="27" spans="1:20" ht="13.5" thickBot="1">
      <c r="A27" s="151"/>
      <c r="B27" s="152"/>
      <c r="C27" s="152"/>
      <c r="D27" s="152"/>
      <c r="E27" s="153" t="s">
        <v>268</v>
      </c>
      <c r="F27" s="154"/>
      <c r="G27" s="154"/>
      <c r="H27" s="154"/>
      <c r="I27" s="154"/>
      <c r="J27" s="154"/>
      <c r="K27" s="154"/>
      <c r="L27" s="154"/>
      <c r="M27" s="154"/>
      <c r="N27" s="154"/>
      <c r="O27" s="154"/>
      <c r="P27" s="154"/>
      <c r="Q27" s="154"/>
      <c r="R27" s="154"/>
      <c r="S27" s="155"/>
      <c r="T27" s="98" t="s">
        <v>531</v>
      </c>
    </row>
    <row r="28" spans="1:20" ht="17.25" thickTop="1" thickBot="1">
      <c r="A28" s="156" t="s">
        <v>214</v>
      </c>
      <c r="B28" s="157"/>
      <c r="C28" s="157"/>
      <c r="D28" s="157"/>
      <c r="E28" s="199" t="s">
        <v>318</v>
      </c>
      <c r="F28" s="186">
        <v>3.984375</v>
      </c>
      <c r="G28" s="344" t="s">
        <v>531</v>
      </c>
      <c r="H28" s="186">
        <v>3.75</v>
      </c>
      <c r="I28" s="344" t="s">
        <v>531</v>
      </c>
      <c r="J28" s="186">
        <v>3.875</v>
      </c>
      <c r="K28" s="344" t="s">
        <v>531</v>
      </c>
      <c r="L28" s="186">
        <v>4.125</v>
      </c>
      <c r="M28" s="186">
        <v>3.75</v>
      </c>
      <c r="N28" s="186">
        <v>3.9375</v>
      </c>
      <c r="O28" s="344" t="s">
        <v>531</v>
      </c>
      <c r="P28" s="186">
        <v>3.8125</v>
      </c>
      <c r="Q28" s="344" t="s">
        <v>531</v>
      </c>
      <c r="R28" s="186">
        <v>5</v>
      </c>
      <c r="S28" s="343" t="s">
        <v>531</v>
      </c>
      <c r="T28" s="98" t="s">
        <v>531</v>
      </c>
    </row>
    <row r="29" spans="1:20">
      <c r="A29" s="158"/>
      <c r="B29" s="639"/>
      <c r="C29" s="639"/>
      <c r="D29" s="639"/>
      <c r="E29" s="640" t="s">
        <v>224</v>
      </c>
      <c r="F29" s="641">
        <v>3.90625</v>
      </c>
      <c r="G29" s="641" t="s">
        <v>531</v>
      </c>
      <c r="H29" s="641">
        <v>3.5</v>
      </c>
      <c r="I29" s="641" t="s">
        <v>531</v>
      </c>
      <c r="J29" s="641">
        <v>3.75</v>
      </c>
      <c r="K29" s="641" t="s">
        <v>531</v>
      </c>
      <c r="L29" s="641">
        <v>4.25</v>
      </c>
      <c r="M29" s="641">
        <v>3.5</v>
      </c>
      <c r="N29" s="641">
        <v>3.875</v>
      </c>
      <c r="O29" s="641" t="s">
        <v>531</v>
      </c>
      <c r="P29" s="641">
        <v>3.625</v>
      </c>
      <c r="Q29" s="641" t="s">
        <v>531</v>
      </c>
      <c r="R29" s="641">
        <v>5</v>
      </c>
      <c r="S29" s="642" t="s">
        <v>531</v>
      </c>
      <c r="T29" s="98" t="s">
        <v>531</v>
      </c>
    </row>
    <row r="30" spans="1:20" ht="13.5" thickBot="1">
      <c r="A30" s="158"/>
      <c r="B30" s="159"/>
      <c r="C30" s="159"/>
      <c r="D30" s="159"/>
      <c r="E30" s="160" t="s">
        <v>299</v>
      </c>
      <c r="F30" s="201">
        <v>3.90625</v>
      </c>
      <c r="G30" s="201" t="s">
        <v>531</v>
      </c>
      <c r="H30" s="201">
        <v>3.5</v>
      </c>
      <c r="I30" s="201" t="s">
        <v>531</v>
      </c>
      <c r="J30" s="201">
        <v>3.75</v>
      </c>
      <c r="K30" s="201" t="s">
        <v>531</v>
      </c>
      <c r="L30" s="201">
        <v>4.25</v>
      </c>
      <c r="M30" s="201">
        <v>3.5</v>
      </c>
      <c r="N30" s="201">
        <v>3.875</v>
      </c>
      <c r="O30" s="201" t="s">
        <v>531</v>
      </c>
      <c r="P30" s="201">
        <v>3.625</v>
      </c>
      <c r="Q30" s="201" t="s">
        <v>531</v>
      </c>
      <c r="R30" s="201">
        <v>5</v>
      </c>
      <c r="S30" s="348" t="s">
        <v>531</v>
      </c>
      <c r="T30" s="98" t="s">
        <v>531</v>
      </c>
    </row>
    <row r="31" spans="1:20" ht="13.5" thickBot="1">
      <c r="A31" s="158"/>
      <c r="B31" s="161"/>
      <c r="C31" s="161"/>
      <c r="D31" s="161"/>
      <c r="E31" s="162" t="s">
        <v>229</v>
      </c>
      <c r="F31" s="163"/>
      <c r="G31" s="163"/>
      <c r="H31" s="163"/>
      <c r="I31" s="163"/>
      <c r="J31" s="163"/>
      <c r="K31" s="163"/>
      <c r="L31" s="163"/>
      <c r="M31" s="163"/>
      <c r="N31" s="163"/>
      <c r="O31" s="163"/>
      <c r="P31" s="163"/>
      <c r="Q31" s="163"/>
      <c r="R31" s="163"/>
      <c r="S31" s="262"/>
      <c r="T31" s="98" t="s">
        <v>531</v>
      </c>
    </row>
    <row r="32" spans="1:20">
      <c r="A32" s="158"/>
      <c r="B32" s="639"/>
      <c r="C32" s="639"/>
      <c r="D32" s="639"/>
      <c r="E32" s="640" t="s">
        <v>235</v>
      </c>
      <c r="F32" s="624">
        <v>4.0625</v>
      </c>
      <c r="G32" s="624" t="s">
        <v>531</v>
      </c>
      <c r="H32" s="624">
        <v>4</v>
      </c>
      <c r="I32" s="624" t="s">
        <v>531</v>
      </c>
      <c r="J32" s="624">
        <v>4</v>
      </c>
      <c r="K32" s="624" t="s">
        <v>531</v>
      </c>
      <c r="L32" s="624">
        <v>4</v>
      </c>
      <c r="M32" s="624">
        <v>4</v>
      </c>
      <c r="N32" s="624">
        <v>4</v>
      </c>
      <c r="O32" s="624" t="s">
        <v>531</v>
      </c>
      <c r="P32" s="624">
        <v>4</v>
      </c>
      <c r="Q32" s="624" t="s">
        <v>531</v>
      </c>
      <c r="R32" s="624">
        <v>5</v>
      </c>
      <c r="S32" s="625" t="s">
        <v>531</v>
      </c>
      <c r="T32" s="98" t="s">
        <v>531</v>
      </c>
    </row>
    <row r="33" spans="1:20" ht="13.5" thickBot="1">
      <c r="A33" s="158"/>
      <c r="B33" s="161"/>
      <c r="C33" s="161"/>
      <c r="D33" s="161"/>
      <c r="E33" s="263" t="s">
        <v>299</v>
      </c>
      <c r="F33" s="293">
        <v>4.0625</v>
      </c>
      <c r="G33" s="293" t="s">
        <v>531</v>
      </c>
      <c r="H33" s="293">
        <v>4</v>
      </c>
      <c r="I33" s="293" t="s">
        <v>531</v>
      </c>
      <c r="J33" s="293">
        <v>4</v>
      </c>
      <c r="K33" s="293" t="s">
        <v>531</v>
      </c>
      <c r="L33" s="293">
        <v>4</v>
      </c>
      <c r="M33" s="293">
        <v>4</v>
      </c>
      <c r="N33" s="293">
        <v>4</v>
      </c>
      <c r="O33" s="293" t="s">
        <v>531</v>
      </c>
      <c r="P33" s="293">
        <v>4</v>
      </c>
      <c r="Q33" s="293" t="s">
        <v>531</v>
      </c>
      <c r="R33" s="293">
        <v>5</v>
      </c>
      <c r="S33" s="349" t="s">
        <v>531</v>
      </c>
      <c r="T33" s="98" t="s">
        <v>531</v>
      </c>
    </row>
    <row r="34" spans="1:20" ht="15.75" thickTop="1">
      <c r="A34" s="266" t="s">
        <v>532</v>
      </c>
      <c r="B34" s="267"/>
      <c r="C34" s="267"/>
      <c r="D34" s="268"/>
      <c r="E34" s="269" t="s">
        <v>533</v>
      </c>
      <c r="F34" s="270">
        <v>2337</v>
      </c>
      <c r="G34" s="270">
        <v>73</v>
      </c>
      <c r="H34" s="270">
        <v>166</v>
      </c>
      <c r="I34" s="270">
        <v>1</v>
      </c>
      <c r="J34" s="270">
        <v>283</v>
      </c>
      <c r="K34" s="270">
        <v>56</v>
      </c>
      <c r="L34" s="270">
        <v>74</v>
      </c>
      <c r="M34" s="270">
        <v>277</v>
      </c>
      <c r="N34" s="270">
        <v>865</v>
      </c>
      <c r="O34" s="270">
        <v>0</v>
      </c>
      <c r="P34" s="270">
        <v>135</v>
      </c>
      <c r="Q34" s="270">
        <v>0</v>
      </c>
      <c r="R34" s="270">
        <v>128</v>
      </c>
      <c r="S34" s="271">
        <v>279</v>
      </c>
      <c r="T34" s="98" t="s">
        <v>531</v>
      </c>
    </row>
    <row r="35" spans="1:20" ht="14.25">
      <c r="A35" s="272"/>
      <c r="B35" s="273"/>
      <c r="C35" s="274"/>
      <c r="D35" s="275"/>
      <c r="E35" s="276" t="s">
        <v>534</v>
      </c>
      <c r="F35" s="277">
        <v>2569</v>
      </c>
      <c r="G35" s="277">
        <v>102</v>
      </c>
      <c r="H35" s="277">
        <v>198</v>
      </c>
      <c r="I35" s="277">
        <v>2</v>
      </c>
      <c r="J35" s="277">
        <v>314</v>
      </c>
      <c r="K35" s="277">
        <v>53</v>
      </c>
      <c r="L35" s="277">
        <v>134</v>
      </c>
      <c r="M35" s="277">
        <v>209</v>
      </c>
      <c r="N35" s="277">
        <v>975</v>
      </c>
      <c r="O35" s="277">
        <v>0</v>
      </c>
      <c r="P35" s="277">
        <v>146</v>
      </c>
      <c r="Q35" s="277">
        <v>0</v>
      </c>
      <c r="R35" s="277">
        <v>176</v>
      </c>
      <c r="S35" s="278">
        <v>260</v>
      </c>
      <c r="T35" s="98" t="s">
        <v>531</v>
      </c>
    </row>
    <row r="36" spans="1:20" ht="13.5" thickBot="1">
      <c r="A36" s="279"/>
      <c r="B36" s="280"/>
      <c r="C36" s="281"/>
      <c r="D36" s="281"/>
      <c r="E36" s="282" t="s">
        <v>288</v>
      </c>
      <c r="F36" s="283">
        <v>2759</v>
      </c>
      <c r="G36" s="283">
        <v>54</v>
      </c>
      <c r="H36" s="283">
        <v>338</v>
      </c>
      <c r="I36" s="283">
        <v>71</v>
      </c>
      <c r="J36" s="283">
        <v>221</v>
      </c>
      <c r="K36" s="283">
        <v>31</v>
      </c>
      <c r="L36" s="283">
        <v>105</v>
      </c>
      <c r="M36" s="283">
        <v>494</v>
      </c>
      <c r="N36" s="283">
        <v>775</v>
      </c>
      <c r="O36" s="283">
        <v>0</v>
      </c>
      <c r="P36" s="283">
        <v>138</v>
      </c>
      <c r="Q36" s="283">
        <v>0</v>
      </c>
      <c r="R36" s="283">
        <v>161</v>
      </c>
      <c r="S36" s="284">
        <v>371</v>
      </c>
      <c r="T36" s="98" t="s">
        <v>531</v>
      </c>
    </row>
    <row r="37" spans="1:20" ht="13.5" thickTop="1">
      <c r="A37" s="620"/>
      <c r="B37" s="620"/>
      <c r="C37" s="620"/>
      <c r="D37" s="620"/>
      <c r="E37" s="620"/>
    </row>
    <row r="38" spans="1:20" ht="12.75" customHeight="1">
      <c r="A38" s="620"/>
      <c r="B38" s="620"/>
      <c r="C38" s="620"/>
      <c r="D38" s="620"/>
      <c r="E38" s="620"/>
    </row>
    <row r="39" spans="1:20" ht="39" customHeight="1">
      <c r="A39" s="620"/>
      <c r="B39" s="620"/>
      <c r="C39" s="620"/>
      <c r="D39" s="620"/>
      <c r="E39" s="620"/>
    </row>
    <row r="40" spans="1:20" ht="24" customHeight="1">
      <c r="A40" s="620"/>
      <c r="B40" s="620"/>
      <c r="C40" s="620"/>
      <c r="D40" s="620"/>
      <c r="E40" s="620"/>
    </row>
    <row r="42" spans="1:20">
      <c r="A42" s="182"/>
    </row>
  </sheetData>
  <mergeCells count="1">
    <mergeCell ref="B2:C2"/>
  </mergeCells>
  <hyperlinks>
    <hyperlink ref="A1" location="'Table of Contents'!A1" display="Table of Contents"/>
  </hyperlinks>
  <pageMargins left="0.25" right="0.25" top="0.5" bottom="0.5" header="0.3" footer="0.3"/>
  <pageSetup scale="74" orientation="landscape" r:id="rId1"/>
  <headerFooter alignWithMargins="0">
    <oddHeader>&amp;A</oddHeader>
    <oddFooter>&amp;L&amp;5&amp;Z&amp;F
Created: 9/29/2006 10:44:00 PM
Last Saved: 2/5/2008 9:15:17 PM
Last Printed: 2/5/2008 6:12:16 PM&amp;R&amp;5&amp;P - &amp;N
Title :&lt;Not Set&gt;
Subject: &lt;Not Set&gt;</oddFooter>
  </headerFooter>
</worksheet>
</file>

<file path=xl/worksheets/sheet5.xml><?xml version="1.0" encoding="utf-8"?>
<worksheet xmlns="http://schemas.openxmlformats.org/spreadsheetml/2006/main" xmlns:r="http://schemas.openxmlformats.org/officeDocument/2006/relationships">
  <sheetPr codeName="Sheet3"/>
  <dimension ref="A1:F70"/>
  <sheetViews>
    <sheetView workbookViewId="0"/>
  </sheetViews>
  <sheetFormatPr defaultRowHeight="12.75"/>
  <cols>
    <col min="2" max="2" width="15.85546875" customWidth="1"/>
    <col min="4" max="4" width="9.28515625" bestFit="1" customWidth="1"/>
    <col min="6" max="6" width="12.5703125" bestFit="1" customWidth="1"/>
  </cols>
  <sheetData>
    <row r="1" spans="1:3">
      <c r="A1" s="5" t="s">
        <v>29</v>
      </c>
    </row>
    <row r="5" spans="1:3">
      <c r="B5" s="89" t="s">
        <v>306</v>
      </c>
      <c r="C5" s="89" t="s">
        <v>305</v>
      </c>
    </row>
    <row r="6" spans="1:3">
      <c r="B6" s="9">
        <v>0</v>
      </c>
      <c r="C6">
        <v>2</v>
      </c>
    </row>
    <row r="7" spans="1:3">
      <c r="B7" s="9">
        <v>0.5</v>
      </c>
      <c r="C7">
        <v>3</v>
      </c>
    </row>
    <row r="8" spans="1:3">
      <c r="B8" s="9">
        <v>0.8</v>
      </c>
      <c r="C8">
        <v>4</v>
      </c>
    </row>
    <row r="9" spans="1:3">
      <c r="B9" s="9">
        <v>1</v>
      </c>
      <c r="C9">
        <v>5</v>
      </c>
    </row>
    <row r="10" spans="1:3">
      <c r="B10" s="9">
        <v>1.1000000000000001</v>
      </c>
      <c r="C10">
        <v>4</v>
      </c>
    </row>
    <row r="11" spans="1:3">
      <c r="B11" s="9">
        <v>1.2</v>
      </c>
      <c r="C11">
        <v>3</v>
      </c>
    </row>
    <row r="12" spans="1:3">
      <c r="B12" s="9">
        <v>2</v>
      </c>
      <c r="C12">
        <v>2</v>
      </c>
    </row>
    <row r="13" spans="1:3">
      <c r="B13" s="9">
        <v>100</v>
      </c>
      <c r="C13">
        <v>1</v>
      </c>
    </row>
    <row r="17" spans="2:6">
      <c r="B17" s="10"/>
    </row>
    <row r="29" spans="2:6">
      <c r="B29" s="187" t="s">
        <v>301</v>
      </c>
      <c r="F29" s="192">
        <f>SUM(F31:F36)</f>
        <v>2.0001333333333333</v>
      </c>
    </row>
    <row r="30" spans="2:6">
      <c r="B30" s="89" t="s">
        <v>307</v>
      </c>
      <c r="C30" s="89" t="s">
        <v>104</v>
      </c>
      <c r="D30" s="89" t="s">
        <v>304</v>
      </c>
      <c r="E30" s="89" t="s">
        <v>305</v>
      </c>
      <c r="F30" s="89" t="s">
        <v>308</v>
      </c>
    </row>
    <row r="31" spans="2:6">
      <c r="B31" s="188" t="s">
        <v>294</v>
      </c>
      <c r="C31" s="9">
        <f>'Scorecard - Individual Team'!F16</f>
        <v>0</v>
      </c>
      <c r="D31" s="190">
        <f>100/6/100</f>
        <v>0.16666666666666669</v>
      </c>
      <c r="E31">
        <f t="shared" ref="E31:E36" si="0">LOOKUP(C31,$B$6:$B$13,$C$6:$C$13)</f>
        <v>2</v>
      </c>
      <c r="F31" s="191">
        <f t="shared" ref="F31:F36" si="1">E31*D31</f>
        <v>0.33333333333333337</v>
      </c>
    </row>
    <row r="32" spans="2:6">
      <c r="B32" s="188" t="s">
        <v>295</v>
      </c>
      <c r="C32" s="9">
        <f>'Scorecard - Individual Team'!F17</f>
        <v>0</v>
      </c>
      <c r="D32" s="190">
        <f>100/6/100</f>
        <v>0.16666666666666669</v>
      </c>
      <c r="E32" s="90">
        <f t="shared" si="0"/>
        <v>2</v>
      </c>
      <c r="F32" s="191">
        <f t="shared" si="1"/>
        <v>0.33333333333333337</v>
      </c>
    </row>
    <row r="33" spans="2:6">
      <c r="B33" s="188" t="s">
        <v>296</v>
      </c>
      <c r="C33" s="9">
        <f>'Scorecard - Individual Team'!F18</f>
        <v>0</v>
      </c>
      <c r="D33" s="190">
        <f>100/6/100</f>
        <v>0.16666666666666669</v>
      </c>
      <c r="E33" s="90">
        <f t="shared" si="0"/>
        <v>2</v>
      </c>
      <c r="F33" s="191">
        <f t="shared" si="1"/>
        <v>0.33333333333333337</v>
      </c>
    </row>
    <row r="34" spans="2:6">
      <c r="B34" s="188" t="s">
        <v>297</v>
      </c>
      <c r="C34" s="9">
        <f>'Scorecard - Individual Team'!F19</f>
        <v>0</v>
      </c>
      <c r="D34" s="190">
        <f>100/6/100</f>
        <v>0.16666666666666669</v>
      </c>
      <c r="E34" s="90">
        <f t="shared" si="0"/>
        <v>2</v>
      </c>
      <c r="F34" s="191">
        <f t="shared" si="1"/>
        <v>0.33333333333333337</v>
      </c>
    </row>
    <row r="35" spans="2:6">
      <c r="B35" s="188" t="s">
        <v>298</v>
      </c>
      <c r="C35" s="9">
        <f>'Scorecard - Individual Team'!F20</f>
        <v>0</v>
      </c>
      <c r="D35" s="190">
        <v>0.16669999999999999</v>
      </c>
      <c r="E35" s="90">
        <f t="shared" si="0"/>
        <v>2</v>
      </c>
      <c r="F35" s="191">
        <f t="shared" si="1"/>
        <v>0.33339999999999997</v>
      </c>
    </row>
    <row r="36" spans="2:6">
      <c r="B36" s="188" t="s">
        <v>302</v>
      </c>
      <c r="C36" s="9">
        <f>'Scorecard - Individual Team'!F21</f>
        <v>0</v>
      </c>
      <c r="D36" s="190">
        <v>0.16669999999999999</v>
      </c>
      <c r="E36" s="90">
        <f t="shared" si="0"/>
        <v>2</v>
      </c>
      <c r="F36" s="191">
        <f t="shared" si="1"/>
        <v>0.33339999999999997</v>
      </c>
    </row>
    <row r="37" spans="2:6" s="90" customFormat="1">
      <c r="B37" s="188"/>
      <c r="C37" s="9"/>
      <c r="D37" s="190">
        <f>SUM(D31:D36)</f>
        <v>1.0000666666666667</v>
      </c>
    </row>
    <row r="38" spans="2:6">
      <c r="C38" s="9">
        <v>0.1</v>
      </c>
      <c r="E38" s="90">
        <f t="shared" ref="E38:E69" si="2">LOOKUP(C38,$B$6:$B$13,$C$6:$C$13)</f>
        <v>2</v>
      </c>
    </row>
    <row r="39" spans="2:6">
      <c r="C39" s="9">
        <v>0.15</v>
      </c>
      <c r="E39" s="90">
        <f t="shared" si="2"/>
        <v>2</v>
      </c>
    </row>
    <row r="40" spans="2:6">
      <c r="C40" s="9">
        <v>0.2</v>
      </c>
      <c r="E40" s="90">
        <f t="shared" si="2"/>
        <v>2</v>
      </c>
    </row>
    <row r="41" spans="2:6">
      <c r="C41" s="9">
        <v>0.25</v>
      </c>
      <c r="E41" s="90">
        <f t="shared" si="2"/>
        <v>2</v>
      </c>
    </row>
    <row r="42" spans="2:6">
      <c r="C42" s="9">
        <v>0.3</v>
      </c>
      <c r="E42" s="90">
        <f t="shared" si="2"/>
        <v>2</v>
      </c>
    </row>
    <row r="43" spans="2:6">
      <c r="C43" s="9">
        <v>0.35</v>
      </c>
      <c r="E43" s="90">
        <f t="shared" si="2"/>
        <v>2</v>
      </c>
    </row>
    <row r="44" spans="2:6">
      <c r="C44" s="9">
        <v>0.4</v>
      </c>
      <c r="E44" s="90">
        <f t="shared" si="2"/>
        <v>2</v>
      </c>
    </row>
    <row r="45" spans="2:6">
      <c r="C45" s="9">
        <v>0.45</v>
      </c>
      <c r="E45" s="90">
        <f t="shared" si="2"/>
        <v>2</v>
      </c>
    </row>
    <row r="46" spans="2:6">
      <c r="C46" s="9">
        <v>0.5</v>
      </c>
      <c r="E46" s="90">
        <f t="shared" si="2"/>
        <v>3</v>
      </c>
    </row>
    <row r="47" spans="2:6">
      <c r="C47" s="9">
        <v>0.55000000000000004</v>
      </c>
      <c r="E47" s="90">
        <f t="shared" si="2"/>
        <v>3</v>
      </c>
    </row>
    <row r="48" spans="2:6">
      <c r="C48" s="9">
        <v>0.6</v>
      </c>
      <c r="E48" s="90">
        <f t="shared" si="2"/>
        <v>3</v>
      </c>
    </row>
    <row r="49" spans="3:5">
      <c r="C49" s="9">
        <v>0.65</v>
      </c>
      <c r="E49" s="90">
        <f t="shared" si="2"/>
        <v>3</v>
      </c>
    </row>
    <row r="50" spans="3:5">
      <c r="C50" s="9">
        <v>0.7</v>
      </c>
      <c r="E50" s="90">
        <f t="shared" si="2"/>
        <v>3</v>
      </c>
    </row>
    <row r="51" spans="3:5">
      <c r="C51" s="9">
        <v>0.75</v>
      </c>
      <c r="E51" s="90">
        <f t="shared" si="2"/>
        <v>3</v>
      </c>
    </row>
    <row r="52" spans="3:5">
      <c r="C52" s="9">
        <v>0.8</v>
      </c>
      <c r="E52" s="90">
        <f t="shared" si="2"/>
        <v>4</v>
      </c>
    </row>
    <row r="53" spans="3:5">
      <c r="C53" s="9">
        <v>0.85</v>
      </c>
      <c r="E53" s="90">
        <f t="shared" si="2"/>
        <v>4</v>
      </c>
    </row>
    <row r="54" spans="3:5">
      <c r="C54" s="9">
        <v>0.9</v>
      </c>
      <c r="E54" s="90">
        <f t="shared" si="2"/>
        <v>4</v>
      </c>
    </row>
    <row r="55" spans="3:5">
      <c r="C55" s="9">
        <v>0.95</v>
      </c>
      <c r="E55" s="90">
        <f t="shared" si="2"/>
        <v>4</v>
      </c>
    </row>
    <row r="56" spans="3:5">
      <c r="C56" s="9">
        <v>1</v>
      </c>
      <c r="E56" s="90">
        <f t="shared" si="2"/>
        <v>5</v>
      </c>
    </row>
    <row r="57" spans="3:5">
      <c r="C57" s="9">
        <v>1.05</v>
      </c>
      <c r="E57" s="90">
        <f t="shared" si="2"/>
        <v>5</v>
      </c>
    </row>
    <row r="58" spans="3:5">
      <c r="C58" s="9">
        <v>1.1000000000000001</v>
      </c>
      <c r="E58" s="90">
        <f t="shared" si="2"/>
        <v>4</v>
      </c>
    </row>
    <row r="59" spans="3:5">
      <c r="C59" s="9">
        <v>1.1499999999999999</v>
      </c>
      <c r="E59" s="90">
        <f t="shared" si="2"/>
        <v>4</v>
      </c>
    </row>
    <row r="60" spans="3:5">
      <c r="C60" s="9">
        <v>1.2</v>
      </c>
      <c r="E60" s="90">
        <f t="shared" si="2"/>
        <v>3</v>
      </c>
    </row>
    <row r="61" spans="3:5">
      <c r="C61" s="9">
        <v>1.25</v>
      </c>
      <c r="E61" s="90">
        <f t="shared" si="2"/>
        <v>3</v>
      </c>
    </row>
    <row r="62" spans="3:5">
      <c r="C62" s="9">
        <v>1.3</v>
      </c>
      <c r="E62" s="90">
        <f t="shared" si="2"/>
        <v>3</v>
      </c>
    </row>
    <row r="63" spans="3:5">
      <c r="C63" s="9">
        <v>1.35</v>
      </c>
      <c r="E63" s="90">
        <f t="shared" si="2"/>
        <v>3</v>
      </c>
    </row>
    <row r="64" spans="3:5">
      <c r="C64" s="9">
        <v>1.4</v>
      </c>
      <c r="E64" s="90">
        <f t="shared" si="2"/>
        <v>3</v>
      </c>
    </row>
    <row r="65" spans="3:5">
      <c r="C65" s="9">
        <v>1.45</v>
      </c>
      <c r="E65" s="90">
        <f t="shared" si="2"/>
        <v>3</v>
      </c>
    </row>
    <row r="66" spans="3:5">
      <c r="C66" s="9">
        <v>1.5</v>
      </c>
      <c r="E66" s="90">
        <f t="shared" si="2"/>
        <v>3</v>
      </c>
    </row>
    <row r="67" spans="3:5">
      <c r="C67" s="9">
        <v>1.55</v>
      </c>
      <c r="E67" s="90">
        <f t="shared" si="2"/>
        <v>3</v>
      </c>
    </row>
    <row r="68" spans="3:5">
      <c r="C68" s="9">
        <v>1.6</v>
      </c>
      <c r="E68" s="90">
        <f t="shared" si="2"/>
        <v>3</v>
      </c>
    </row>
    <row r="69" spans="3:5">
      <c r="C69" s="9">
        <v>1.65</v>
      </c>
      <c r="E69" s="90">
        <f t="shared" si="2"/>
        <v>3</v>
      </c>
    </row>
    <row r="70" spans="3:5">
      <c r="C70" s="9">
        <v>1.7</v>
      </c>
    </row>
  </sheetData>
  <sheetProtection sheet="1" objects="1" scenarios="1"/>
  <hyperlinks>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6.xml><?xml version="1.0" encoding="utf-8"?>
<worksheet xmlns="http://schemas.openxmlformats.org/spreadsheetml/2006/main" xmlns:r="http://schemas.openxmlformats.org/officeDocument/2006/relationships">
  <sheetPr codeName="Sheet4"/>
  <dimension ref="A1:V11"/>
  <sheetViews>
    <sheetView workbookViewId="0">
      <selection activeCell="F6" sqref="F6"/>
    </sheetView>
  </sheetViews>
  <sheetFormatPr defaultRowHeight="20.25" customHeight="1"/>
  <cols>
    <col min="1" max="2" width="9.140625" style="16"/>
    <col min="3" max="3" width="4.5703125" style="16" bestFit="1" customWidth="1"/>
    <col min="4" max="4" width="4.5703125" style="16" customWidth="1"/>
    <col min="5" max="5" width="4.5703125" style="75" customWidth="1"/>
    <col min="6" max="6" width="5.28515625" style="35" bestFit="1" customWidth="1"/>
    <col min="7" max="7" width="24.85546875" style="1" customWidth="1"/>
    <col min="8" max="8" width="6.42578125" style="1" customWidth="1"/>
    <col min="9" max="9" width="7" style="1" bestFit="1" customWidth="1"/>
    <col min="10" max="10" width="7" style="1" customWidth="1"/>
    <col min="11" max="11" width="5.5703125" style="35" bestFit="1" customWidth="1"/>
    <col min="12" max="12" width="24.85546875" style="1" customWidth="1"/>
    <col min="13" max="13" width="4.5703125" style="16" bestFit="1" customWidth="1"/>
    <col min="14" max="14" width="7" style="16" bestFit="1" customWidth="1"/>
    <col min="15" max="15" width="7" style="75" customWidth="1"/>
    <col min="16" max="16" width="5.5703125" style="35" bestFit="1" customWidth="1"/>
    <col min="17" max="17" width="24.85546875" style="1" customWidth="1"/>
    <col min="18" max="18" width="6.28515625" style="1" customWidth="1"/>
    <col min="19" max="19" width="7" style="1" bestFit="1" customWidth="1"/>
    <col min="20" max="20" width="7" style="1" customWidth="1"/>
    <col min="21" max="21" width="5.7109375" style="35" bestFit="1" customWidth="1"/>
    <col min="22" max="22" width="24.85546875" style="1" customWidth="1"/>
    <col min="23" max="16384" width="9.140625" style="16"/>
  </cols>
  <sheetData>
    <row r="1" spans="1:22" s="69" customFormat="1" ht="54.75" customHeight="1" thickTop="1" thickBot="1">
      <c r="A1" s="88" t="s">
        <v>29</v>
      </c>
      <c r="B1" s="73" t="s">
        <v>198</v>
      </c>
      <c r="C1" s="738" t="s">
        <v>199</v>
      </c>
      <c r="D1" s="739"/>
      <c r="E1" s="739"/>
      <c r="F1" s="739"/>
      <c r="G1" s="740"/>
      <c r="H1" s="741" t="s">
        <v>200</v>
      </c>
      <c r="I1" s="742"/>
      <c r="J1" s="742"/>
      <c r="K1" s="742"/>
      <c r="L1" s="743"/>
      <c r="M1" s="744" t="s">
        <v>201</v>
      </c>
      <c r="N1" s="745"/>
      <c r="O1" s="745"/>
      <c r="P1" s="739"/>
      <c r="Q1" s="740"/>
      <c r="R1" s="744" t="s">
        <v>202</v>
      </c>
      <c r="S1" s="745"/>
      <c r="T1" s="745"/>
      <c r="U1" s="745"/>
      <c r="V1" s="746"/>
    </row>
    <row r="2" spans="1:22" s="69" customFormat="1" ht="22.5" customHeight="1" thickTop="1" thickBot="1">
      <c r="B2" s="747" t="s">
        <v>203</v>
      </c>
      <c r="C2" s="733" t="s">
        <v>204</v>
      </c>
      <c r="D2" s="734"/>
      <c r="E2" s="734"/>
      <c r="F2" s="734"/>
      <c r="G2" s="735"/>
      <c r="H2" s="733" t="s">
        <v>205</v>
      </c>
      <c r="I2" s="734"/>
      <c r="J2" s="734"/>
      <c r="K2" s="734"/>
      <c r="L2" s="735"/>
      <c r="M2" s="733" t="s">
        <v>206</v>
      </c>
      <c r="N2" s="734"/>
      <c r="O2" s="734"/>
      <c r="P2" s="734"/>
      <c r="Q2" s="735"/>
      <c r="R2" s="733" t="s">
        <v>207</v>
      </c>
      <c r="S2" s="734"/>
      <c r="T2" s="734"/>
      <c r="U2" s="734"/>
      <c r="V2" s="735"/>
    </row>
    <row r="3" spans="1:22" s="69" customFormat="1" ht="22.5" customHeight="1" thickTop="1" thickBot="1">
      <c r="B3" s="748"/>
      <c r="C3" s="733" t="s">
        <v>208</v>
      </c>
      <c r="D3" s="734"/>
      <c r="E3" s="734"/>
      <c r="F3" s="734"/>
      <c r="G3" s="735"/>
      <c r="H3" s="733" t="s">
        <v>0</v>
      </c>
      <c r="I3" s="734"/>
      <c r="J3" s="734"/>
      <c r="K3" s="734"/>
      <c r="L3" s="735"/>
      <c r="M3" s="733" t="s">
        <v>209</v>
      </c>
      <c r="N3" s="734"/>
      <c r="O3" s="734"/>
      <c r="P3" s="734"/>
      <c r="Q3" s="735"/>
      <c r="R3" s="733" t="s">
        <v>210</v>
      </c>
      <c r="S3" s="734"/>
      <c r="T3" s="734"/>
      <c r="U3" s="734"/>
      <c r="V3" s="735"/>
    </row>
    <row r="4" spans="1:22" s="1" customFormat="1" ht="20.25" customHeight="1" thickTop="1" thickBot="1">
      <c r="A4" s="724" t="s">
        <v>105</v>
      </c>
      <c r="B4" s="70" t="s">
        <v>105</v>
      </c>
      <c r="C4" s="71">
        <f t="array" aca="1" ref="C4" ca="1">IF(ISNUMBER(AVERAGE(IF(ISNUMBER(D6:D8),D6:D8,""))),AVERAGE(IF(ISNUMBER(D6:D8),D6:D8,"")),"No Data")</f>
        <v>3.9556878306878307</v>
      </c>
      <c r="D4" s="736" t="s">
        <v>211</v>
      </c>
      <c r="E4" s="736"/>
      <c r="F4" s="736"/>
      <c r="G4" s="737"/>
      <c r="H4" s="71">
        <f t="array" aca="1" ref="H4" ca="1">IF(ISNUMBER(AVERAGE(IF(ISNUMBER(I6:I8),I6:I8,""))),AVERAGE(IF(ISNUMBER(I6:I8),I6:I8,"")),"No Data")</f>
        <v>4</v>
      </c>
      <c r="I4" s="736" t="s">
        <v>212</v>
      </c>
      <c r="J4" s="736"/>
      <c r="K4" s="736"/>
      <c r="L4" s="737"/>
      <c r="M4" s="71" t="str">
        <f t="array" aca="1" ref="M4" ca="1">IF(ISNUMBER(AVERAGE(IF(ISNUMBER(N6:N8),N6:N8,""))),AVERAGE(IF(ISNUMBER(N6:N8),N6:N8,"")),"No Data")</f>
        <v>No Data</v>
      </c>
      <c r="N4" s="736" t="s">
        <v>213</v>
      </c>
      <c r="O4" s="736"/>
      <c r="P4" s="736"/>
      <c r="Q4" s="737"/>
      <c r="R4" s="71" t="str">
        <f t="array" aca="1" ref="R4" ca="1">IF(ISNUMBER(AVERAGE(IF(ISNUMBER(S6:S8),S6:S8,""))),AVERAGE(IF(ISNUMBER(S6:S8),S6:S8,"")),"No Data")</f>
        <v>No Data</v>
      </c>
      <c r="S4" s="736" t="s">
        <v>214</v>
      </c>
      <c r="T4" s="736"/>
      <c r="U4" s="736"/>
      <c r="V4" s="737"/>
    </row>
    <row r="5" spans="1:22" s="1" customFormat="1" ht="58.5" customHeight="1" thickBot="1">
      <c r="A5" s="725"/>
      <c r="B5" s="72"/>
      <c r="C5" s="727" t="s">
        <v>215</v>
      </c>
      <c r="D5" s="728"/>
      <c r="E5" s="728"/>
      <c r="F5" s="728"/>
      <c r="G5" s="729"/>
      <c r="H5" s="727" t="s">
        <v>216</v>
      </c>
      <c r="I5" s="728"/>
      <c r="J5" s="728"/>
      <c r="K5" s="728"/>
      <c r="L5" s="729"/>
      <c r="M5" s="727" t="s">
        <v>217</v>
      </c>
      <c r="N5" s="728"/>
      <c r="O5" s="728"/>
      <c r="P5" s="728"/>
      <c r="Q5" s="729"/>
      <c r="R5" s="727" t="s">
        <v>218</v>
      </c>
      <c r="S5" s="728"/>
      <c r="T5" s="728"/>
      <c r="U5" s="728"/>
      <c r="V5" s="729"/>
    </row>
    <row r="6" spans="1:22" s="1" customFormat="1" ht="35.25" customHeight="1" thickTop="1">
      <c r="A6" s="725"/>
      <c r="B6" s="730" t="s">
        <v>219</v>
      </c>
      <c r="C6" s="585">
        <f t="array" ref="C6">COUNT(FIND(F6,'Survey Mapping'!$E$4:$E$23),FIND(F6,'Survey Mapping'!$M$4:$M$25),FIND(F6,'Survey Mapping'!$V$4:$V$25))</f>
        <v>7</v>
      </c>
      <c r="D6" s="586">
        <f t="array" aca="1" ref="D6" ca="1">IFERROR(AVERAGE(IF(F6='Survey Mapping'!$E$4:$E$23,'Survey Mapping'!$B$4:$B$23),IF(F6='Survey Mapping'!$M$4:$M$23,'Survey Mapping'!$J$4:$J$23),IF(F6='Survey Mapping'!$V$4:$V$23,'Survey Mapping'!$R$4:$R$23)), "No Data")</f>
        <v>3.9642857142857144</v>
      </c>
      <c r="E6" s="586">
        <f ca="1">IF(ISNUMBER(D6),D6,"No Data")</f>
        <v>3.9642857142857144</v>
      </c>
      <c r="F6" s="587" t="s">
        <v>108</v>
      </c>
      <c r="G6" s="588" t="s">
        <v>220</v>
      </c>
      <c r="H6" s="585">
        <f t="array" ref="H6">COUNT(FIND(K6,'Survey Mapping'!$E$4:$E$23),FIND(K6,'Survey Mapping'!$M$4:$M$25),FIND(K6,'Survey Mapping'!$V$4:$V$25))</f>
        <v>0</v>
      </c>
      <c r="I6" s="586" t="str">
        <f t="array" aca="1" ref="I6" ca="1">IFERROR(AVERAGE(IF(K6='Survey Mapping'!$E$4:$E$23,'Survey Mapping'!$B$4:$B$23),IF(K6='Survey Mapping'!$M$4:$M$23,'Survey Mapping'!$J$4:$J$23),IF(K6='Survey Mapping'!$V$4:$V$23,'Survey Mapping'!$R$4:$R$23)), "No Data")</f>
        <v>No Data</v>
      </c>
      <c r="J6" s="586" t="str">
        <f ca="1">IF(ISNUMBER(I6),I6,"No Data")</f>
        <v>No Data</v>
      </c>
      <c r="K6" s="587" t="s">
        <v>221</v>
      </c>
      <c r="L6" s="588" t="s">
        <v>222</v>
      </c>
      <c r="M6" s="585">
        <f t="array" ref="M6">COUNT(FIND(P6,'Survey Mapping'!$E$4:$E$23),FIND(P6,'Survey Mapping'!$M$4:$M$25),FIND(P6,'Survey Mapping'!$V$4:$V$25))</f>
        <v>6</v>
      </c>
      <c r="N6" s="586" t="str">
        <f t="array" aca="1" ref="N6" ca="1">IFERROR(AVERAGE(IF(P6='Survey Mapping'!$E$4:$E$23,'Survey Mapping'!$B$4:$B$23),IF(P6='Survey Mapping'!$M$4:$M$23,'Survey Mapping'!$J$4:$J$23),IF(P6='Survey Mapping'!$V$4:$V$23,'Survey Mapping'!$R$4:$R$23)), "No Data")</f>
        <v>No Data</v>
      </c>
      <c r="O6" s="586" t="str">
        <f ca="1">IF(ISNUMBER(N6),N6,"No Data")</f>
        <v>No Data</v>
      </c>
      <c r="P6" s="587" t="s">
        <v>113</v>
      </c>
      <c r="Q6" s="588" t="s">
        <v>223</v>
      </c>
      <c r="R6" s="585">
        <f t="array" ref="R6">COUNT(FIND(U6,'Survey Mapping'!$E$4:$E$23),FIND(U6,'Survey Mapping'!$M$4:$M$25),FIND(U6,'Survey Mapping'!$V$4:$V$25))</f>
        <v>4</v>
      </c>
      <c r="S6" s="586" t="str">
        <f t="array" aca="1" ref="S6" ca="1">IFERROR(AVERAGE(IF(U6='Survey Mapping'!$E$4:$E$23,'Survey Mapping'!$B$4:$B$23),IF(U6='Survey Mapping'!$M$4:$M$23,'Survey Mapping'!$J$4:$J$23),IF(U6='Survey Mapping'!$V$4:$V$23,'Survey Mapping'!$R$4:$R$23)), "No Data")</f>
        <v>No Data</v>
      </c>
      <c r="T6" s="586" t="str">
        <f ca="1">IF(ISNUMBER(S6),S6,"No Data")</f>
        <v>No Data</v>
      </c>
      <c r="U6" s="587" t="s">
        <v>118</v>
      </c>
      <c r="V6" s="588" t="s">
        <v>224</v>
      </c>
    </row>
    <row r="7" spans="1:22" s="1" customFormat="1" ht="47.25" customHeight="1">
      <c r="A7" s="725"/>
      <c r="B7" s="731"/>
      <c r="C7" s="589">
        <f t="array" ref="C7">COUNT(FIND(F7,'Survey Mapping'!$E$4:$E$23),FIND(F7,'Survey Mapping'!$M$4:$M$25),FIND(F7,'Survey Mapping'!$V$4:$V$25))</f>
        <v>6</v>
      </c>
      <c r="D7" s="590">
        <f t="array" aca="1" ref="D7" ca="1">IFERROR(AVERAGE(IF(F7='Survey Mapping'!$E$4:$E$23,'Survey Mapping'!$B$4:$B$23),IF(F7='Survey Mapping'!$M$4:$M$23,'Survey Mapping'!$J$4:$J$23),IF(F7='Survey Mapping'!$V$4:$V$23,'Survey Mapping'!$R$4:$R$23)), "No Data")</f>
        <v>3.9444444444444442</v>
      </c>
      <c r="E7" s="590">
        <f ca="1">IF(ISNUMBER(D7),D7,"No Data")</f>
        <v>3.9444444444444442</v>
      </c>
      <c r="F7" s="591" t="s">
        <v>177</v>
      </c>
      <c r="G7" s="592" t="s">
        <v>225</v>
      </c>
      <c r="H7" s="589">
        <f t="array" ref="H7">COUNT(FIND(K7,'Survey Mapping'!$E$4:$E$23),FIND(K7,'Survey Mapping'!$M$4:$M$25),FIND(K7,'Survey Mapping'!$V$4:$V$25))</f>
        <v>5</v>
      </c>
      <c r="I7" s="590">
        <f t="array" aca="1" ref="I7" ca="1">IFERROR(AVERAGE(IF(K7='Survey Mapping'!$E$4:$E$23,'Survey Mapping'!$B$4:$B$23),IF(K7='Survey Mapping'!$M$4:$M$23,'Survey Mapping'!$J$4:$J$23),IF(K7='Survey Mapping'!$V$4:$V$23,'Survey Mapping'!$R$4:$R$23)), "No Data")</f>
        <v>4</v>
      </c>
      <c r="J7" s="590">
        <f ca="1">IF(ISNUMBER(I7),I7,"No Data")</f>
        <v>4</v>
      </c>
      <c r="K7" s="591" t="s">
        <v>143</v>
      </c>
      <c r="L7" s="592" t="s">
        <v>226</v>
      </c>
      <c r="M7" s="589">
        <f t="array" ref="M7">COUNT(FIND(P7,'Survey Mapping'!$E$4:$E$23),FIND(P7,'Survey Mapping'!$M$4:$M$25),FIND(P7,'Survey Mapping'!$V$4:$V$25))</f>
        <v>6</v>
      </c>
      <c r="N7" s="590" t="str">
        <f t="array" aca="1" ref="N7" ca="1">IFERROR(AVERAGE(IF(P7='Survey Mapping'!$E$4:$E$23,'Survey Mapping'!$B$4:$B$23),IF(P7='Survey Mapping'!$M$4:$M$23,'Survey Mapping'!$J$4:$J$23),IF(P7='Survey Mapping'!$V$4:$V$23,'Survey Mapping'!$R$4:$R$23)), "No Data")</f>
        <v>No Data</v>
      </c>
      <c r="O7" s="590" t="str">
        <f ca="1">IF(ISNUMBER(N7),N7,"No Data")</f>
        <v>No Data</v>
      </c>
      <c r="P7" s="591" t="s">
        <v>146</v>
      </c>
      <c r="Q7" s="592" t="s">
        <v>227</v>
      </c>
      <c r="R7" s="589">
        <f t="array" ref="R7">COUNT(FIND(U7,'Survey Mapping'!$E$4:$E$23),FIND(U7,'Survey Mapping'!$M$4:$M$25),FIND(U7,'Survey Mapping'!$V$4:$V$25))</f>
        <v>0</v>
      </c>
      <c r="S7" s="590" t="str">
        <f t="array" aca="1" ref="S7" ca="1">IFERROR(AVERAGE(IF(U7='Survey Mapping'!$E$4:$E$23,'Survey Mapping'!$B$4:$B$23),IF(U7='Survey Mapping'!$M$4:$M$23,'Survey Mapping'!$J$4:$J$23),IF(U7='Survey Mapping'!$V$4:$V$23,'Survey Mapping'!$R$4:$R$23)), "No Data")</f>
        <v>No Data</v>
      </c>
      <c r="T7" s="590" t="str">
        <f ca="1">IF(ISNUMBER(S7),S7,"No Data")</f>
        <v>No Data</v>
      </c>
      <c r="U7" s="591" t="s">
        <v>228</v>
      </c>
      <c r="V7" s="592" t="s">
        <v>229</v>
      </c>
    </row>
    <row r="8" spans="1:22" s="1" customFormat="1" ht="35.25" customHeight="1">
      <c r="A8" s="725"/>
      <c r="B8" s="731"/>
      <c r="C8" s="589">
        <f t="array" ref="C8">COUNT(FIND(F8,'Survey Mapping'!$E$4:$E$23),FIND(F8,'Survey Mapping'!$M$4:$M$25),FIND(F8,'Survey Mapping'!$V$4:$V$25))</f>
        <v>7</v>
      </c>
      <c r="D8" s="590">
        <f t="array" aca="1" ref="D8" ca="1">IFERROR(AVERAGE(IF(F8='Survey Mapping'!$E$4:$E$23,'Survey Mapping'!$B$4:$B$23),IF(F8='Survey Mapping'!$M$4:$M$23,'Survey Mapping'!$J$4:$J$23),IF(F8='Survey Mapping'!$V$4:$V$23,'Survey Mapping'!$R$4:$R$23)), "No Data")</f>
        <v>3.9583333333333335</v>
      </c>
      <c r="E8" s="590">
        <f ca="1">IF(ISNUMBER(D8),D8,"No Data")</f>
        <v>3.9583333333333335</v>
      </c>
      <c r="F8" s="591" t="s">
        <v>156</v>
      </c>
      <c r="G8" s="592" t="s">
        <v>230</v>
      </c>
      <c r="H8" s="589">
        <f t="array" ref="H8">COUNT(FIND(K8,'Survey Mapping'!$E$4:$E$23),FIND(K8,'Survey Mapping'!$M$4:$M$25),FIND(K8,'Survey Mapping'!$V$4:$V$25))</f>
        <v>0</v>
      </c>
      <c r="I8" s="590" t="str">
        <f t="array" aca="1" ref="I8" ca="1">IFERROR(AVERAGE(IF(K8='Survey Mapping'!$E$4:$E$23,'Survey Mapping'!$B$4:$B$23),IF(K8='Survey Mapping'!$M$4:$M$23,'Survey Mapping'!$J$4:$J$23),IF(K8='Survey Mapping'!$V$4:$V$23,'Survey Mapping'!$R$4:$R$23)), "No Data")</f>
        <v>No Data</v>
      </c>
      <c r="J8" s="590" t="str">
        <f ca="1">IF(ISNUMBER(I8),I8,"No Data")</f>
        <v>No Data</v>
      </c>
      <c r="K8" s="591" t="s">
        <v>231</v>
      </c>
      <c r="L8" s="592" t="s">
        <v>232</v>
      </c>
      <c r="M8" s="589">
        <f t="array" ref="M8">COUNT(FIND(P8,'Survey Mapping'!$E$4:$E$23),FIND(P8,'Survey Mapping'!$M$4:$M$25),FIND(P8,'Survey Mapping'!$V$4:$V$25))</f>
        <v>0</v>
      </c>
      <c r="N8" s="590" t="str">
        <f t="array" aca="1" ref="N8" ca="1">IFERROR(AVERAGE(IF(P8='Survey Mapping'!$E$4:$E$23,'Survey Mapping'!$B$4:$B$23),IF(P8='Survey Mapping'!$M$4:$M$23,'Survey Mapping'!$J$4:$J$23),IF(P8='Survey Mapping'!$V$4:$V$23,'Survey Mapping'!$R$4:$R$23)), "No Data")</f>
        <v>No Data</v>
      </c>
      <c r="O8" s="590" t="str">
        <f ca="1">IF(ISNUMBER(N8),N8,"No Data")</f>
        <v>No Data</v>
      </c>
      <c r="P8" s="591" t="s">
        <v>233</v>
      </c>
      <c r="Q8" s="592" t="s">
        <v>234</v>
      </c>
      <c r="R8" s="589">
        <f t="array" ref="R8">COUNT(FIND(U8,'Survey Mapping'!$E$4:$E$23),FIND(U8,'Survey Mapping'!$M$4:$M$25),FIND(U8,'Survey Mapping'!$V$4:$V$25))</f>
        <v>1</v>
      </c>
      <c r="S8" s="590" t="str">
        <f t="array" aca="1" ref="S8" ca="1">IFERROR(AVERAGE(IF(U8='Survey Mapping'!$E$4:$E$23,'Survey Mapping'!$B$4:$B$23),IF(U8='Survey Mapping'!$M$4:$M$23,'Survey Mapping'!$J$4:$J$23),IF(U8='Survey Mapping'!$V$4:$V$23,'Survey Mapping'!$R$4:$R$23)), "No Data")</f>
        <v>No Data</v>
      </c>
      <c r="T8" s="590" t="str">
        <f ca="1">IF(ISNUMBER(S8),S8,"No Data")</f>
        <v>No Data</v>
      </c>
      <c r="U8" s="591" t="s">
        <v>160</v>
      </c>
      <c r="V8" s="592" t="s">
        <v>235</v>
      </c>
    </row>
    <row r="9" spans="1:22" s="1" customFormat="1" ht="24" customHeight="1">
      <c r="A9" s="725"/>
      <c r="B9" s="731"/>
      <c r="C9" s="589"/>
      <c r="D9" s="593"/>
      <c r="E9" s="593"/>
      <c r="F9" s="593"/>
      <c r="G9" s="592"/>
      <c r="H9" s="589"/>
      <c r="I9" s="593"/>
      <c r="J9" s="593"/>
      <c r="K9" s="591"/>
      <c r="L9" s="592"/>
      <c r="M9" s="589"/>
      <c r="N9" s="593"/>
      <c r="O9" s="593"/>
      <c r="P9" s="591"/>
      <c r="Q9" s="592"/>
      <c r="R9" s="589"/>
      <c r="S9" s="593"/>
      <c r="T9" s="593"/>
      <c r="U9" s="591"/>
      <c r="V9" s="592"/>
    </row>
    <row r="10" spans="1:22" s="1" customFormat="1" ht="24" customHeight="1" thickBot="1">
      <c r="A10" s="726"/>
      <c r="B10" s="732"/>
      <c r="C10" s="594"/>
      <c r="D10" s="595"/>
      <c r="E10" s="595"/>
      <c r="F10" s="595"/>
      <c r="G10" s="596"/>
      <c r="H10" s="594"/>
      <c r="I10" s="595"/>
      <c r="J10" s="595"/>
      <c r="K10" s="597"/>
      <c r="L10" s="596"/>
      <c r="M10" s="594"/>
      <c r="N10" s="595"/>
      <c r="O10" s="595"/>
      <c r="P10" s="595"/>
      <c r="Q10" s="596"/>
      <c r="R10" s="594"/>
      <c r="S10" s="595"/>
      <c r="T10" s="595"/>
      <c r="U10" s="595"/>
      <c r="V10" s="596"/>
    </row>
    <row r="11" spans="1:22" ht="20.25" customHeight="1" thickTop="1"/>
  </sheetData>
  <mergeCells count="23">
    <mergeCell ref="C1:G1"/>
    <mergeCell ref="H1:L1"/>
    <mergeCell ref="M1:Q1"/>
    <mergeCell ref="R1:V1"/>
    <mergeCell ref="B2:B3"/>
    <mergeCell ref="C2:G2"/>
    <mergeCell ref="H2:L2"/>
    <mergeCell ref="M2:Q2"/>
    <mergeCell ref="R2:V2"/>
    <mergeCell ref="C3:G3"/>
    <mergeCell ref="A4:A10"/>
    <mergeCell ref="M5:Q5"/>
    <mergeCell ref="R5:V5"/>
    <mergeCell ref="B6:B10"/>
    <mergeCell ref="H3:L3"/>
    <mergeCell ref="M3:Q3"/>
    <mergeCell ref="R3:V3"/>
    <mergeCell ref="D4:G4"/>
    <mergeCell ref="I4:L4"/>
    <mergeCell ref="N4:Q4"/>
    <mergeCell ref="S4:V4"/>
    <mergeCell ref="C5:G5"/>
    <mergeCell ref="H5:L5"/>
  </mergeCells>
  <hyperlinks>
    <hyperlink ref="A1" location="'Table of Contents'!A1" display="Table of Contents"/>
  </hyperlinks>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rowBreaks count="1" manualBreakCount="1">
    <brk id="10" max="16383" man="1"/>
  </rowBreaks>
  <colBreaks count="1" manualBreakCount="1">
    <brk id="12" max="1048575" man="1"/>
  </colBreaks>
  <legacyDrawing r:id="rId2"/>
</worksheet>
</file>

<file path=xl/worksheets/sheet7.xml><?xml version="1.0" encoding="utf-8"?>
<worksheet xmlns="http://schemas.openxmlformats.org/spreadsheetml/2006/main" xmlns:r="http://schemas.openxmlformats.org/officeDocument/2006/relationships">
  <sheetPr codeName="Sheet5"/>
  <dimension ref="A1:Y66"/>
  <sheetViews>
    <sheetView topLeftCell="K1" workbookViewId="0">
      <selection activeCell="K5" sqref="K5"/>
    </sheetView>
  </sheetViews>
  <sheetFormatPr defaultRowHeight="12.75"/>
  <cols>
    <col min="1" max="1" width="3.42578125" style="16" customWidth="1"/>
    <col min="2" max="3" width="5.7109375" style="3" customWidth="1"/>
    <col min="4" max="4" width="7.85546875" style="20" customWidth="1"/>
    <col min="5" max="5" width="5.7109375" style="64" customWidth="1"/>
    <col min="6" max="6" width="9.140625" style="3"/>
    <col min="7" max="7" width="9.140625" style="63"/>
    <col min="8" max="8" width="21.5703125" style="1" customWidth="1"/>
    <col min="9" max="9" width="1.28515625" style="11" customWidth="1"/>
    <col min="10" max="11" width="5.7109375" style="11" customWidth="1"/>
    <col min="12" max="12" width="7.85546875" style="17" customWidth="1"/>
    <col min="13" max="13" width="5.7109375" style="17" customWidth="1"/>
    <col min="14" max="14" width="9.140625" style="3"/>
    <col min="15" max="15" width="9.140625" style="63"/>
    <col min="16" max="16" width="21.5703125" style="1" customWidth="1"/>
    <col min="17" max="17" width="1.42578125" style="11" customWidth="1"/>
    <col min="18" max="19" width="5.7109375" style="11" customWidth="1"/>
    <col min="20" max="20" width="5.7109375" style="18" customWidth="1"/>
    <col min="21" max="21" width="7.85546875" style="17" customWidth="1"/>
    <col min="22" max="22" width="5.7109375" style="17" customWidth="1"/>
    <col min="23" max="23" width="9.140625" style="2"/>
    <col min="24" max="24" width="9.140625" style="63"/>
    <col min="25" max="25" width="21.5703125" style="1" customWidth="1"/>
    <col min="26" max="16384" width="9.140625" style="16"/>
  </cols>
  <sheetData>
    <row r="1" spans="1:25">
      <c r="A1" s="5" t="s">
        <v>29</v>
      </c>
      <c r="F1" s="5" t="s">
        <v>966</v>
      </c>
      <c r="N1" s="5" t="s">
        <v>967</v>
      </c>
      <c r="W1" s="5" t="s">
        <v>968</v>
      </c>
    </row>
    <row r="2" spans="1:25" ht="21" thickBot="1">
      <c r="A2" s="582" t="str">
        <f>Team_Name</f>
        <v>Other</v>
      </c>
      <c r="D2" s="645">
        <f ca="1">IFERROR(E2,"No Data")</f>
        <v>4</v>
      </c>
      <c r="E2" s="645">
        <f ca="1">'IT Survey Data'!C23</f>
        <v>4</v>
      </c>
      <c r="F2" s="749" t="s">
        <v>101</v>
      </c>
      <c r="G2" s="749"/>
      <c r="H2" s="749"/>
      <c r="L2" s="645">
        <f ca="1">IFERROR(M2,"No Data")</f>
        <v>0</v>
      </c>
      <c r="M2" s="645">
        <f ca="1">'Business Survey Data'!C23</f>
        <v>0</v>
      </c>
      <c r="N2" s="749" t="s">
        <v>102</v>
      </c>
      <c r="O2" s="749"/>
      <c r="P2" s="749"/>
      <c r="U2" s="645" t="str">
        <f ca="1">IFERROR(V2,"No Data")</f>
        <v>No Data</v>
      </c>
      <c r="V2" s="645" t="e">
        <f ca="1">'Partner Survey Data'!C23</f>
        <v>#N/A</v>
      </c>
      <c r="W2" s="750" t="s">
        <v>103</v>
      </c>
      <c r="X2" s="750"/>
      <c r="Y2" s="750"/>
    </row>
    <row r="3" spans="1:25" ht="21.75" thickTop="1" thickBot="1">
      <c r="B3" s="19" t="s">
        <v>104</v>
      </c>
      <c r="C3" s="19" t="s">
        <v>678</v>
      </c>
      <c r="D3" s="20" t="s">
        <v>105</v>
      </c>
      <c r="E3" s="20" t="s">
        <v>106</v>
      </c>
      <c r="F3" s="751" t="s">
        <v>78</v>
      </c>
      <c r="G3" s="752"/>
      <c r="H3" s="753"/>
      <c r="I3" s="21"/>
      <c r="J3" s="19" t="s">
        <v>104</v>
      </c>
      <c r="K3" s="19" t="s">
        <v>678</v>
      </c>
      <c r="L3" s="20" t="s">
        <v>105</v>
      </c>
      <c r="M3" s="20" t="s">
        <v>106</v>
      </c>
      <c r="N3" s="754" t="s">
        <v>92</v>
      </c>
      <c r="O3" s="755"/>
      <c r="P3" s="756"/>
      <c r="Q3" s="22"/>
      <c r="R3" s="19" t="s">
        <v>104</v>
      </c>
      <c r="S3" s="19" t="s">
        <v>678</v>
      </c>
      <c r="T3" s="19" t="s">
        <v>104</v>
      </c>
      <c r="U3" s="20" t="s">
        <v>105</v>
      </c>
      <c r="V3" s="20" t="s">
        <v>106</v>
      </c>
      <c r="W3" s="751" t="s">
        <v>100</v>
      </c>
      <c r="X3" s="752"/>
      <c r="Y3" s="753"/>
    </row>
    <row r="4" spans="1:25" s="35" customFormat="1" ht="25.5">
      <c r="A4" s="13">
        <v>6</v>
      </c>
      <c r="B4" s="23">
        <f ca="1" xml:space="preserve"> INDIRECT(ADDRESS(26,$A4,,,"IT Survey Data"))</f>
        <v>4.25</v>
      </c>
      <c r="C4" s="23">
        <f t="shared" ref="C4:C23" ca="1" si="0" xml:space="preserve"> INDIRECT(ADDRESS(25,$A4,,,"IT Survey Data"))</f>
        <v>0.4330127018922193</v>
      </c>
      <c r="D4" s="24" t="s">
        <v>107</v>
      </c>
      <c r="E4" s="25" t="s">
        <v>108</v>
      </c>
      <c r="F4" s="26" t="s">
        <v>109</v>
      </c>
      <c r="G4" s="27" t="s">
        <v>110</v>
      </c>
      <c r="H4" s="28" t="s">
        <v>111</v>
      </c>
      <c r="I4" s="29"/>
      <c r="J4" s="23" t="str">
        <f ca="1" xml:space="preserve"> INDIRECT(ADDRESS(26,$A4,,,"Business Survey Data"))</f>
        <v>No Data</v>
      </c>
      <c r="K4" s="23" t="str">
        <f t="shared" ref="K4:K17" ca="1" si="1" xml:space="preserve"> INDIRECT(ADDRESS(25,$A4,,,"Business Survey Data"))</f>
        <v>No Data</v>
      </c>
      <c r="L4" s="24" t="s">
        <v>112</v>
      </c>
      <c r="M4" s="30" t="s">
        <v>113</v>
      </c>
      <c r="N4" s="26" t="s">
        <v>114</v>
      </c>
      <c r="O4" s="27" t="s">
        <v>115</v>
      </c>
      <c r="P4" s="28" t="s">
        <v>116</v>
      </c>
      <c r="Q4" s="29"/>
      <c r="R4" s="303" t="str">
        <f t="shared" ref="R4:R11" ca="1" si="2" xml:space="preserve"> INDIRECT(ADDRESS(26,$A4,,,"Partner Survey Data"))</f>
        <v>No Data</v>
      </c>
      <c r="S4" s="303" t="str">
        <f t="shared" ref="S4:S11" ca="1" si="3" xml:space="preserve"> INDIRECT(ADDRESS(25,$A4,,,"Partner Survey Data"))</f>
        <v>No Data</v>
      </c>
      <c r="T4" s="200" t="str">
        <f t="shared" ref="T4:T11" ca="1" si="4" xml:space="preserve"> INDIRECT(ADDRESS(24,$A4,,,"Partner Survey Data"))</f>
        <v>No Data</v>
      </c>
      <c r="U4" s="24" t="s">
        <v>117</v>
      </c>
      <c r="V4" s="25" t="s">
        <v>118</v>
      </c>
      <c r="W4" s="32" t="s">
        <v>119</v>
      </c>
      <c r="X4" s="33" t="s">
        <v>120</v>
      </c>
      <c r="Y4" s="34" t="s">
        <v>94</v>
      </c>
    </row>
    <row r="5" spans="1:25" s="35" customFormat="1" ht="41.25">
      <c r="A5" s="13">
        <v>8</v>
      </c>
      <c r="B5" s="23">
        <f t="shared" ref="B5:B23" ca="1" si="5" xml:space="preserve"> INDIRECT(ADDRESS(26,$A5,,,"IT Survey Data"))</f>
        <v>4</v>
      </c>
      <c r="C5" s="23">
        <f t="shared" ca="1" si="0"/>
        <v>0</v>
      </c>
      <c r="D5" s="36" t="s">
        <v>107</v>
      </c>
      <c r="E5" s="37" t="s">
        <v>108</v>
      </c>
      <c r="F5" s="38" t="s">
        <v>121</v>
      </c>
      <c r="G5" s="39" t="s">
        <v>122</v>
      </c>
      <c r="H5" s="40" t="s">
        <v>123</v>
      </c>
      <c r="I5" s="29"/>
      <c r="J5" s="23" t="str">
        <f t="shared" ref="J5:J17" ca="1" si="6" xml:space="preserve"> INDIRECT(ADDRESS(26,$A5,,,"Business Survey Data"))</f>
        <v>No Data</v>
      </c>
      <c r="K5" s="23" t="str">
        <f t="shared" ca="1" si="1"/>
        <v>No Data</v>
      </c>
      <c r="L5" s="36" t="s">
        <v>112</v>
      </c>
      <c r="M5" s="41" t="s">
        <v>113</v>
      </c>
      <c r="N5" s="38" t="s">
        <v>107</v>
      </c>
      <c r="O5" s="39" t="s">
        <v>124</v>
      </c>
      <c r="P5" s="40" t="s">
        <v>85</v>
      </c>
      <c r="Q5" s="29"/>
      <c r="R5" s="303" t="str">
        <f t="shared" ca="1" si="2"/>
        <v>No Data</v>
      </c>
      <c r="S5" s="303" t="str">
        <f t="shared" ca="1" si="3"/>
        <v>No Data</v>
      </c>
      <c r="T5" s="200" t="str">
        <f t="shared" ca="1" si="4"/>
        <v>No Data</v>
      </c>
      <c r="U5" s="36" t="s">
        <v>117</v>
      </c>
      <c r="V5" s="37" t="s">
        <v>118</v>
      </c>
      <c r="W5" s="42" t="s">
        <v>125</v>
      </c>
      <c r="X5" s="43" t="s">
        <v>126</v>
      </c>
      <c r="Y5" s="44" t="s">
        <v>127</v>
      </c>
    </row>
    <row r="6" spans="1:25" s="35" customFormat="1" ht="17.25">
      <c r="A6" s="13">
        <v>10</v>
      </c>
      <c r="B6" s="23">
        <f t="shared" ca="1" si="5"/>
        <v>4</v>
      </c>
      <c r="C6" s="23">
        <f t="shared" ca="1" si="0"/>
        <v>0</v>
      </c>
      <c r="D6" s="36" t="s">
        <v>107</v>
      </c>
      <c r="E6" s="37" t="s">
        <v>108</v>
      </c>
      <c r="F6" s="38" t="s">
        <v>109</v>
      </c>
      <c r="G6" s="39" t="s">
        <v>128</v>
      </c>
      <c r="H6" s="40" t="s">
        <v>129</v>
      </c>
      <c r="I6" s="29"/>
      <c r="J6" s="23" t="str">
        <f t="shared" ca="1" si="6"/>
        <v>No Data</v>
      </c>
      <c r="K6" s="23" t="str">
        <f t="shared" ca="1" si="1"/>
        <v>No Data</v>
      </c>
      <c r="L6" s="36" t="s">
        <v>112</v>
      </c>
      <c r="M6" s="37" t="s">
        <v>113</v>
      </c>
      <c r="N6" s="38" t="s">
        <v>130</v>
      </c>
      <c r="O6" s="39" t="s">
        <v>131</v>
      </c>
      <c r="P6" s="40" t="s">
        <v>132</v>
      </c>
      <c r="Q6" s="29"/>
      <c r="R6" s="303" t="str">
        <f t="shared" ca="1" si="2"/>
        <v>No Data</v>
      </c>
      <c r="S6" s="303" t="str">
        <f t="shared" ca="1" si="3"/>
        <v>No Data</v>
      </c>
      <c r="T6" s="200" t="str">
        <f t="shared" ca="1" si="4"/>
        <v>No Data</v>
      </c>
      <c r="U6" s="36" t="s">
        <v>117</v>
      </c>
      <c r="V6" s="37" t="s">
        <v>118</v>
      </c>
      <c r="W6" s="42" t="s">
        <v>119</v>
      </c>
      <c r="X6" s="43" t="s">
        <v>133</v>
      </c>
      <c r="Y6" s="45" t="s">
        <v>95</v>
      </c>
    </row>
    <row r="7" spans="1:25" s="35" customFormat="1" ht="42">
      <c r="A7" s="13">
        <v>12</v>
      </c>
      <c r="B7" s="23">
        <f t="shared" ca="1" si="5"/>
        <v>3.25</v>
      </c>
      <c r="C7" s="23">
        <f t="shared" ca="1" si="0"/>
        <v>0.82915619758884995</v>
      </c>
      <c r="D7" s="36" t="s">
        <v>107</v>
      </c>
      <c r="E7" s="37" t="s">
        <v>108</v>
      </c>
      <c r="F7" s="38" t="s">
        <v>121</v>
      </c>
      <c r="G7" s="39" t="s">
        <v>134</v>
      </c>
      <c r="H7" s="40" t="s">
        <v>135</v>
      </c>
      <c r="I7" s="29"/>
      <c r="J7" s="23" t="str">
        <f t="shared" ca="1" si="6"/>
        <v>No Data</v>
      </c>
      <c r="K7" s="23" t="str">
        <f t="shared" ca="1" si="1"/>
        <v>No Data</v>
      </c>
      <c r="L7" s="36" t="s">
        <v>112</v>
      </c>
      <c r="M7" s="37" t="s">
        <v>113</v>
      </c>
      <c r="N7" s="38" t="s">
        <v>114</v>
      </c>
      <c r="O7" s="39" t="s">
        <v>136</v>
      </c>
      <c r="P7" s="40" t="s">
        <v>86</v>
      </c>
      <c r="Q7" s="29"/>
      <c r="R7" s="303" t="str">
        <f t="shared" ca="1" si="2"/>
        <v>No Data</v>
      </c>
      <c r="S7" s="303" t="str">
        <f t="shared" ca="1" si="3"/>
        <v>No Data</v>
      </c>
      <c r="T7" s="200" t="str">
        <f t="shared" ca="1" si="4"/>
        <v>No Data</v>
      </c>
      <c r="U7" s="36" t="s">
        <v>117</v>
      </c>
      <c r="V7" s="37" t="s">
        <v>118</v>
      </c>
      <c r="W7" s="42" t="s">
        <v>114</v>
      </c>
      <c r="X7" s="43" t="s">
        <v>137</v>
      </c>
      <c r="Y7" s="45" t="s">
        <v>138</v>
      </c>
    </row>
    <row r="8" spans="1:25" s="35" customFormat="1" ht="17.25">
      <c r="A8" s="13">
        <v>14</v>
      </c>
      <c r="B8" s="23">
        <f t="shared" ca="1" si="5"/>
        <v>4</v>
      </c>
      <c r="C8" s="23">
        <f t="shared" ca="1" si="0"/>
        <v>0</v>
      </c>
      <c r="D8" s="36" t="s">
        <v>107</v>
      </c>
      <c r="E8" s="37" t="s">
        <v>108</v>
      </c>
      <c r="F8" s="38" t="s">
        <v>121</v>
      </c>
      <c r="G8" s="39" t="s">
        <v>139</v>
      </c>
      <c r="H8" s="40" t="s">
        <v>140</v>
      </c>
      <c r="I8" s="29"/>
      <c r="J8" s="23" t="str">
        <f t="shared" ca="1" si="6"/>
        <v>No Data</v>
      </c>
      <c r="K8" s="23" t="str">
        <f t="shared" ca="1" si="1"/>
        <v>No Data</v>
      </c>
      <c r="L8" s="36" t="s">
        <v>112</v>
      </c>
      <c r="M8" s="37" t="s">
        <v>113</v>
      </c>
      <c r="N8" s="38" t="s">
        <v>109</v>
      </c>
      <c r="O8" s="39" t="s">
        <v>141</v>
      </c>
      <c r="P8" s="40" t="s">
        <v>87</v>
      </c>
      <c r="Q8" s="29"/>
      <c r="R8" s="303" t="str">
        <f t="shared" ca="1" si="2"/>
        <v>No Data</v>
      </c>
      <c r="S8" s="303" t="str">
        <f t="shared" ca="1" si="3"/>
        <v>No Data</v>
      </c>
      <c r="T8" s="200" t="str">
        <f t="shared" ca="1" si="4"/>
        <v>No Data</v>
      </c>
      <c r="U8" s="36" t="s">
        <v>142</v>
      </c>
      <c r="V8" s="37" t="s">
        <v>143</v>
      </c>
      <c r="W8" s="42" t="s">
        <v>125</v>
      </c>
      <c r="X8" s="43" t="s">
        <v>144</v>
      </c>
      <c r="Y8" s="45" t="s">
        <v>96</v>
      </c>
    </row>
    <row r="9" spans="1:25" s="35" customFormat="1" ht="24.75">
      <c r="A9" s="13">
        <v>16</v>
      </c>
      <c r="B9" s="23">
        <f t="shared" ca="1" si="5"/>
        <v>4</v>
      </c>
      <c r="C9" s="23">
        <f t="shared" ca="1" si="0"/>
        <v>0</v>
      </c>
      <c r="D9" s="36" t="s">
        <v>107</v>
      </c>
      <c r="E9" s="41" t="s">
        <v>108</v>
      </c>
      <c r="F9" s="38" t="s">
        <v>109</v>
      </c>
      <c r="G9" s="39" t="s">
        <v>145</v>
      </c>
      <c r="H9" s="40" t="s">
        <v>69</v>
      </c>
      <c r="I9" s="29"/>
      <c r="J9" s="23" t="str">
        <f t="shared" ca="1" si="6"/>
        <v>No Data</v>
      </c>
      <c r="K9" s="23" t="str">
        <f t="shared" ca="1" si="1"/>
        <v>No Data</v>
      </c>
      <c r="L9" s="36" t="s">
        <v>112</v>
      </c>
      <c r="M9" s="41" t="s">
        <v>146</v>
      </c>
      <c r="N9" s="38" t="s">
        <v>147</v>
      </c>
      <c r="O9" s="39" t="s">
        <v>148</v>
      </c>
      <c r="P9" s="40" t="s">
        <v>88</v>
      </c>
      <c r="Q9" s="29"/>
      <c r="R9" s="303" t="str">
        <f t="shared" ca="1" si="2"/>
        <v>No Data</v>
      </c>
      <c r="S9" s="303" t="str">
        <f t="shared" ca="1" si="3"/>
        <v>No Data</v>
      </c>
      <c r="T9" s="200" t="str">
        <f t="shared" ca="1" si="4"/>
        <v>No Data</v>
      </c>
      <c r="U9" s="36" t="s">
        <v>112</v>
      </c>
      <c r="V9" s="41" t="s">
        <v>146</v>
      </c>
      <c r="W9" s="42" t="s">
        <v>149</v>
      </c>
      <c r="X9" s="43" t="s">
        <v>150</v>
      </c>
      <c r="Y9" s="45" t="s">
        <v>99</v>
      </c>
    </row>
    <row r="10" spans="1:25" s="35" customFormat="1" ht="25.5">
      <c r="A10" s="13">
        <v>18</v>
      </c>
      <c r="B10" s="23">
        <f t="shared" ca="1" si="5"/>
        <v>4.25</v>
      </c>
      <c r="C10" s="23">
        <f t="shared" ca="1" si="0"/>
        <v>0.4330127018922193</v>
      </c>
      <c r="D10" s="36" t="s">
        <v>107</v>
      </c>
      <c r="E10" s="37" t="s">
        <v>108</v>
      </c>
      <c r="F10" s="38" t="s">
        <v>119</v>
      </c>
      <c r="G10" s="39" t="s">
        <v>151</v>
      </c>
      <c r="H10" s="40" t="s">
        <v>152</v>
      </c>
      <c r="I10" s="29"/>
      <c r="J10" s="23" t="str">
        <f t="shared" ca="1" si="6"/>
        <v>No Data</v>
      </c>
      <c r="K10" s="23" t="str">
        <f t="shared" ca="1" si="1"/>
        <v>No Data</v>
      </c>
      <c r="L10" s="36" t="s">
        <v>112</v>
      </c>
      <c r="M10" s="37" t="s">
        <v>146</v>
      </c>
      <c r="N10" s="38" t="s">
        <v>147</v>
      </c>
      <c r="O10" s="39" t="s">
        <v>153</v>
      </c>
      <c r="P10" s="40" t="s">
        <v>89</v>
      </c>
      <c r="Q10" s="29"/>
      <c r="R10" s="303" t="str">
        <f t="shared" ca="1" si="2"/>
        <v>No Data</v>
      </c>
      <c r="S10" s="303" t="str">
        <f t="shared" ca="1" si="3"/>
        <v>No Data</v>
      </c>
      <c r="T10" s="200" t="str">
        <f t="shared" ca="1" si="4"/>
        <v>No Data</v>
      </c>
      <c r="U10" s="36" t="s">
        <v>107</v>
      </c>
      <c r="V10" s="37" t="s">
        <v>156</v>
      </c>
      <c r="W10" s="42" t="s">
        <v>109</v>
      </c>
      <c r="X10" s="43" t="s">
        <v>154</v>
      </c>
      <c r="Y10" s="45" t="s">
        <v>155</v>
      </c>
    </row>
    <row r="11" spans="1:25" s="35" customFormat="1" ht="24.75">
      <c r="A11" s="13">
        <v>20</v>
      </c>
      <c r="B11" s="23">
        <f t="shared" ca="1" si="5"/>
        <v>4.25</v>
      </c>
      <c r="C11" s="23">
        <f t="shared" ca="1" si="0"/>
        <v>0.4330127018922193</v>
      </c>
      <c r="D11" s="36" t="s">
        <v>107</v>
      </c>
      <c r="E11" s="37" t="s">
        <v>156</v>
      </c>
      <c r="F11" s="38" t="s">
        <v>109</v>
      </c>
      <c r="G11" s="39" t="s">
        <v>157</v>
      </c>
      <c r="H11" s="40" t="s">
        <v>70</v>
      </c>
      <c r="I11" s="29"/>
      <c r="J11" s="23" t="str">
        <f t="shared" ca="1" si="6"/>
        <v>No Data</v>
      </c>
      <c r="K11" s="23" t="str">
        <f t="shared" ca="1" si="1"/>
        <v>No Data</v>
      </c>
      <c r="L11" s="36" t="s">
        <v>112</v>
      </c>
      <c r="M11" s="37" t="s">
        <v>146</v>
      </c>
      <c r="N11" s="38" t="s">
        <v>114</v>
      </c>
      <c r="O11" s="39" t="s">
        <v>158</v>
      </c>
      <c r="P11" s="40" t="s">
        <v>159</v>
      </c>
      <c r="Q11" s="29"/>
      <c r="R11" s="303" t="str">
        <f t="shared" ca="1" si="2"/>
        <v>No Data</v>
      </c>
      <c r="S11" s="303" t="str">
        <f t="shared" ca="1" si="3"/>
        <v>No Data</v>
      </c>
      <c r="T11" s="200" t="str">
        <f t="shared" ca="1" si="4"/>
        <v>No Data</v>
      </c>
      <c r="U11" s="46" t="s">
        <v>117</v>
      </c>
      <c r="V11" s="47" t="s">
        <v>160</v>
      </c>
      <c r="W11" s="42" t="s">
        <v>107</v>
      </c>
      <c r="X11" s="43" t="s">
        <v>161</v>
      </c>
      <c r="Y11" s="45" t="s">
        <v>97</v>
      </c>
    </row>
    <row r="12" spans="1:25" s="35" customFormat="1" ht="33">
      <c r="A12" s="13">
        <v>22</v>
      </c>
      <c r="B12" s="23">
        <f t="shared" ca="1" si="5"/>
        <v>4.25</v>
      </c>
      <c r="C12" s="23">
        <f t="shared" ca="1" si="0"/>
        <v>0.4330127018922193</v>
      </c>
      <c r="D12" s="36" t="s">
        <v>107</v>
      </c>
      <c r="E12" s="37" t="s">
        <v>156</v>
      </c>
      <c r="F12" s="38" t="s">
        <v>109</v>
      </c>
      <c r="G12" s="39" t="s">
        <v>162</v>
      </c>
      <c r="H12" s="40" t="s">
        <v>71</v>
      </c>
      <c r="I12" s="29"/>
      <c r="J12" s="23" t="str">
        <f t="shared" ca="1" si="6"/>
        <v>No Data</v>
      </c>
      <c r="K12" s="23" t="str">
        <f t="shared" ca="1" si="1"/>
        <v>No Data</v>
      </c>
      <c r="L12" s="36" t="s">
        <v>112</v>
      </c>
      <c r="M12" s="37" t="s">
        <v>146</v>
      </c>
      <c r="N12" s="38" t="s">
        <v>107</v>
      </c>
      <c r="O12" s="39" t="s">
        <v>163</v>
      </c>
      <c r="P12" s="40" t="s">
        <v>90</v>
      </c>
      <c r="Q12" s="29"/>
      <c r="R12" s="29"/>
      <c r="S12" s="29"/>
      <c r="T12" s="31"/>
      <c r="U12" s="36"/>
      <c r="V12" s="37"/>
      <c r="W12" s="42"/>
      <c r="X12" s="43" t="s">
        <v>164</v>
      </c>
      <c r="Y12" s="45" t="s">
        <v>98</v>
      </c>
    </row>
    <row r="13" spans="1:25" s="35" customFormat="1" ht="33">
      <c r="A13" s="13">
        <v>24</v>
      </c>
      <c r="B13" s="23">
        <f t="shared" ca="1" si="5"/>
        <v>4</v>
      </c>
      <c r="C13" s="23">
        <f t="shared" ca="1" si="0"/>
        <v>1</v>
      </c>
      <c r="D13" s="36" t="s">
        <v>107</v>
      </c>
      <c r="E13" s="37" t="s">
        <v>156</v>
      </c>
      <c r="F13" s="38" t="s">
        <v>109</v>
      </c>
      <c r="G13" s="39" t="s">
        <v>165</v>
      </c>
      <c r="H13" s="40" t="s">
        <v>72</v>
      </c>
      <c r="I13" s="29"/>
      <c r="J13" s="23" t="str">
        <f t="shared" ca="1" si="6"/>
        <v>No Data</v>
      </c>
      <c r="K13" s="23" t="str">
        <f t="shared" ca="1" si="1"/>
        <v>No Data</v>
      </c>
      <c r="L13" s="36" t="s">
        <v>112</v>
      </c>
      <c r="M13" s="37" t="s">
        <v>113</v>
      </c>
      <c r="N13" s="48" t="s">
        <v>166</v>
      </c>
      <c r="O13" s="39" t="s">
        <v>167</v>
      </c>
      <c r="P13" s="40" t="s">
        <v>168</v>
      </c>
      <c r="Q13" s="29"/>
      <c r="R13" s="29"/>
      <c r="S13" s="29"/>
      <c r="T13" s="31"/>
      <c r="U13" s="36"/>
      <c r="V13" s="37"/>
      <c r="W13" s="42"/>
      <c r="X13" s="43" t="s">
        <v>169</v>
      </c>
      <c r="Y13" s="45" t="s">
        <v>170</v>
      </c>
    </row>
    <row r="14" spans="1:25" s="35" customFormat="1" ht="24.75">
      <c r="A14" s="13">
        <v>26</v>
      </c>
      <c r="B14" s="23">
        <f t="shared" ca="1" si="5"/>
        <v>4.25</v>
      </c>
      <c r="C14" s="23">
        <f t="shared" ca="1" si="0"/>
        <v>0.4330127018922193</v>
      </c>
      <c r="D14" s="36" t="s">
        <v>107</v>
      </c>
      <c r="E14" s="37" t="s">
        <v>156</v>
      </c>
      <c r="F14" s="38" t="s">
        <v>125</v>
      </c>
      <c r="G14" s="39" t="s">
        <v>171</v>
      </c>
      <c r="H14" s="40" t="s">
        <v>73</v>
      </c>
      <c r="I14" s="29"/>
      <c r="J14" s="23" t="str">
        <f t="shared" ca="1" si="6"/>
        <v>No Data</v>
      </c>
      <c r="K14" s="23" t="str">
        <f t="shared" ca="1" si="1"/>
        <v>No Data</v>
      </c>
      <c r="L14" s="36" t="s">
        <v>142</v>
      </c>
      <c r="M14" s="41" t="s">
        <v>143</v>
      </c>
      <c r="N14" s="38" t="s">
        <v>125</v>
      </c>
      <c r="O14" s="39" t="s">
        <v>172</v>
      </c>
      <c r="P14" s="40" t="s">
        <v>173</v>
      </c>
      <c r="Q14" s="29"/>
      <c r="R14" s="29"/>
      <c r="S14" s="29"/>
      <c r="T14" s="31"/>
      <c r="U14" s="36"/>
      <c r="V14" s="37"/>
      <c r="W14" s="42"/>
      <c r="X14" s="49"/>
      <c r="Y14" s="45"/>
    </row>
    <row r="15" spans="1:25" s="35" customFormat="1" ht="24.75">
      <c r="A15" s="13">
        <v>28</v>
      </c>
      <c r="B15" s="23">
        <f t="shared" ca="1" si="5"/>
        <v>4</v>
      </c>
      <c r="C15" s="23">
        <f t="shared" ca="1" si="0"/>
        <v>0.70710678118654757</v>
      </c>
      <c r="D15" s="36" t="s">
        <v>107</v>
      </c>
      <c r="E15" s="37" t="s">
        <v>156</v>
      </c>
      <c r="F15" s="38" t="s">
        <v>125</v>
      </c>
      <c r="G15" s="39" t="s">
        <v>174</v>
      </c>
      <c r="H15" s="40" t="s">
        <v>74</v>
      </c>
      <c r="I15" s="29"/>
      <c r="J15" s="23" t="str">
        <f t="shared" ca="1" si="6"/>
        <v>No Data</v>
      </c>
      <c r="K15" s="23" t="str">
        <f t="shared" ca="1" si="1"/>
        <v>No Data</v>
      </c>
      <c r="L15" s="36" t="s">
        <v>142</v>
      </c>
      <c r="M15" s="37" t="s">
        <v>143</v>
      </c>
      <c r="N15" s="38" t="s">
        <v>109</v>
      </c>
      <c r="O15" s="39" t="s">
        <v>175</v>
      </c>
      <c r="P15" s="40" t="s">
        <v>176</v>
      </c>
      <c r="Q15" s="29"/>
      <c r="R15" s="29"/>
      <c r="S15" s="29"/>
      <c r="T15" s="31"/>
      <c r="U15" s="36"/>
      <c r="V15" s="37"/>
      <c r="W15" s="42"/>
      <c r="X15" s="49"/>
      <c r="Y15" s="45"/>
    </row>
    <row r="16" spans="1:25" s="35" customFormat="1" ht="24.75">
      <c r="A16" s="13">
        <v>30</v>
      </c>
      <c r="B16" s="23">
        <f t="shared" ca="1" si="5"/>
        <v>4</v>
      </c>
      <c r="C16" s="23">
        <f t="shared" ca="1" si="0"/>
        <v>0</v>
      </c>
      <c r="D16" s="36" t="s">
        <v>107</v>
      </c>
      <c r="E16" s="37" t="s">
        <v>177</v>
      </c>
      <c r="F16" s="38" t="s">
        <v>114</v>
      </c>
      <c r="G16" s="39" t="s">
        <v>178</v>
      </c>
      <c r="H16" s="40" t="s">
        <v>75</v>
      </c>
      <c r="I16" s="29"/>
      <c r="J16" s="23" t="str">
        <f t="shared" ca="1" si="6"/>
        <v>No Data</v>
      </c>
      <c r="K16" s="23" t="str">
        <f t="shared" ca="1" si="1"/>
        <v>No Data</v>
      </c>
      <c r="L16" s="36" t="s">
        <v>112</v>
      </c>
      <c r="M16" s="41" t="s">
        <v>146</v>
      </c>
      <c r="N16" s="38" t="s">
        <v>130</v>
      </c>
      <c r="O16" s="39" t="s">
        <v>179</v>
      </c>
      <c r="P16" s="40" t="s">
        <v>93</v>
      </c>
      <c r="Q16" s="29"/>
      <c r="R16" s="29"/>
      <c r="S16" s="29"/>
      <c r="T16" s="31"/>
      <c r="U16" s="36"/>
      <c r="V16" s="37"/>
      <c r="W16" s="42"/>
      <c r="X16" s="49"/>
      <c r="Y16" s="45"/>
    </row>
    <row r="17" spans="1:25" s="35" customFormat="1" ht="33">
      <c r="A17" s="13">
        <v>32</v>
      </c>
      <c r="B17" s="23">
        <f t="shared" ca="1" si="5"/>
        <v>4</v>
      </c>
      <c r="C17" s="23">
        <f t="shared" ca="1" si="0"/>
        <v>0</v>
      </c>
      <c r="D17" s="36" t="s">
        <v>107</v>
      </c>
      <c r="E17" s="41" t="s">
        <v>177</v>
      </c>
      <c r="F17" s="38" t="s">
        <v>114</v>
      </c>
      <c r="G17" s="39" t="s">
        <v>180</v>
      </c>
      <c r="H17" s="40" t="s">
        <v>181</v>
      </c>
      <c r="I17" s="29"/>
      <c r="J17" s="23" t="str">
        <f t="shared" ca="1" si="6"/>
        <v>No Data</v>
      </c>
      <c r="K17" s="23" t="str">
        <f t="shared" ca="1" si="1"/>
        <v>No Data</v>
      </c>
      <c r="L17" s="36" t="s">
        <v>142</v>
      </c>
      <c r="M17" s="41" t="s">
        <v>143</v>
      </c>
      <c r="N17" s="38" t="s">
        <v>107</v>
      </c>
      <c r="O17" s="39" t="s">
        <v>182</v>
      </c>
      <c r="P17" s="40" t="s">
        <v>91</v>
      </c>
      <c r="Q17" s="29"/>
      <c r="R17" s="29"/>
      <c r="S17" s="29"/>
      <c r="T17" s="31"/>
      <c r="U17" s="36"/>
      <c r="V17" s="41"/>
      <c r="W17" s="42"/>
      <c r="X17" s="49"/>
      <c r="Y17" s="45"/>
    </row>
    <row r="18" spans="1:25" s="35" customFormat="1" ht="16.5">
      <c r="A18" s="13">
        <v>34</v>
      </c>
      <c r="B18" s="23">
        <f t="shared" ca="1" si="5"/>
        <v>3.6666666666666665</v>
      </c>
      <c r="C18" s="23">
        <f t="shared" ca="1" si="0"/>
        <v>0.47140452079103168</v>
      </c>
      <c r="D18" s="36" t="s">
        <v>107</v>
      </c>
      <c r="E18" s="41" t="s">
        <v>177</v>
      </c>
      <c r="F18" s="38" t="s">
        <v>114</v>
      </c>
      <c r="G18" s="39" t="s">
        <v>183</v>
      </c>
      <c r="H18" s="40" t="s">
        <v>184</v>
      </c>
      <c r="I18" s="29"/>
      <c r="J18" s="29"/>
      <c r="K18" s="29"/>
      <c r="L18" s="36"/>
      <c r="M18" s="50"/>
      <c r="N18" s="38"/>
      <c r="O18" s="39" t="s">
        <v>185</v>
      </c>
      <c r="P18" s="40" t="s">
        <v>98</v>
      </c>
      <c r="Q18" s="29"/>
      <c r="R18" s="29"/>
      <c r="S18" s="29"/>
      <c r="T18" s="31"/>
      <c r="U18" s="36"/>
      <c r="V18" s="41"/>
      <c r="W18" s="42"/>
      <c r="X18" s="49"/>
      <c r="Y18" s="45"/>
    </row>
    <row r="19" spans="1:25" s="35" customFormat="1" ht="16.5">
      <c r="A19" s="13">
        <v>36</v>
      </c>
      <c r="B19" s="23">
        <f t="shared" ca="1" si="5"/>
        <v>4</v>
      </c>
      <c r="C19" s="23">
        <f t="shared" ca="1" si="0"/>
        <v>0</v>
      </c>
      <c r="D19" s="36" t="s">
        <v>107</v>
      </c>
      <c r="E19" s="41" t="s">
        <v>177</v>
      </c>
      <c r="F19" s="38" t="s">
        <v>114</v>
      </c>
      <c r="G19" s="39" t="s">
        <v>186</v>
      </c>
      <c r="H19" s="40" t="s">
        <v>80</v>
      </c>
      <c r="I19" s="29"/>
      <c r="J19" s="29"/>
      <c r="K19" s="29"/>
      <c r="L19" s="36"/>
      <c r="M19" s="41"/>
      <c r="N19" s="38"/>
      <c r="O19" s="39" t="s">
        <v>187</v>
      </c>
      <c r="P19" s="40" t="s">
        <v>188</v>
      </c>
      <c r="Q19" s="29"/>
      <c r="R19" s="29"/>
      <c r="S19" s="29"/>
      <c r="T19" s="31"/>
      <c r="U19" s="36"/>
      <c r="V19" s="41"/>
      <c r="W19" s="42"/>
      <c r="X19" s="49"/>
      <c r="Y19" s="45"/>
    </row>
    <row r="20" spans="1:25" s="35" customFormat="1" ht="16.5">
      <c r="A20" s="13">
        <v>38</v>
      </c>
      <c r="B20" s="23">
        <f t="shared" ca="1" si="5"/>
        <v>3</v>
      </c>
      <c r="C20" s="23">
        <f t="shared" ca="1" si="0"/>
        <v>1</v>
      </c>
      <c r="D20" s="36" t="s">
        <v>107</v>
      </c>
      <c r="E20" s="37" t="s">
        <v>156</v>
      </c>
      <c r="F20" s="48" t="s">
        <v>189</v>
      </c>
      <c r="G20" s="39" t="s">
        <v>190</v>
      </c>
      <c r="H20" s="40" t="s">
        <v>191</v>
      </c>
      <c r="I20" s="29"/>
      <c r="J20" s="29"/>
      <c r="K20" s="29"/>
      <c r="L20" s="36"/>
      <c r="M20" s="37"/>
      <c r="N20" s="38"/>
      <c r="O20" s="51"/>
      <c r="P20" s="40"/>
      <c r="Q20" s="29"/>
      <c r="R20" s="29"/>
      <c r="S20" s="29"/>
      <c r="T20" s="31"/>
      <c r="U20" s="36"/>
      <c r="V20" s="37"/>
      <c r="W20" s="42"/>
      <c r="X20" s="49"/>
      <c r="Y20" s="45"/>
    </row>
    <row r="21" spans="1:25" s="35" customFormat="1" ht="16.5">
      <c r="A21" s="13">
        <v>40</v>
      </c>
      <c r="B21" s="23">
        <f t="shared" ca="1" si="5"/>
        <v>4</v>
      </c>
      <c r="C21" s="23">
        <f t="shared" ca="1" si="0"/>
        <v>0</v>
      </c>
      <c r="D21" s="36" t="s">
        <v>107</v>
      </c>
      <c r="E21" s="37" t="s">
        <v>177</v>
      </c>
      <c r="F21" s="38" t="s">
        <v>121</v>
      </c>
      <c r="G21" s="39" t="s">
        <v>192</v>
      </c>
      <c r="H21" s="40" t="s">
        <v>193</v>
      </c>
      <c r="I21" s="29"/>
      <c r="J21" s="29"/>
      <c r="K21" s="29"/>
      <c r="L21" s="36"/>
      <c r="M21" s="37"/>
      <c r="N21" s="38"/>
      <c r="O21" s="51"/>
      <c r="P21" s="40"/>
      <c r="Q21" s="29"/>
      <c r="R21" s="29"/>
      <c r="S21" s="29"/>
      <c r="T21" s="31"/>
      <c r="U21" s="36"/>
      <c r="V21" s="37"/>
      <c r="W21" s="42"/>
      <c r="X21" s="49"/>
      <c r="Y21" s="45"/>
    </row>
    <row r="22" spans="1:25" s="35" customFormat="1" ht="16.5">
      <c r="A22" s="13">
        <v>42</v>
      </c>
      <c r="B22" s="23">
        <f t="shared" ca="1" si="5"/>
        <v>4</v>
      </c>
      <c r="C22" s="23">
        <f t="shared" ca="1" si="0"/>
        <v>0</v>
      </c>
      <c r="D22" s="36" t="s">
        <v>107</v>
      </c>
      <c r="E22" s="41" t="s">
        <v>177</v>
      </c>
      <c r="F22" s="38" t="s">
        <v>107</v>
      </c>
      <c r="G22" s="39" t="s">
        <v>194</v>
      </c>
      <c r="H22" s="40" t="s">
        <v>195</v>
      </c>
      <c r="I22" s="29"/>
      <c r="J22" s="29"/>
      <c r="K22" s="29"/>
      <c r="L22" s="36"/>
      <c r="M22" s="41"/>
      <c r="N22" s="38"/>
      <c r="O22" s="51"/>
      <c r="P22" s="40"/>
      <c r="Q22" s="29"/>
      <c r="R22" s="29"/>
      <c r="S22" s="29"/>
      <c r="T22" s="31"/>
      <c r="U22" s="36"/>
      <c r="V22" s="41"/>
      <c r="W22" s="42"/>
      <c r="X22" s="49"/>
      <c r="Y22" s="45"/>
    </row>
    <row r="23" spans="1:25" s="35" customFormat="1" ht="33">
      <c r="A23" s="13">
        <v>44</v>
      </c>
      <c r="B23" s="23">
        <f t="shared" ca="1" si="5"/>
        <v>4</v>
      </c>
      <c r="C23" s="23">
        <f t="shared" ca="1" si="0"/>
        <v>0</v>
      </c>
      <c r="D23" s="36" t="s">
        <v>142</v>
      </c>
      <c r="E23" s="37" t="s">
        <v>143</v>
      </c>
      <c r="F23" s="38" t="s">
        <v>107</v>
      </c>
      <c r="G23" s="39" t="s">
        <v>196</v>
      </c>
      <c r="H23" s="40" t="s">
        <v>76</v>
      </c>
      <c r="I23" s="29"/>
      <c r="J23" s="29"/>
      <c r="K23" s="29"/>
      <c r="L23" s="36"/>
      <c r="M23" s="37"/>
      <c r="N23" s="38"/>
      <c r="O23" s="51"/>
      <c r="P23" s="40"/>
      <c r="Q23" s="29"/>
      <c r="R23" s="29"/>
      <c r="S23" s="29"/>
      <c r="T23" s="31"/>
      <c r="U23" s="36"/>
      <c r="V23" s="37"/>
      <c r="W23" s="42"/>
      <c r="X23" s="49"/>
      <c r="Y23" s="45"/>
    </row>
    <row r="24" spans="1:25" s="35" customFormat="1" ht="16.5">
      <c r="B24" s="23"/>
      <c r="C24" s="23"/>
      <c r="D24" s="52"/>
      <c r="E24" s="37"/>
      <c r="F24" s="38"/>
      <c r="G24" s="39" t="s">
        <v>197</v>
      </c>
      <c r="H24" s="40" t="s">
        <v>77</v>
      </c>
      <c r="I24" s="29"/>
      <c r="J24" s="29"/>
      <c r="K24" s="29"/>
      <c r="L24" s="36"/>
      <c r="M24" s="37"/>
      <c r="N24" s="38"/>
      <c r="O24" s="51"/>
      <c r="P24" s="40"/>
      <c r="Q24" s="29"/>
      <c r="R24" s="29"/>
      <c r="S24" s="29"/>
      <c r="T24" s="31"/>
      <c r="U24" s="36"/>
      <c r="V24" s="37"/>
      <c r="W24" s="42"/>
      <c r="X24" s="49"/>
      <c r="Y24" s="45"/>
    </row>
    <row r="25" spans="1:25" s="35" customFormat="1" ht="12" thickBot="1">
      <c r="B25" s="23"/>
      <c r="C25" s="23"/>
      <c r="D25" s="53"/>
      <c r="E25" s="54"/>
      <c r="F25" s="55"/>
      <c r="G25" s="56"/>
      <c r="H25" s="57"/>
      <c r="I25" s="29"/>
      <c r="J25" s="29"/>
      <c r="K25" s="29"/>
      <c r="L25" s="58"/>
      <c r="M25" s="54"/>
      <c r="N25" s="59"/>
      <c r="O25" s="56"/>
      <c r="P25" s="57"/>
      <c r="Q25" s="29"/>
      <c r="R25" s="29"/>
      <c r="S25" s="29"/>
      <c r="T25" s="31"/>
      <c r="U25" s="58"/>
      <c r="V25" s="54"/>
      <c r="W25" s="60"/>
      <c r="X25" s="61"/>
      <c r="Y25" s="62"/>
    </row>
    <row r="26" spans="1:25" s="35" customFormat="1" ht="11.25">
      <c r="B26" s="63"/>
      <c r="C26" s="63"/>
      <c r="D26" s="20"/>
      <c r="E26" s="64"/>
      <c r="F26" s="63"/>
      <c r="G26" s="63"/>
      <c r="H26" s="65"/>
      <c r="I26" s="66"/>
      <c r="J26" s="66"/>
      <c r="K26" s="66"/>
      <c r="L26" s="17"/>
      <c r="M26" s="17"/>
      <c r="N26" s="63"/>
      <c r="O26" s="63"/>
      <c r="P26" s="65"/>
      <c r="Q26" s="66"/>
      <c r="R26" s="66"/>
      <c r="S26" s="66"/>
      <c r="T26" s="67"/>
      <c r="U26" s="17"/>
      <c r="V26" s="17"/>
      <c r="W26" s="68"/>
      <c r="X26" s="63"/>
      <c r="Y26" s="65"/>
    </row>
    <row r="27" spans="1:25" s="35" customFormat="1" ht="11.25">
      <c r="B27" s="63"/>
      <c r="C27" s="63"/>
      <c r="D27" s="20"/>
      <c r="E27" s="64"/>
      <c r="F27" s="63"/>
      <c r="G27" s="63"/>
      <c r="H27" s="65"/>
      <c r="I27" s="66"/>
      <c r="J27" s="66"/>
      <c r="K27" s="66"/>
      <c r="L27" s="17"/>
      <c r="M27" s="17"/>
      <c r="N27" s="63"/>
      <c r="O27" s="63"/>
      <c r="P27" s="65"/>
      <c r="Q27" s="66"/>
      <c r="R27" s="66"/>
      <c r="S27" s="66"/>
      <c r="T27" s="67"/>
      <c r="U27" s="17"/>
      <c r="V27" s="17"/>
      <c r="W27" s="68"/>
      <c r="X27" s="63"/>
      <c r="Y27" s="65"/>
    </row>
    <row r="28" spans="1:25" s="35" customFormat="1" ht="11.25">
      <c r="B28" s="63"/>
      <c r="C28" s="63"/>
      <c r="D28" s="20"/>
      <c r="E28" s="64"/>
      <c r="F28" s="63"/>
      <c r="G28" s="63"/>
      <c r="H28" s="65"/>
      <c r="I28" s="66"/>
      <c r="J28" s="66"/>
      <c r="K28" s="66"/>
      <c r="L28" s="17"/>
      <c r="M28" s="17"/>
      <c r="N28" s="63"/>
      <c r="O28" s="63"/>
      <c r="P28" s="65"/>
      <c r="Q28" s="66"/>
      <c r="R28" s="66"/>
      <c r="S28" s="66"/>
      <c r="T28" s="67"/>
      <c r="U28" s="17"/>
      <c r="V28" s="17"/>
      <c r="W28" s="68"/>
      <c r="X28" s="63"/>
      <c r="Y28" s="65"/>
    </row>
    <row r="29" spans="1:25" s="35" customFormat="1" ht="11.25">
      <c r="B29" s="63"/>
      <c r="C29" s="63"/>
      <c r="D29" s="20"/>
      <c r="E29" s="64"/>
      <c r="F29" s="63"/>
      <c r="G29" s="63"/>
      <c r="H29" s="65"/>
      <c r="I29" s="66"/>
      <c r="J29" s="66"/>
      <c r="K29" s="66"/>
      <c r="L29" s="17"/>
      <c r="M29" s="17"/>
      <c r="N29" s="63"/>
      <c r="O29" s="63"/>
      <c r="P29" s="65"/>
      <c r="Q29" s="66"/>
      <c r="R29" s="66"/>
      <c r="S29" s="66"/>
      <c r="T29" s="67"/>
      <c r="U29" s="17"/>
      <c r="V29" s="17"/>
      <c r="W29" s="68"/>
      <c r="X29" s="63"/>
      <c r="Y29" s="65"/>
    </row>
    <row r="30" spans="1:25" s="35" customFormat="1" ht="11.25">
      <c r="B30" s="63"/>
      <c r="C30" s="63"/>
      <c r="D30" s="20"/>
      <c r="E30" s="64"/>
      <c r="F30" s="63"/>
      <c r="G30" s="63"/>
      <c r="H30" s="65"/>
      <c r="I30" s="66"/>
      <c r="J30" s="66"/>
      <c r="K30" s="66"/>
      <c r="L30" s="17"/>
      <c r="M30" s="17"/>
      <c r="N30" s="63"/>
      <c r="O30" s="63"/>
      <c r="P30" s="65"/>
      <c r="Q30" s="66"/>
      <c r="R30" s="66"/>
      <c r="S30" s="66"/>
      <c r="T30" s="67"/>
      <c r="U30" s="17"/>
      <c r="V30" s="17"/>
      <c r="W30" s="68"/>
      <c r="X30" s="63"/>
      <c r="Y30" s="65"/>
    </row>
    <row r="31" spans="1:25" s="35" customFormat="1" ht="11.25">
      <c r="B31" s="63"/>
      <c r="C31" s="63"/>
      <c r="D31" s="20"/>
      <c r="E31" s="64"/>
      <c r="F31" s="63"/>
      <c r="G31" s="63"/>
      <c r="H31" s="65"/>
      <c r="I31" s="66"/>
      <c r="J31" s="66"/>
      <c r="K31" s="66"/>
      <c r="L31" s="17"/>
      <c r="M31" s="17"/>
      <c r="N31" s="63"/>
      <c r="O31" s="63"/>
      <c r="P31" s="65"/>
      <c r="Q31" s="66"/>
      <c r="R31" s="66"/>
      <c r="S31" s="66"/>
      <c r="T31" s="67"/>
      <c r="U31" s="17"/>
      <c r="V31" s="17"/>
      <c r="W31" s="68"/>
      <c r="X31" s="63"/>
      <c r="Y31" s="65"/>
    </row>
    <row r="32" spans="1:25" s="35" customFormat="1" ht="11.25">
      <c r="B32" s="63"/>
      <c r="C32" s="63"/>
      <c r="D32" s="20"/>
      <c r="E32" s="64"/>
      <c r="F32" s="63"/>
      <c r="G32" s="63"/>
      <c r="H32" s="65"/>
      <c r="I32" s="66"/>
      <c r="J32" s="66"/>
      <c r="K32" s="66"/>
      <c r="L32" s="17"/>
      <c r="M32" s="17"/>
      <c r="N32" s="63"/>
      <c r="O32" s="63"/>
      <c r="P32" s="65"/>
      <c r="Q32" s="66"/>
      <c r="R32" s="66"/>
      <c r="S32" s="66"/>
      <c r="T32" s="67"/>
      <c r="U32" s="17"/>
      <c r="V32" s="17"/>
      <c r="W32" s="68"/>
      <c r="X32" s="63"/>
      <c r="Y32" s="65"/>
    </row>
    <row r="33" spans="2:25" s="35" customFormat="1" ht="11.25">
      <c r="B33" s="63"/>
      <c r="C33" s="63"/>
      <c r="D33" s="20"/>
      <c r="E33" s="64"/>
      <c r="F33" s="63"/>
      <c r="G33" s="63"/>
      <c r="H33" s="65"/>
      <c r="I33" s="66"/>
      <c r="J33" s="66"/>
      <c r="K33" s="66"/>
      <c r="L33" s="17"/>
      <c r="M33" s="17"/>
      <c r="N33" s="63"/>
      <c r="O33" s="63"/>
      <c r="P33" s="65"/>
      <c r="Q33" s="66"/>
      <c r="R33" s="66"/>
      <c r="S33" s="66"/>
      <c r="T33" s="67"/>
      <c r="U33" s="17"/>
      <c r="V33" s="17"/>
      <c r="W33" s="68"/>
      <c r="X33" s="63"/>
      <c r="Y33" s="65"/>
    </row>
    <row r="34" spans="2:25" s="35" customFormat="1" ht="11.25">
      <c r="B34" s="63"/>
      <c r="C34" s="63"/>
      <c r="D34" s="20"/>
      <c r="E34" s="64"/>
      <c r="F34" s="63"/>
      <c r="G34" s="63"/>
      <c r="H34" s="65"/>
      <c r="I34" s="66"/>
      <c r="J34" s="66"/>
      <c r="K34" s="66"/>
      <c r="L34" s="17"/>
      <c r="M34" s="17"/>
      <c r="N34" s="63"/>
      <c r="O34" s="63"/>
      <c r="P34" s="65"/>
      <c r="Q34" s="66"/>
      <c r="R34" s="66"/>
      <c r="S34" s="66"/>
      <c r="T34" s="67"/>
      <c r="U34" s="17"/>
      <c r="V34" s="17"/>
      <c r="W34" s="68"/>
      <c r="X34" s="63"/>
      <c r="Y34" s="65"/>
    </row>
    <row r="35" spans="2:25" s="35" customFormat="1" ht="11.25">
      <c r="B35" s="63"/>
      <c r="C35" s="63"/>
      <c r="D35" s="20"/>
      <c r="E35" s="64"/>
      <c r="F35" s="63"/>
      <c r="G35" s="63"/>
      <c r="H35" s="65"/>
      <c r="I35" s="66"/>
      <c r="J35" s="66"/>
      <c r="K35" s="66"/>
      <c r="L35" s="17"/>
      <c r="M35" s="17"/>
      <c r="N35" s="63"/>
      <c r="O35" s="63"/>
      <c r="P35" s="65"/>
      <c r="Q35" s="66"/>
      <c r="R35" s="66"/>
      <c r="S35" s="66"/>
      <c r="T35" s="67"/>
      <c r="U35" s="17"/>
      <c r="V35" s="17"/>
      <c r="W35" s="68"/>
      <c r="X35" s="63"/>
      <c r="Y35" s="65"/>
    </row>
    <row r="36" spans="2:25" s="35" customFormat="1" ht="11.25">
      <c r="B36" s="63"/>
      <c r="C36" s="63"/>
      <c r="D36" s="20"/>
      <c r="E36" s="64"/>
      <c r="F36" s="63"/>
      <c r="G36" s="63"/>
      <c r="H36" s="65"/>
      <c r="I36" s="66"/>
      <c r="J36" s="66"/>
      <c r="K36" s="66"/>
      <c r="L36" s="17"/>
      <c r="M36" s="17"/>
      <c r="N36" s="63"/>
      <c r="O36" s="63"/>
      <c r="P36" s="65"/>
      <c r="Q36" s="66"/>
      <c r="R36" s="66"/>
      <c r="S36" s="66"/>
      <c r="T36" s="67"/>
      <c r="U36" s="17"/>
      <c r="V36" s="17"/>
      <c r="W36" s="68"/>
      <c r="X36" s="63"/>
      <c r="Y36" s="65"/>
    </row>
    <row r="37" spans="2:25" s="35" customFormat="1" ht="11.25">
      <c r="B37" s="63"/>
      <c r="C37" s="63"/>
      <c r="D37" s="20"/>
      <c r="E37" s="64"/>
      <c r="F37" s="63"/>
      <c r="G37" s="63"/>
      <c r="H37" s="65"/>
      <c r="I37" s="66"/>
      <c r="J37" s="66"/>
      <c r="K37" s="66"/>
      <c r="L37" s="17"/>
      <c r="M37" s="17"/>
      <c r="N37" s="63"/>
      <c r="O37" s="63"/>
      <c r="P37" s="65"/>
      <c r="Q37" s="66"/>
      <c r="R37" s="66"/>
      <c r="S37" s="66"/>
      <c r="T37" s="67"/>
      <c r="U37" s="17"/>
      <c r="V37" s="17"/>
      <c r="W37" s="68"/>
      <c r="X37" s="63"/>
      <c r="Y37" s="65"/>
    </row>
    <row r="38" spans="2:25" s="35" customFormat="1" ht="11.25">
      <c r="B38" s="63"/>
      <c r="C38" s="63"/>
      <c r="D38" s="20"/>
      <c r="E38" s="64"/>
      <c r="F38" s="63"/>
      <c r="G38" s="63"/>
      <c r="H38" s="65"/>
      <c r="I38" s="66"/>
      <c r="J38" s="66"/>
      <c r="K38" s="66"/>
      <c r="L38" s="17"/>
      <c r="M38" s="17"/>
      <c r="N38" s="63"/>
      <c r="O38" s="63"/>
      <c r="P38" s="65"/>
      <c r="Q38" s="66"/>
      <c r="R38" s="66"/>
      <c r="S38" s="66"/>
      <c r="T38" s="67"/>
      <c r="U38" s="17"/>
      <c r="V38" s="17"/>
      <c r="W38" s="68"/>
      <c r="X38" s="63"/>
      <c r="Y38" s="65"/>
    </row>
    <row r="39" spans="2:25" s="35" customFormat="1" ht="11.25">
      <c r="B39" s="63"/>
      <c r="C39" s="63"/>
      <c r="D39" s="20"/>
      <c r="E39" s="64"/>
      <c r="F39" s="63"/>
      <c r="G39" s="63"/>
      <c r="H39" s="65"/>
      <c r="I39" s="66"/>
      <c r="J39" s="66"/>
      <c r="K39" s="66"/>
      <c r="L39" s="17"/>
      <c r="M39" s="17"/>
      <c r="N39" s="63"/>
      <c r="O39" s="63"/>
      <c r="P39" s="65"/>
      <c r="Q39" s="66"/>
      <c r="R39" s="66"/>
      <c r="S39" s="66"/>
      <c r="T39" s="67"/>
      <c r="U39" s="17"/>
      <c r="V39" s="17"/>
      <c r="W39" s="68"/>
      <c r="X39" s="63"/>
      <c r="Y39" s="65"/>
    </row>
    <row r="40" spans="2:25" s="35" customFormat="1" ht="11.25">
      <c r="B40" s="63"/>
      <c r="C40" s="63"/>
      <c r="D40" s="20"/>
      <c r="E40" s="64"/>
      <c r="F40" s="63"/>
      <c r="G40" s="63"/>
      <c r="H40" s="65"/>
      <c r="I40" s="66"/>
      <c r="J40" s="66"/>
      <c r="K40" s="66"/>
      <c r="L40" s="17"/>
      <c r="M40" s="17"/>
      <c r="N40" s="63"/>
      <c r="O40" s="63"/>
      <c r="P40" s="65"/>
      <c r="Q40" s="66"/>
      <c r="R40" s="66"/>
      <c r="S40" s="66"/>
      <c r="T40" s="67"/>
      <c r="U40" s="17"/>
      <c r="V40" s="17"/>
      <c r="W40" s="68"/>
      <c r="X40" s="63"/>
      <c r="Y40" s="65"/>
    </row>
    <row r="41" spans="2:25" s="35" customFormat="1" ht="11.25">
      <c r="B41" s="63"/>
      <c r="C41" s="63"/>
      <c r="D41" s="20"/>
      <c r="E41" s="64"/>
      <c r="F41" s="63"/>
      <c r="G41" s="63"/>
      <c r="H41" s="65"/>
      <c r="I41" s="66"/>
      <c r="J41" s="66"/>
      <c r="K41" s="66"/>
      <c r="L41" s="17"/>
      <c r="M41" s="17"/>
      <c r="N41" s="63"/>
      <c r="O41" s="63"/>
      <c r="P41" s="65"/>
      <c r="Q41" s="66"/>
      <c r="R41" s="66"/>
      <c r="S41" s="66"/>
      <c r="T41" s="67"/>
      <c r="U41" s="17"/>
      <c r="V41" s="17"/>
      <c r="W41" s="68"/>
      <c r="X41" s="63"/>
      <c r="Y41" s="65"/>
    </row>
    <row r="42" spans="2:25" s="35" customFormat="1" ht="11.25">
      <c r="B42" s="63"/>
      <c r="C42" s="63"/>
      <c r="D42" s="20"/>
      <c r="E42" s="64"/>
      <c r="F42" s="63"/>
      <c r="G42" s="63"/>
      <c r="H42" s="65"/>
      <c r="I42" s="66"/>
      <c r="J42" s="66"/>
      <c r="K42" s="66"/>
      <c r="L42" s="17"/>
      <c r="M42" s="17"/>
      <c r="N42" s="63"/>
      <c r="O42" s="63"/>
      <c r="P42" s="65"/>
      <c r="Q42" s="66"/>
      <c r="R42" s="66"/>
      <c r="S42" s="66"/>
      <c r="T42" s="67"/>
      <c r="U42" s="17"/>
      <c r="V42" s="17"/>
      <c r="W42" s="68"/>
      <c r="X42" s="63"/>
      <c r="Y42" s="65"/>
    </row>
    <row r="43" spans="2:25" s="35" customFormat="1" ht="11.25">
      <c r="B43" s="63"/>
      <c r="C43" s="63"/>
      <c r="D43" s="20"/>
      <c r="E43" s="64"/>
      <c r="F43" s="63"/>
      <c r="G43" s="63"/>
      <c r="H43" s="65"/>
      <c r="I43" s="66"/>
      <c r="J43" s="66"/>
      <c r="K43" s="66"/>
      <c r="L43" s="17"/>
      <c r="M43" s="17"/>
      <c r="N43" s="63"/>
      <c r="O43" s="63"/>
      <c r="P43" s="65"/>
      <c r="Q43" s="66"/>
      <c r="R43" s="66"/>
      <c r="S43" s="66"/>
      <c r="T43" s="67"/>
      <c r="U43" s="17"/>
      <c r="V43" s="17"/>
      <c r="W43" s="68"/>
      <c r="X43" s="63"/>
      <c r="Y43" s="65"/>
    </row>
    <row r="44" spans="2:25" s="35" customFormat="1" ht="11.25">
      <c r="B44" s="63"/>
      <c r="C44" s="63"/>
      <c r="D44" s="20"/>
      <c r="E44" s="64"/>
      <c r="F44" s="63"/>
      <c r="G44" s="63"/>
      <c r="H44" s="65"/>
      <c r="I44" s="66"/>
      <c r="J44" s="66"/>
      <c r="K44" s="66"/>
      <c r="L44" s="17"/>
      <c r="M44" s="17"/>
      <c r="N44" s="63"/>
      <c r="O44" s="63"/>
      <c r="P44" s="65"/>
      <c r="Q44" s="66"/>
      <c r="R44" s="66"/>
      <c r="S44" s="66"/>
      <c r="T44" s="67"/>
      <c r="U44" s="17"/>
      <c r="V44" s="17"/>
      <c r="W44" s="68"/>
      <c r="X44" s="63"/>
      <c r="Y44" s="65"/>
    </row>
    <row r="45" spans="2:25" s="35" customFormat="1" ht="11.25">
      <c r="B45" s="63"/>
      <c r="C45" s="63"/>
      <c r="D45" s="20"/>
      <c r="E45" s="64"/>
      <c r="F45" s="63"/>
      <c r="G45" s="63"/>
      <c r="H45" s="65"/>
      <c r="I45" s="66"/>
      <c r="J45" s="66"/>
      <c r="K45" s="66"/>
      <c r="L45" s="17"/>
      <c r="M45" s="17"/>
      <c r="N45" s="63"/>
      <c r="O45" s="63"/>
      <c r="P45" s="65"/>
      <c r="Q45" s="66"/>
      <c r="R45" s="66"/>
      <c r="S45" s="66"/>
      <c r="T45" s="67"/>
      <c r="U45" s="17"/>
      <c r="V45" s="17"/>
      <c r="W45" s="68"/>
      <c r="X45" s="63"/>
      <c r="Y45" s="65"/>
    </row>
    <row r="46" spans="2:25" s="35" customFormat="1" ht="11.25">
      <c r="B46" s="63"/>
      <c r="C46" s="63"/>
      <c r="D46" s="20"/>
      <c r="E46" s="64"/>
      <c r="F46" s="63"/>
      <c r="G46" s="63"/>
      <c r="H46" s="65"/>
      <c r="I46" s="66"/>
      <c r="J46" s="66"/>
      <c r="K46" s="66"/>
      <c r="L46" s="17"/>
      <c r="M46" s="17"/>
      <c r="N46" s="63"/>
      <c r="O46" s="63"/>
      <c r="P46" s="65"/>
      <c r="Q46" s="66"/>
      <c r="R46" s="66"/>
      <c r="S46" s="66"/>
      <c r="T46" s="67"/>
      <c r="U46" s="17"/>
      <c r="V46" s="17"/>
      <c r="W46" s="68"/>
      <c r="X46" s="63"/>
      <c r="Y46" s="65"/>
    </row>
    <row r="47" spans="2:25" s="35" customFormat="1" ht="11.25">
      <c r="B47" s="63"/>
      <c r="C47" s="63"/>
      <c r="D47" s="20"/>
      <c r="E47" s="64"/>
      <c r="F47" s="63"/>
      <c r="G47" s="63"/>
      <c r="H47" s="65"/>
      <c r="I47" s="66"/>
      <c r="J47" s="66"/>
      <c r="K47" s="66"/>
      <c r="L47" s="17"/>
      <c r="M47" s="17"/>
      <c r="N47" s="63"/>
      <c r="O47" s="63"/>
      <c r="P47" s="65"/>
      <c r="Q47" s="66"/>
      <c r="R47" s="66"/>
      <c r="S47" s="66"/>
      <c r="T47" s="67"/>
      <c r="U47" s="17"/>
      <c r="V47" s="17"/>
      <c r="W47" s="68"/>
      <c r="X47" s="63"/>
      <c r="Y47" s="65"/>
    </row>
    <row r="48" spans="2:25" s="35" customFormat="1" ht="11.25">
      <c r="B48" s="63"/>
      <c r="C48" s="63"/>
      <c r="D48" s="20"/>
      <c r="E48" s="64"/>
      <c r="F48" s="63"/>
      <c r="G48" s="63"/>
      <c r="H48" s="65"/>
      <c r="I48" s="66"/>
      <c r="J48" s="66"/>
      <c r="K48" s="66"/>
      <c r="L48" s="17"/>
      <c r="M48" s="17"/>
      <c r="N48" s="63"/>
      <c r="O48" s="63"/>
      <c r="P48" s="65"/>
      <c r="Q48" s="66"/>
      <c r="R48" s="66"/>
      <c r="S48" s="66"/>
      <c r="T48" s="67"/>
      <c r="U48" s="17"/>
      <c r="V48" s="17"/>
      <c r="W48" s="68"/>
      <c r="X48" s="63"/>
      <c r="Y48" s="65"/>
    </row>
    <row r="49" spans="2:25" s="35" customFormat="1" ht="11.25">
      <c r="B49" s="63"/>
      <c r="C49" s="63"/>
      <c r="D49" s="20"/>
      <c r="E49" s="64"/>
      <c r="F49" s="63"/>
      <c r="G49" s="63"/>
      <c r="H49" s="65"/>
      <c r="I49" s="66"/>
      <c r="J49" s="66"/>
      <c r="K49" s="66"/>
      <c r="L49" s="17"/>
      <c r="M49" s="17"/>
      <c r="N49" s="63"/>
      <c r="O49" s="63"/>
      <c r="P49" s="65"/>
      <c r="Q49" s="66"/>
      <c r="R49" s="66"/>
      <c r="S49" s="66"/>
      <c r="T49" s="67"/>
      <c r="U49" s="17"/>
      <c r="V49" s="17"/>
      <c r="W49" s="68"/>
      <c r="X49" s="63"/>
      <c r="Y49" s="65"/>
    </row>
    <row r="50" spans="2:25" s="35" customFormat="1" ht="11.25">
      <c r="B50" s="63"/>
      <c r="C50" s="63"/>
      <c r="D50" s="20"/>
      <c r="E50" s="64"/>
      <c r="F50" s="63"/>
      <c r="G50" s="63"/>
      <c r="H50" s="65"/>
      <c r="I50" s="66"/>
      <c r="J50" s="66"/>
      <c r="K50" s="66"/>
      <c r="L50" s="17"/>
      <c r="M50" s="17"/>
      <c r="N50" s="63"/>
      <c r="O50" s="63"/>
      <c r="P50" s="65"/>
      <c r="Q50" s="66"/>
      <c r="R50" s="66"/>
      <c r="S50" s="66"/>
      <c r="T50" s="67"/>
      <c r="U50" s="17"/>
      <c r="V50" s="17"/>
      <c r="W50" s="68"/>
      <c r="X50" s="63"/>
      <c r="Y50" s="65"/>
    </row>
    <row r="51" spans="2:25" s="35" customFormat="1" ht="11.25">
      <c r="B51" s="63"/>
      <c r="C51" s="63"/>
      <c r="D51" s="20"/>
      <c r="E51" s="64"/>
      <c r="F51" s="63"/>
      <c r="G51" s="63"/>
      <c r="H51" s="65"/>
      <c r="I51" s="66"/>
      <c r="J51" s="66"/>
      <c r="K51" s="66"/>
      <c r="L51" s="17"/>
      <c r="M51" s="17"/>
      <c r="N51" s="63"/>
      <c r="O51" s="63"/>
      <c r="P51" s="65"/>
      <c r="Q51" s="66"/>
      <c r="R51" s="66"/>
      <c r="S51" s="66"/>
      <c r="T51" s="67"/>
      <c r="U51" s="17"/>
      <c r="V51" s="17"/>
      <c r="W51" s="68"/>
      <c r="X51" s="63"/>
      <c r="Y51" s="65"/>
    </row>
    <row r="52" spans="2:25" s="35" customFormat="1" ht="11.25">
      <c r="B52" s="63"/>
      <c r="C52" s="63"/>
      <c r="D52" s="20"/>
      <c r="E52" s="64"/>
      <c r="F52" s="63"/>
      <c r="G52" s="63"/>
      <c r="H52" s="65"/>
      <c r="I52" s="66"/>
      <c r="J52" s="66"/>
      <c r="K52" s="66"/>
      <c r="L52" s="17"/>
      <c r="M52" s="17"/>
      <c r="N52" s="63"/>
      <c r="O52" s="63"/>
      <c r="P52" s="65"/>
      <c r="Q52" s="66"/>
      <c r="R52" s="66"/>
      <c r="S52" s="66"/>
      <c r="T52" s="67"/>
      <c r="U52" s="17"/>
      <c r="V52" s="17"/>
      <c r="W52" s="68"/>
      <c r="X52" s="63"/>
      <c r="Y52" s="65"/>
    </row>
    <row r="53" spans="2:25" s="35" customFormat="1" ht="11.25">
      <c r="B53" s="63"/>
      <c r="C53" s="63"/>
      <c r="D53" s="20"/>
      <c r="E53" s="64"/>
      <c r="F53" s="63"/>
      <c r="G53" s="63"/>
      <c r="H53" s="65"/>
      <c r="I53" s="66"/>
      <c r="J53" s="66"/>
      <c r="K53" s="66"/>
      <c r="L53" s="17"/>
      <c r="M53" s="17"/>
      <c r="N53" s="63"/>
      <c r="O53" s="63"/>
      <c r="P53" s="65"/>
      <c r="Q53" s="66"/>
      <c r="R53" s="66"/>
      <c r="S53" s="66"/>
      <c r="T53" s="67"/>
      <c r="U53" s="17"/>
      <c r="V53" s="17"/>
      <c r="W53" s="68"/>
      <c r="X53" s="63"/>
      <c r="Y53" s="65"/>
    </row>
    <row r="54" spans="2:25" s="35" customFormat="1" ht="11.25">
      <c r="B54" s="63"/>
      <c r="C54" s="63"/>
      <c r="D54" s="20"/>
      <c r="E54" s="64"/>
      <c r="F54" s="63"/>
      <c r="G54" s="63"/>
      <c r="H54" s="65"/>
      <c r="I54" s="66"/>
      <c r="J54" s="66"/>
      <c r="K54" s="66"/>
      <c r="L54" s="17"/>
      <c r="M54" s="17"/>
      <c r="N54" s="63"/>
      <c r="O54" s="63"/>
      <c r="P54" s="65"/>
      <c r="Q54" s="66"/>
      <c r="R54" s="66"/>
      <c r="S54" s="66"/>
      <c r="T54" s="67"/>
      <c r="U54" s="17"/>
      <c r="V54" s="17"/>
      <c r="W54" s="68"/>
      <c r="X54" s="63"/>
      <c r="Y54" s="65"/>
    </row>
    <row r="55" spans="2:25" s="35" customFormat="1" ht="11.25">
      <c r="B55" s="63"/>
      <c r="C55" s="63"/>
      <c r="D55" s="20"/>
      <c r="E55" s="64"/>
      <c r="F55" s="63"/>
      <c r="G55" s="63"/>
      <c r="H55" s="65"/>
      <c r="I55" s="66"/>
      <c r="J55" s="66"/>
      <c r="K55" s="66"/>
      <c r="L55" s="17"/>
      <c r="M55" s="17"/>
      <c r="N55" s="63"/>
      <c r="O55" s="63"/>
      <c r="P55" s="65"/>
      <c r="Q55" s="66"/>
      <c r="R55" s="66"/>
      <c r="S55" s="66"/>
      <c r="T55" s="67"/>
      <c r="U55" s="17"/>
      <c r="V55" s="17"/>
      <c r="W55" s="68"/>
      <c r="X55" s="63"/>
      <c r="Y55" s="65"/>
    </row>
    <row r="56" spans="2:25" s="35" customFormat="1" ht="11.25">
      <c r="B56" s="63"/>
      <c r="C56" s="63"/>
      <c r="D56" s="20"/>
      <c r="E56" s="64"/>
      <c r="F56" s="63"/>
      <c r="G56" s="63"/>
      <c r="H56" s="65"/>
      <c r="I56" s="66"/>
      <c r="J56" s="66"/>
      <c r="K56" s="66"/>
      <c r="L56" s="17"/>
      <c r="M56" s="17"/>
      <c r="N56" s="63"/>
      <c r="O56" s="63"/>
      <c r="P56" s="65"/>
      <c r="Q56" s="66"/>
      <c r="R56" s="66"/>
      <c r="S56" s="66"/>
      <c r="T56" s="67"/>
      <c r="U56" s="17"/>
      <c r="V56" s="17"/>
      <c r="W56" s="68"/>
      <c r="X56" s="63"/>
      <c r="Y56" s="65"/>
    </row>
    <row r="57" spans="2:25" s="35" customFormat="1" ht="11.25">
      <c r="B57" s="63"/>
      <c r="C57" s="63"/>
      <c r="D57" s="20"/>
      <c r="E57" s="64"/>
      <c r="F57" s="63"/>
      <c r="G57" s="63"/>
      <c r="H57" s="65"/>
      <c r="I57" s="66"/>
      <c r="J57" s="66"/>
      <c r="K57" s="66"/>
      <c r="L57" s="17"/>
      <c r="M57" s="17"/>
      <c r="N57" s="63"/>
      <c r="O57" s="63"/>
      <c r="P57" s="65"/>
      <c r="Q57" s="66"/>
      <c r="R57" s="66"/>
      <c r="S57" s="66"/>
      <c r="T57" s="67"/>
      <c r="U57" s="17"/>
      <c r="V57" s="17"/>
      <c r="W57" s="68"/>
      <c r="X57" s="63"/>
      <c r="Y57" s="65"/>
    </row>
    <row r="58" spans="2:25" s="35" customFormat="1" ht="11.25">
      <c r="B58" s="63"/>
      <c r="C58" s="63"/>
      <c r="D58" s="20"/>
      <c r="E58" s="64"/>
      <c r="F58" s="63"/>
      <c r="G58" s="63"/>
      <c r="H58" s="65"/>
      <c r="I58" s="66"/>
      <c r="J58" s="66"/>
      <c r="K58" s="66"/>
      <c r="L58" s="17"/>
      <c r="M58" s="17"/>
      <c r="N58" s="63"/>
      <c r="O58" s="63"/>
      <c r="P58" s="65"/>
      <c r="Q58" s="66"/>
      <c r="R58" s="66"/>
      <c r="S58" s="66"/>
      <c r="T58" s="67"/>
      <c r="U58" s="17"/>
      <c r="V58" s="17"/>
      <c r="W58" s="68"/>
      <c r="X58" s="63"/>
      <c r="Y58" s="65"/>
    </row>
    <row r="59" spans="2:25" s="35" customFormat="1" ht="11.25">
      <c r="B59" s="63"/>
      <c r="C59" s="63"/>
      <c r="D59" s="20"/>
      <c r="E59" s="64"/>
      <c r="F59" s="63"/>
      <c r="G59" s="63"/>
      <c r="H59" s="65"/>
      <c r="I59" s="66"/>
      <c r="J59" s="66"/>
      <c r="K59" s="66"/>
      <c r="L59" s="17"/>
      <c r="M59" s="17"/>
      <c r="N59" s="63"/>
      <c r="O59" s="63"/>
      <c r="P59" s="65"/>
      <c r="Q59" s="66"/>
      <c r="R59" s="66"/>
      <c r="S59" s="66"/>
      <c r="T59" s="67"/>
      <c r="U59" s="17"/>
      <c r="V59" s="17"/>
      <c r="W59" s="68"/>
      <c r="X59" s="63"/>
      <c r="Y59" s="65"/>
    </row>
    <row r="60" spans="2:25" s="35" customFormat="1" ht="11.25">
      <c r="B60" s="63"/>
      <c r="C60" s="63"/>
      <c r="D60" s="20"/>
      <c r="E60" s="64"/>
      <c r="F60" s="63"/>
      <c r="G60" s="63"/>
      <c r="H60" s="65"/>
      <c r="I60" s="66"/>
      <c r="J60" s="66"/>
      <c r="K60" s="66"/>
      <c r="L60" s="17"/>
      <c r="M60" s="17"/>
      <c r="N60" s="63"/>
      <c r="O60" s="63"/>
      <c r="P60" s="65"/>
      <c r="Q60" s="66"/>
      <c r="R60" s="66"/>
      <c r="S60" s="66"/>
      <c r="T60" s="67"/>
      <c r="U60" s="17"/>
      <c r="V60" s="17"/>
      <c r="W60" s="68"/>
      <c r="X60" s="63"/>
      <c r="Y60" s="65"/>
    </row>
    <row r="61" spans="2:25" s="35" customFormat="1" ht="11.25">
      <c r="B61" s="63"/>
      <c r="C61" s="63"/>
      <c r="D61" s="20"/>
      <c r="E61" s="64"/>
      <c r="F61" s="63"/>
      <c r="G61" s="63"/>
      <c r="H61" s="65"/>
      <c r="I61" s="66"/>
      <c r="J61" s="66"/>
      <c r="K61" s="66"/>
      <c r="L61" s="17"/>
      <c r="M61" s="17"/>
      <c r="N61" s="63"/>
      <c r="O61" s="63"/>
      <c r="P61" s="65"/>
      <c r="Q61" s="66"/>
      <c r="R61" s="66"/>
      <c r="S61" s="66"/>
      <c r="T61" s="67"/>
      <c r="U61" s="17"/>
      <c r="V61" s="17"/>
      <c r="W61" s="68"/>
      <c r="X61" s="63"/>
      <c r="Y61" s="65"/>
    </row>
    <row r="62" spans="2:25" s="35" customFormat="1" ht="11.25">
      <c r="B62" s="63"/>
      <c r="C62" s="63"/>
      <c r="D62" s="20"/>
      <c r="E62" s="64"/>
      <c r="F62" s="63"/>
      <c r="G62" s="63"/>
      <c r="H62" s="65"/>
      <c r="I62" s="66"/>
      <c r="J62" s="66"/>
      <c r="K62" s="66"/>
      <c r="L62" s="17"/>
      <c r="M62" s="17"/>
      <c r="N62" s="63"/>
      <c r="O62" s="63"/>
      <c r="P62" s="65"/>
      <c r="Q62" s="66"/>
      <c r="R62" s="66"/>
      <c r="S62" s="66"/>
      <c r="T62" s="67"/>
      <c r="U62" s="17"/>
      <c r="V62" s="17"/>
      <c r="W62" s="68"/>
      <c r="X62" s="63"/>
      <c r="Y62" s="65"/>
    </row>
    <row r="63" spans="2:25" s="35" customFormat="1">
      <c r="B63" s="63"/>
      <c r="C63" s="63"/>
      <c r="D63" s="20"/>
      <c r="E63" s="64"/>
      <c r="F63" s="63"/>
      <c r="G63" s="63"/>
      <c r="H63" s="65"/>
      <c r="I63" s="66"/>
      <c r="J63" s="66"/>
      <c r="K63" s="66"/>
      <c r="L63" s="17"/>
      <c r="M63" s="17"/>
      <c r="N63" s="63"/>
      <c r="O63" s="63"/>
      <c r="P63" s="65"/>
      <c r="Q63" s="66"/>
      <c r="R63" s="66"/>
      <c r="S63" s="66"/>
      <c r="T63" s="67"/>
      <c r="U63" s="17"/>
      <c r="V63" s="17"/>
      <c r="W63" s="2"/>
      <c r="X63" s="63"/>
      <c r="Y63" s="1"/>
    </row>
    <row r="64" spans="2:25" s="35" customFormat="1">
      <c r="B64" s="63"/>
      <c r="C64" s="63"/>
      <c r="D64" s="20"/>
      <c r="E64" s="64"/>
      <c r="F64" s="63"/>
      <c r="G64" s="63"/>
      <c r="H64" s="65"/>
      <c r="I64" s="66"/>
      <c r="J64" s="66"/>
      <c r="K64" s="66"/>
      <c r="L64" s="17"/>
      <c r="M64" s="17"/>
      <c r="N64" s="63"/>
      <c r="O64" s="63"/>
      <c r="P64" s="65"/>
      <c r="Q64" s="66"/>
      <c r="R64" s="66"/>
      <c r="S64" s="66"/>
      <c r="T64" s="67"/>
      <c r="U64" s="17"/>
      <c r="V64" s="17"/>
      <c r="W64" s="2"/>
      <c r="X64" s="63"/>
      <c r="Y64" s="1"/>
    </row>
    <row r="65" spans="2:25" s="35" customFormat="1">
      <c r="B65" s="63"/>
      <c r="C65" s="63"/>
      <c r="D65" s="20"/>
      <c r="E65" s="64"/>
      <c r="F65" s="63"/>
      <c r="G65" s="63"/>
      <c r="H65" s="65"/>
      <c r="I65" s="66"/>
      <c r="J65" s="66"/>
      <c r="K65" s="66"/>
      <c r="L65" s="17"/>
      <c r="M65" s="17"/>
      <c r="N65" s="63"/>
      <c r="O65" s="63"/>
      <c r="P65" s="65"/>
      <c r="Q65" s="66"/>
      <c r="R65" s="66"/>
      <c r="S65" s="66"/>
      <c r="T65" s="67"/>
      <c r="U65" s="17"/>
      <c r="V65" s="17"/>
      <c r="W65" s="2"/>
      <c r="X65" s="63"/>
      <c r="Y65" s="1"/>
    </row>
    <row r="66" spans="2:25" s="35" customFormat="1">
      <c r="B66" s="63"/>
      <c r="C66" s="63"/>
      <c r="D66" s="20"/>
      <c r="E66" s="64"/>
      <c r="F66" s="63"/>
      <c r="G66" s="63"/>
      <c r="H66" s="65"/>
      <c r="I66" s="66"/>
      <c r="J66" s="66"/>
      <c r="K66" s="66"/>
      <c r="L66" s="17"/>
      <c r="M66" s="17"/>
      <c r="N66" s="63"/>
      <c r="O66" s="63"/>
      <c r="P66" s="65"/>
      <c r="Q66" s="66"/>
      <c r="R66" s="66"/>
      <c r="S66" s="66"/>
      <c r="T66" s="67"/>
      <c r="U66" s="17"/>
      <c r="V66" s="17"/>
      <c r="W66" s="2"/>
      <c r="X66" s="63"/>
      <c r="Y66" s="1"/>
    </row>
  </sheetData>
  <mergeCells count="6">
    <mergeCell ref="F2:H2"/>
    <mergeCell ref="N2:P2"/>
    <mergeCell ref="W2:Y2"/>
    <mergeCell ref="F3:H3"/>
    <mergeCell ref="N3:P3"/>
    <mergeCell ref="W3:Y3"/>
  </mergeCells>
  <hyperlinks>
    <hyperlink ref="A1" location="'Table of Contents'!A1" display="Table of Contents"/>
    <hyperlink ref="W1" location="'Partner Survey - All Teams'!A1" display="Partner Survey - All Teams"/>
    <hyperlink ref="N1" location="'Business Survey - All Teams'!A1" display="Business Survey - All Teams"/>
    <hyperlink ref="F1" location="'IT Survey - All Teams'!A1" display="IT Survey - All Team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rowBreaks count="1" manualBreakCount="1">
    <brk id="25" max="16383" man="1"/>
  </rowBreaks>
  <colBreaks count="2" manualBreakCount="2">
    <brk id="9" max="1048575" man="1"/>
    <brk id="19" max="1048575" man="1"/>
  </colBreaks>
  <legacyDrawing r:id="rId2"/>
</worksheet>
</file>

<file path=xl/worksheets/sheet8.xml><?xml version="1.0" encoding="utf-8"?>
<worksheet xmlns="http://schemas.openxmlformats.org/spreadsheetml/2006/main" xmlns:r="http://schemas.openxmlformats.org/officeDocument/2006/relationships">
  <sheetPr codeName="Sheet30">
    <pageSetUpPr fitToPage="1"/>
  </sheetPr>
  <dimension ref="A1:V64"/>
  <sheetViews>
    <sheetView workbookViewId="0"/>
  </sheetViews>
  <sheetFormatPr defaultRowHeight="12.75"/>
  <cols>
    <col min="1" max="1" width="3.42578125" style="331" bestFit="1" customWidth="1"/>
    <col min="2" max="2" width="4.85546875" style="331" bestFit="1" customWidth="1"/>
    <col min="3" max="3" width="10" style="336" customWidth="1"/>
    <col min="4" max="4" width="9.140625" style="306"/>
    <col min="5" max="5" width="21.5703125" style="307" customWidth="1"/>
    <col min="6" max="19" width="9.140625" style="285"/>
    <col min="20" max="16384" width="9.140625" style="98"/>
  </cols>
  <sheetData>
    <row r="1" spans="1:22" ht="13.5" thickBot="1">
      <c r="A1" s="208" t="s">
        <v>29</v>
      </c>
      <c r="E1" s="5" t="s">
        <v>967</v>
      </c>
      <c r="G1" s="208" t="s">
        <v>966</v>
      </c>
      <c r="J1" s="208" t="s">
        <v>320</v>
      </c>
    </row>
    <row r="2" spans="1:22" ht="21.75" customHeight="1" thickTop="1" thickBot="1">
      <c r="A2" s="304" t="s">
        <v>105</v>
      </c>
      <c r="B2" s="304" t="s">
        <v>106</v>
      </c>
      <c r="C2" s="647" t="str">
        <f>Survey_Period</f>
        <v>2007 H1</v>
      </c>
      <c r="D2" s="757" t="s">
        <v>100</v>
      </c>
      <c r="E2" s="758"/>
      <c r="F2" s="308" t="s">
        <v>56</v>
      </c>
      <c r="G2" s="308" t="s">
        <v>23</v>
      </c>
      <c r="H2" s="308" t="s">
        <v>336</v>
      </c>
      <c r="I2" s="308" t="s">
        <v>335</v>
      </c>
      <c r="J2" s="308" t="s">
        <v>333</v>
      </c>
      <c r="K2" s="308" t="s">
        <v>334</v>
      </c>
      <c r="L2" s="308" t="s">
        <v>10</v>
      </c>
      <c r="M2" s="308" t="s">
        <v>331</v>
      </c>
      <c r="N2" s="308" t="s">
        <v>361</v>
      </c>
      <c r="O2" s="308" t="s">
        <v>353</v>
      </c>
      <c r="P2" s="308" t="s">
        <v>363</v>
      </c>
      <c r="Q2" s="308" t="s">
        <v>536</v>
      </c>
      <c r="R2" s="308" t="s">
        <v>365</v>
      </c>
      <c r="S2" s="309" t="s">
        <v>12</v>
      </c>
    </row>
    <row r="3" spans="1:22" s="316" customFormat="1" ht="25.5">
      <c r="A3" s="310" t="s">
        <v>117</v>
      </c>
      <c r="B3" s="311" t="s">
        <v>118</v>
      </c>
      <c r="C3" s="649" t="s">
        <v>119</v>
      </c>
      <c r="D3" s="313" t="s">
        <v>120</v>
      </c>
      <c r="E3" s="337" t="s">
        <v>94</v>
      </c>
      <c r="F3" s="598" t="s">
        <v>531</v>
      </c>
      <c r="G3" s="598" t="s">
        <v>531</v>
      </c>
      <c r="H3" s="598" t="s">
        <v>531</v>
      </c>
      <c r="I3" s="598" t="s">
        <v>531</v>
      </c>
      <c r="J3" s="598" t="s">
        <v>531</v>
      </c>
      <c r="K3" s="598" t="s">
        <v>531</v>
      </c>
      <c r="L3" s="598" t="s">
        <v>531</v>
      </c>
      <c r="M3" s="598" t="s">
        <v>531</v>
      </c>
      <c r="N3" s="598" t="s">
        <v>531</v>
      </c>
      <c r="O3" s="598" t="s">
        <v>531</v>
      </c>
      <c r="P3" s="598" t="s">
        <v>531</v>
      </c>
      <c r="Q3" s="598" t="s">
        <v>531</v>
      </c>
      <c r="R3" s="598" t="s">
        <v>531</v>
      </c>
      <c r="S3" s="598" t="s">
        <v>531</v>
      </c>
      <c r="V3" s="315"/>
    </row>
    <row r="4" spans="1:22" s="316" customFormat="1" ht="25.5">
      <c r="A4" s="317" t="s">
        <v>117</v>
      </c>
      <c r="B4" s="318" t="s">
        <v>118</v>
      </c>
      <c r="C4" s="323" t="s">
        <v>125</v>
      </c>
      <c r="D4" s="320" t="s">
        <v>126</v>
      </c>
      <c r="E4" s="338" t="s">
        <v>127</v>
      </c>
      <c r="F4" s="598" t="s">
        <v>531</v>
      </c>
      <c r="G4" s="598" t="s">
        <v>531</v>
      </c>
      <c r="H4" s="598" t="s">
        <v>531</v>
      </c>
      <c r="I4" s="598" t="s">
        <v>531</v>
      </c>
      <c r="J4" s="598" t="s">
        <v>531</v>
      </c>
      <c r="K4" s="598" t="s">
        <v>531</v>
      </c>
      <c r="L4" s="598" t="s">
        <v>531</v>
      </c>
      <c r="M4" s="598" t="s">
        <v>531</v>
      </c>
      <c r="N4" s="598" t="s">
        <v>531</v>
      </c>
      <c r="O4" s="598" t="s">
        <v>531</v>
      </c>
      <c r="P4" s="598" t="s">
        <v>531</v>
      </c>
      <c r="Q4" s="598" t="s">
        <v>531</v>
      </c>
      <c r="R4" s="598" t="s">
        <v>531</v>
      </c>
      <c r="S4" s="598" t="s">
        <v>531</v>
      </c>
      <c r="V4" s="315"/>
    </row>
    <row r="5" spans="1:22" s="316" customFormat="1" ht="17.25">
      <c r="A5" s="317" t="s">
        <v>117</v>
      </c>
      <c r="B5" s="318" t="s">
        <v>118</v>
      </c>
      <c r="C5" s="323" t="s">
        <v>119</v>
      </c>
      <c r="D5" s="320" t="s">
        <v>133</v>
      </c>
      <c r="E5" s="339" t="s">
        <v>95</v>
      </c>
      <c r="F5" s="598" t="s">
        <v>531</v>
      </c>
      <c r="G5" s="598" t="s">
        <v>531</v>
      </c>
      <c r="H5" s="598" t="s">
        <v>531</v>
      </c>
      <c r="I5" s="598" t="s">
        <v>531</v>
      </c>
      <c r="J5" s="598" t="s">
        <v>531</v>
      </c>
      <c r="K5" s="598" t="s">
        <v>531</v>
      </c>
      <c r="L5" s="598" t="s">
        <v>531</v>
      </c>
      <c r="M5" s="598" t="s">
        <v>531</v>
      </c>
      <c r="N5" s="598" t="s">
        <v>531</v>
      </c>
      <c r="O5" s="598" t="s">
        <v>531</v>
      </c>
      <c r="P5" s="598" t="s">
        <v>531</v>
      </c>
      <c r="Q5" s="598" t="s">
        <v>531</v>
      </c>
      <c r="R5" s="598" t="s">
        <v>531</v>
      </c>
      <c r="S5" s="598" t="s">
        <v>531</v>
      </c>
      <c r="V5" s="315"/>
    </row>
    <row r="6" spans="1:22" s="316" customFormat="1" ht="42">
      <c r="A6" s="317" t="s">
        <v>117</v>
      </c>
      <c r="B6" s="318" t="s">
        <v>118</v>
      </c>
      <c r="C6" s="323" t="s">
        <v>114</v>
      </c>
      <c r="D6" s="320" t="s">
        <v>137</v>
      </c>
      <c r="E6" s="339" t="s">
        <v>138</v>
      </c>
      <c r="F6" s="598" t="s">
        <v>531</v>
      </c>
      <c r="G6" s="598" t="s">
        <v>531</v>
      </c>
      <c r="H6" s="598" t="s">
        <v>531</v>
      </c>
      <c r="I6" s="598" t="s">
        <v>531</v>
      </c>
      <c r="J6" s="598" t="s">
        <v>531</v>
      </c>
      <c r="K6" s="598" t="s">
        <v>531</v>
      </c>
      <c r="L6" s="598" t="s">
        <v>531</v>
      </c>
      <c r="M6" s="598" t="s">
        <v>531</v>
      </c>
      <c r="N6" s="598" t="s">
        <v>531</v>
      </c>
      <c r="O6" s="598" t="s">
        <v>531</v>
      </c>
      <c r="P6" s="598" t="s">
        <v>531</v>
      </c>
      <c r="Q6" s="598" t="s">
        <v>531</v>
      </c>
      <c r="R6" s="598" t="s">
        <v>531</v>
      </c>
      <c r="S6" s="598" t="s">
        <v>531</v>
      </c>
      <c r="V6" s="315"/>
    </row>
    <row r="7" spans="1:22" s="316" customFormat="1" ht="17.25">
      <c r="A7" s="317" t="s">
        <v>142</v>
      </c>
      <c r="B7" s="318" t="s">
        <v>143</v>
      </c>
      <c r="C7" s="323" t="s">
        <v>125</v>
      </c>
      <c r="D7" s="320" t="s">
        <v>144</v>
      </c>
      <c r="E7" s="339" t="s">
        <v>96</v>
      </c>
      <c r="F7" s="598" t="s">
        <v>531</v>
      </c>
      <c r="G7" s="598" t="s">
        <v>531</v>
      </c>
      <c r="H7" s="598" t="s">
        <v>531</v>
      </c>
      <c r="I7" s="598" t="s">
        <v>531</v>
      </c>
      <c r="J7" s="598" t="s">
        <v>531</v>
      </c>
      <c r="K7" s="598" t="s">
        <v>531</v>
      </c>
      <c r="L7" s="598" t="s">
        <v>531</v>
      </c>
      <c r="M7" s="598" t="s">
        <v>531</v>
      </c>
      <c r="N7" s="598" t="s">
        <v>531</v>
      </c>
      <c r="O7" s="598" t="s">
        <v>531</v>
      </c>
      <c r="P7" s="598" t="s">
        <v>531</v>
      </c>
      <c r="Q7" s="598" t="s">
        <v>531</v>
      </c>
      <c r="R7" s="598" t="s">
        <v>531</v>
      </c>
      <c r="S7" s="598" t="s">
        <v>531</v>
      </c>
      <c r="V7" s="315"/>
    </row>
    <row r="8" spans="1:22" s="316" customFormat="1" ht="17.25">
      <c r="A8" s="317" t="s">
        <v>112</v>
      </c>
      <c r="B8" s="322" t="s">
        <v>146</v>
      </c>
      <c r="C8" s="323" t="s">
        <v>149</v>
      </c>
      <c r="D8" s="320" t="s">
        <v>150</v>
      </c>
      <c r="E8" s="339" t="s">
        <v>99</v>
      </c>
      <c r="F8" s="598" t="s">
        <v>531</v>
      </c>
      <c r="G8" s="598" t="s">
        <v>531</v>
      </c>
      <c r="H8" s="598" t="s">
        <v>531</v>
      </c>
      <c r="I8" s="598" t="s">
        <v>531</v>
      </c>
      <c r="J8" s="598" t="s">
        <v>531</v>
      </c>
      <c r="K8" s="598" t="s">
        <v>531</v>
      </c>
      <c r="L8" s="598" t="s">
        <v>531</v>
      </c>
      <c r="M8" s="598" t="s">
        <v>531</v>
      </c>
      <c r="N8" s="598" t="s">
        <v>531</v>
      </c>
      <c r="O8" s="598" t="s">
        <v>531</v>
      </c>
      <c r="P8" s="598" t="s">
        <v>531</v>
      </c>
      <c r="Q8" s="598" t="s">
        <v>531</v>
      </c>
      <c r="R8" s="598" t="s">
        <v>531</v>
      </c>
      <c r="S8" s="598" t="s">
        <v>531</v>
      </c>
      <c r="V8" s="315"/>
    </row>
    <row r="9" spans="1:22" s="316" customFormat="1" ht="25.5">
      <c r="A9" s="317" t="s">
        <v>107</v>
      </c>
      <c r="B9" s="318" t="s">
        <v>156</v>
      </c>
      <c r="C9" s="323" t="s">
        <v>109</v>
      </c>
      <c r="D9" s="320" t="s">
        <v>154</v>
      </c>
      <c r="E9" s="339" t="s">
        <v>155</v>
      </c>
      <c r="F9" s="598" t="s">
        <v>531</v>
      </c>
      <c r="G9" s="598" t="s">
        <v>531</v>
      </c>
      <c r="H9" s="598" t="s">
        <v>531</v>
      </c>
      <c r="I9" s="598" t="s">
        <v>531</v>
      </c>
      <c r="J9" s="598" t="s">
        <v>531</v>
      </c>
      <c r="K9" s="598" t="s">
        <v>531</v>
      </c>
      <c r="L9" s="598" t="s">
        <v>531</v>
      </c>
      <c r="M9" s="598" t="s">
        <v>531</v>
      </c>
      <c r="N9" s="598" t="s">
        <v>531</v>
      </c>
      <c r="O9" s="598" t="s">
        <v>531</v>
      </c>
      <c r="P9" s="598" t="s">
        <v>531</v>
      </c>
      <c r="Q9" s="598" t="s">
        <v>531</v>
      </c>
      <c r="R9" s="598" t="s">
        <v>531</v>
      </c>
      <c r="S9" s="598" t="s">
        <v>531</v>
      </c>
      <c r="V9" s="315"/>
    </row>
    <row r="10" spans="1:22" s="316" customFormat="1" ht="17.25">
      <c r="A10" s="317" t="s">
        <v>117</v>
      </c>
      <c r="B10" s="318" t="s">
        <v>160</v>
      </c>
      <c r="C10" s="323" t="s">
        <v>107</v>
      </c>
      <c r="D10" s="320" t="s">
        <v>161</v>
      </c>
      <c r="E10" s="339" t="s">
        <v>97</v>
      </c>
      <c r="F10" s="598" t="s">
        <v>531</v>
      </c>
      <c r="G10" s="598" t="s">
        <v>531</v>
      </c>
      <c r="H10" s="598" t="s">
        <v>531</v>
      </c>
      <c r="I10" s="598" t="s">
        <v>531</v>
      </c>
      <c r="J10" s="598" t="s">
        <v>531</v>
      </c>
      <c r="K10" s="598" t="s">
        <v>531</v>
      </c>
      <c r="L10" s="598" t="s">
        <v>531</v>
      </c>
      <c r="M10" s="598" t="s">
        <v>531</v>
      </c>
      <c r="N10" s="598" t="s">
        <v>531</v>
      </c>
      <c r="O10" s="598" t="s">
        <v>531</v>
      </c>
      <c r="P10" s="598" t="s">
        <v>531</v>
      </c>
      <c r="Q10" s="598" t="s">
        <v>531</v>
      </c>
      <c r="R10" s="598" t="s">
        <v>531</v>
      </c>
      <c r="S10" s="598" t="s">
        <v>531</v>
      </c>
      <c r="V10" s="315"/>
    </row>
    <row r="11" spans="1:22" s="316" customFormat="1" ht="17.25">
      <c r="A11" s="317"/>
      <c r="B11" s="318"/>
      <c r="C11" s="323"/>
      <c r="D11" s="320" t="s">
        <v>164</v>
      </c>
      <c r="E11" s="339" t="s">
        <v>98</v>
      </c>
      <c r="F11" s="306"/>
      <c r="G11" s="306"/>
      <c r="H11" s="306"/>
      <c r="I11" s="306"/>
      <c r="J11" s="306"/>
      <c r="K11" s="306"/>
      <c r="L11" s="306"/>
      <c r="M11" s="306"/>
      <c r="N11" s="306"/>
      <c r="O11" s="306"/>
      <c r="P11" s="306"/>
      <c r="Q11" s="306"/>
      <c r="R11" s="306"/>
      <c r="S11" s="306"/>
    </row>
    <row r="12" spans="1:22" s="316" customFormat="1" ht="17.25">
      <c r="A12" s="317"/>
      <c r="B12" s="318"/>
      <c r="C12" s="323"/>
      <c r="D12" s="320" t="s">
        <v>169</v>
      </c>
      <c r="E12" s="339" t="s">
        <v>170</v>
      </c>
      <c r="F12" s="306"/>
      <c r="G12" s="306"/>
      <c r="H12" s="306"/>
      <c r="I12" s="306"/>
      <c r="J12" s="306"/>
      <c r="K12" s="306"/>
      <c r="L12" s="306"/>
      <c r="M12" s="306"/>
      <c r="N12" s="306"/>
      <c r="O12" s="306"/>
      <c r="P12" s="306"/>
      <c r="Q12" s="306"/>
      <c r="R12" s="306"/>
      <c r="S12" s="306"/>
    </row>
    <row r="13" spans="1:22" s="316" customFormat="1" ht="11.25">
      <c r="A13" s="317"/>
      <c r="B13" s="318"/>
      <c r="C13" s="323"/>
      <c r="D13" s="333"/>
      <c r="E13" s="339"/>
      <c r="F13" s="306"/>
      <c r="G13" s="306"/>
      <c r="H13" s="306"/>
      <c r="I13" s="306"/>
      <c r="J13" s="306"/>
      <c r="K13" s="306"/>
      <c r="L13" s="306"/>
      <c r="M13" s="306"/>
      <c r="N13" s="306"/>
      <c r="O13" s="306"/>
      <c r="P13" s="306"/>
      <c r="Q13" s="306"/>
      <c r="R13" s="306"/>
      <c r="S13" s="306"/>
    </row>
    <row r="14" spans="1:22" s="316" customFormat="1" ht="11.25">
      <c r="A14" s="317"/>
      <c r="B14" s="318"/>
      <c r="C14" s="323"/>
      <c r="D14" s="333"/>
      <c r="E14" s="339"/>
      <c r="F14" s="306"/>
      <c r="G14" s="306"/>
      <c r="H14" s="306"/>
      <c r="I14" s="306"/>
      <c r="J14" s="306"/>
      <c r="K14" s="306"/>
      <c r="L14" s="306"/>
      <c r="M14" s="306"/>
      <c r="N14" s="306"/>
      <c r="O14" s="306"/>
      <c r="P14" s="306"/>
      <c r="Q14" s="306"/>
      <c r="R14" s="306"/>
      <c r="S14" s="306"/>
    </row>
    <row r="15" spans="1:22" s="316" customFormat="1" ht="11.25">
      <c r="A15" s="317"/>
      <c r="B15" s="318"/>
      <c r="C15" s="323"/>
      <c r="D15" s="333"/>
      <c r="E15" s="339"/>
      <c r="F15" s="306"/>
      <c r="G15" s="306"/>
      <c r="H15" s="306"/>
      <c r="I15" s="306"/>
      <c r="J15" s="306"/>
      <c r="K15" s="306"/>
      <c r="L15" s="306"/>
      <c r="M15" s="306"/>
      <c r="N15" s="306"/>
      <c r="O15" s="306"/>
      <c r="P15" s="306"/>
      <c r="Q15" s="306"/>
      <c r="R15" s="306"/>
      <c r="S15" s="306"/>
    </row>
    <row r="16" spans="1:22" s="316" customFormat="1" ht="11.25">
      <c r="A16" s="317"/>
      <c r="B16" s="322"/>
      <c r="C16" s="323"/>
      <c r="D16" s="333"/>
      <c r="E16" s="339"/>
      <c r="F16" s="306"/>
      <c r="G16" s="306"/>
      <c r="H16" s="306"/>
      <c r="I16" s="306"/>
      <c r="J16" s="306"/>
      <c r="K16" s="306"/>
      <c r="L16" s="306"/>
      <c r="M16" s="306"/>
      <c r="N16" s="306"/>
      <c r="O16" s="306"/>
      <c r="P16" s="306"/>
      <c r="Q16" s="306"/>
      <c r="R16" s="306"/>
      <c r="S16" s="306"/>
    </row>
    <row r="17" spans="1:19" s="316" customFormat="1" ht="11.25">
      <c r="A17" s="317"/>
      <c r="B17" s="322"/>
      <c r="C17" s="323"/>
      <c r="D17" s="333"/>
      <c r="E17" s="339"/>
      <c r="F17" s="306"/>
      <c r="G17" s="306"/>
      <c r="H17" s="306"/>
      <c r="I17" s="306"/>
      <c r="J17" s="306"/>
      <c r="K17" s="306"/>
      <c r="L17" s="306"/>
      <c r="M17" s="306"/>
      <c r="N17" s="306"/>
      <c r="O17" s="306"/>
      <c r="P17" s="306"/>
      <c r="Q17" s="306"/>
      <c r="R17" s="306"/>
      <c r="S17" s="306"/>
    </row>
    <row r="18" spans="1:19" s="316" customFormat="1" ht="11.25">
      <c r="A18" s="317"/>
      <c r="B18" s="322"/>
      <c r="C18" s="323"/>
      <c r="D18" s="333"/>
      <c r="E18" s="339"/>
      <c r="F18" s="306"/>
      <c r="G18" s="306"/>
      <c r="H18" s="306"/>
      <c r="I18" s="306"/>
      <c r="J18" s="306"/>
      <c r="K18" s="306"/>
      <c r="L18" s="306"/>
      <c r="M18" s="306"/>
      <c r="N18" s="306"/>
      <c r="O18" s="306"/>
      <c r="P18" s="306"/>
      <c r="Q18" s="306"/>
      <c r="R18" s="306"/>
      <c r="S18" s="306"/>
    </row>
    <row r="19" spans="1:19" s="316" customFormat="1" ht="11.25">
      <c r="A19" s="317"/>
      <c r="B19" s="318"/>
      <c r="C19" s="323"/>
      <c r="D19" s="333"/>
      <c r="E19" s="339"/>
      <c r="F19" s="306"/>
      <c r="G19" s="306"/>
      <c r="H19" s="306"/>
      <c r="I19" s="306"/>
      <c r="J19" s="306"/>
      <c r="K19" s="306"/>
      <c r="L19" s="306"/>
      <c r="M19" s="306"/>
      <c r="N19" s="306"/>
      <c r="O19" s="306"/>
      <c r="P19" s="306"/>
      <c r="Q19" s="306"/>
      <c r="R19" s="306"/>
      <c r="S19" s="306"/>
    </row>
    <row r="20" spans="1:19" s="316" customFormat="1" ht="11.25">
      <c r="A20" s="317"/>
      <c r="B20" s="318"/>
      <c r="C20" s="323"/>
      <c r="D20" s="333"/>
      <c r="E20" s="339"/>
      <c r="F20" s="306"/>
      <c r="G20" s="306"/>
      <c r="H20" s="306"/>
      <c r="I20" s="306"/>
      <c r="J20" s="306"/>
      <c r="K20" s="306"/>
      <c r="L20" s="306"/>
      <c r="M20" s="306"/>
      <c r="N20" s="306"/>
      <c r="O20" s="306"/>
      <c r="P20" s="306"/>
      <c r="Q20" s="306"/>
      <c r="R20" s="306"/>
      <c r="S20" s="306"/>
    </row>
    <row r="21" spans="1:19" s="316" customFormat="1" ht="11.25">
      <c r="A21" s="317"/>
      <c r="B21" s="322"/>
      <c r="C21" s="323"/>
      <c r="D21" s="333"/>
      <c r="E21" s="339"/>
      <c r="F21" s="306"/>
      <c r="G21" s="306"/>
      <c r="H21" s="306"/>
      <c r="I21" s="306"/>
      <c r="J21" s="306"/>
      <c r="K21" s="306"/>
      <c r="L21" s="306"/>
      <c r="M21" s="306"/>
      <c r="N21" s="306"/>
      <c r="O21" s="306"/>
      <c r="P21" s="306"/>
      <c r="Q21" s="306"/>
      <c r="R21" s="306"/>
      <c r="S21" s="306"/>
    </row>
    <row r="22" spans="1:19" s="316" customFormat="1" ht="11.25">
      <c r="A22" s="317"/>
      <c r="B22" s="318"/>
      <c r="C22" s="323"/>
      <c r="D22" s="333"/>
      <c r="E22" s="339"/>
      <c r="F22" s="306"/>
      <c r="G22" s="306"/>
      <c r="H22" s="306"/>
      <c r="I22" s="306"/>
      <c r="J22" s="306"/>
      <c r="K22" s="306"/>
      <c r="L22" s="306"/>
      <c r="M22" s="306"/>
      <c r="N22" s="306"/>
      <c r="O22" s="306"/>
      <c r="P22" s="306"/>
      <c r="Q22" s="306"/>
      <c r="R22" s="306"/>
      <c r="S22" s="306"/>
    </row>
    <row r="23" spans="1:19" s="316" customFormat="1" ht="11.25">
      <c r="A23" s="317"/>
      <c r="B23" s="318"/>
      <c r="C23" s="323"/>
      <c r="D23" s="333"/>
      <c r="E23" s="339"/>
      <c r="F23" s="306"/>
      <c r="G23" s="306"/>
      <c r="H23" s="306"/>
      <c r="I23" s="306"/>
      <c r="J23" s="306"/>
      <c r="K23" s="306"/>
      <c r="L23" s="306"/>
      <c r="M23" s="306"/>
      <c r="N23" s="306"/>
      <c r="O23" s="306"/>
      <c r="P23" s="306"/>
      <c r="Q23" s="306"/>
      <c r="R23" s="306"/>
      <c r="S23" s="306"/>
    </row>
    <row r="24" spans="1:19" s="316" customFormat="1" ht="12" thickBot="1">
      <c r="A24" s="334"/>
      <c r="B24" s="326"/>
      <c r="C24" s="650"/>
      <c r="D24" s="328"/>
      <c r="E24" s="340"/>
      <c r="F24" s="306"/>
      <c r="G24" s="306"/>
      <c r="H24" s="306"/>
      <c r="I24" s="306"/>
      <c r="J24" s="306"/>
      <c r="K24" s="306"/>
      <c r="L24" s="306"/>
      <c r="M24" s="306"/>
      <c r="N24" s="306"/>
      <c r="O24" s="306"/>
      <c r="P24" s="306"/>
      <c r="Q24" s="306"/>
      <c r="R24" s="306"/>
      <c r="S24" s="306"/>
    </row>
    <row r="25" spans="1:19" s="316" customFormat="1" ht="22.5">
      <c r="A25" s="331"/>
      <c r="B25" s="331"/>
      <c r="C25" s="341"/>
      <c r="D25" s="306"/>
      <c r="E25" s="330" t="s">
        <v>1053</v>
      </c>
      <c r="F25" s="306">
        <v>1</v>
      </c>
      <c r="G25" s="306" t="s">
        <v>531</v>
      </c>
      <c r="H25" s="306" t="s">
        <v>531</v>
      </c>
      <c r="I25" s="306" t="s">
        <v>531</v>
      </c>
      <c r="J25" s="306" t="s">
        <v>531</v>
      </c>
      <c r="K25" s="306" t="s">
        <v>531</v>
      </c>
      <c r="L25" s="306" t="s">
        <v>531</v>
      </c>
      <c r="M25" s="306" t="s">
        <v>531</v>
      </c>
      <c r="N25" s="306" t="s">
        <v>531</v>
      </c>
      <c r="O25" s="306" t="s">
        <v>531</v>
      </c>
      <c r="P25" s="306" t="s">
        <v>531</v>
      </c>
      <c r="Q25" s="306" t="s">
        <v>531</v>
      </c>
      <c r="R25" s="306" t="s">
        <v>531</v>
      </c>
      <c r="S25" s="306" t="s">
        <v>531</v>
      </c>
    </row>
    <row r="26" spans="1:19" s="316" customFormat="1">
      <c r="A26" s="5"/>
      <c r="B26" s="331"/>
      <c r="C26" s="341"/>
      <c r="D26" s="306"/>
      <c r="E26" s="330"/>
      <c r="F26" s="306"/>
      <c r="G26" s="306"/>
      <c r="H26" s="306"/>
      <c r="I26" s="306"/>
      <c r="J26" s="306"/>
      <c r="K26" s="306"/>
      <c r="L26" s="306"/>
      <c r="M26" s="306"/>
      <c r="N26" s="306"/>
      <c r="O26" s="306"/>
      <c r="P26" s="306"/>
      <c r="Q26" s="306"/>
      <c r="R26" s="306"/>
      <c r="S26" s="306"/>
    </row>
    <row r="27" spans="1:19" s="316" customFormat="1">
      <c r="A27" s="5"/>
      <c r="B27" s="331"/>
      <c r="C27" s="341"/>
      <c r="D27" s="306"/>
      <c r="E27" s="330"/>
      <c r="F27" s="306"/>
      <c r="G27" s="306"/>
      <c r="H27" s="306"/>
      <c r="I27" s="306"/>
      <c r="J27" s="306"/>
      <c r="K27" s="306"/>
      <c r="L27" s="306"/>
      <c r="M27" s="306"/>
      <c r="N27" s="306"/>
      <c r="O27" s="306"/>
      <c r="P27" s="306"/>
      <c r="Q27" s="306"/>
      <c r="R27" s="306"/>
      <c r="S27" s="306"/>
    </row>
    <row r="28" spans="1:19" s="316" customFormat="1" ht="11.25">
      <c r="A28" s="331"/>
      <c r="B28" s="331"/>
      <c r="C28" s="341"/>
      <c r="D28" s="306"/>
      <c r="E28" s="330"/>
      <c r="F28" s="306"/>
      <c r="G28" s="306"/>
      <c r="H28" s="306"/>
      <c r="I28" s="306"/>
      <c r="J28" s="306"/>
      <c r="K28" s="306"/>
      <c r="L28" s="306"/>
      <c r="M28" s="306"/>
      <c r="N28" s="306"/>
      <c r="O28" s="306"/>
      <c r="P28" s="306"/>
      <c r="Q28" s="306"/>
      <c r="R28" s="306"/>
      <c r="S28" s="306"/>
    </row>
    <row r="29" spans="1:19" s="316" customFormat="1" ht="11.25">
      <c r="A29" s="331"/>
      <c r="B29" s="331"/>
      <c r="C29" s="341"/>
      <c r="D29" s="306"/>
      <c r="E29" s="330"/>
      <c r="F29" s="306"/>
      <c r="G29" s="306"/>
      <c r="H29" s="306"/>
      <c r="I29" s="306"/>
      <c r="J29" s="306"/>
      <c r="K29" s="306"/>
      <c r="L29" s="306"/>
      <c r="M29" s="306"/>
      <c r="N29" s="306"/>
      <c r="O29" s="306"/>
      <c r="P29" s="306"/>
      <c r="Q29" s="306"/>
      <c r="R29" s="306"/>
      <c r="S29" s="306"/>
    </row>
    <row r="30" spans="1:19" s="316" customFormat="1" ht="11.25">
      <c r="A30" s="331"/>
      <c r="B30" s="331"/>
      <c r="C30" s="341"/>
      <c r="D30" s="306"/>
      <c r="E30" s="330"/>
      <c r="F30" s="306"/>
      <c r="G30" s="306"/>
      <c r="H30" s="306"/>
      <c r="I30" s="306"/>
      <c r="J30" s="306"/>
      <c r="K30" s="306"/>
      <c r="L30" s="306"/>
      <c r="M30" s="306"/>
      <c r="N30" s="306"/>
      <c r="O30" s="306"/>
      <c r="P30" s="306"/>
      <c r="Q30" s="306"/>
      <c r="R30" s="306"/>
      <c r="S30" s="306"/>
    </row>
    <row r="31" spans="1:19" s="316" customFormat="1" ht="11.25">
      <c r="A31" s="331"/>
      <c r="B31" s="331"/>
      <c r="C31" s="341"/>
      <c r="D31" s="306"/>
      <c r="E31" s="330"/>
      <c r="F31" s="306"/>
      <c r="G31" s="306"/>
      <c r="H31" s="306"/>
      <c r="I31" s="306"/>
      <c r="J31" s="306"/>
      <c r="K31" s="306"/>
      <c r="L31" s="306"/>
      <c r="M31" s="306"/>
      <c r="N31" s="306"/>
      <c r="O31" s="306"/>
      <c r="P31" s="306"/>
      <c r="Q31" s="306"/>
      <c r="R31" s="306"/>
      <c r="S31" s="306"/>
    </row>
    <row r="32" spans="1:19" s="316" customFormat="1" ht="11.25">
      <c r="A32" s="331"/>
      <c r="B32" s="331"/>
      <c r="C32" s="341"/>
      <c r="D32" s="306"/>
      <c r="E32" s="330"/>
      <c r="F32" s="306"/>
      <c r="G32" s="306"/>
      <c r="H32" s="306"/>
      <c r="I32" s="306"/>
      <c r="J32" s="306"/>
      <c r="K32" s="306"/>
      <c r="L32" s="306"/>
      <c r="M32" s="306"/>
      <c r="N32" s="306"/>
      <c r="O32" s="306"/>
      <c r="P32" s="306"/>
      <c r="Q32" s="306"/>
      <c r="R32" s="306"/>
      <c r="S32" s="306"/>
    </row>
    <row r="33" spans="1:19" s="316" customFormat="1" ht="11.25">
      <c r="A33" s="331"/>
      <c r="B33" s="331"/>
      <c r="C33" s="341"/>
      <c r="D33" s="306"/>
      <c r="E33" s="330"/>
      <c r="F33" s="306"/>
      <c r="G33" s="306"/>
      <c r="H33" s="306"/>
      <c r="I33" s="306"/>
      <c r="J33" s="306"/>
      <c r="K33" s="306"/>
      <c r="L33" s="306"/>
      <c r="M33" s="306"/>
      <c r="N33" s="306"/>
      <c r="O33" s="306"/>
      <c r="P33" s="306"/>
      <c r="Q33" s="306"/>
      <c r="R33" s="306"/>
      <c r="S33" s="306"/>
    </row>
    <row r="34" spans="1:19" s="316" customFormat="1" ht="11.25">
      <c r="A34" s="331"/>
      <c r="B34" s="331"/>
      <c r="C34" s="341"/>
      <c r="D34" s="306"/>
      <c r="E34" s="330"/>
      <c r="F34" s="306"/>
      <c r="G34" s="306"/>
      <c r="H34" s="306"/>
      <c r="I34" s="306"/>
      <c r="J34" s="306"/>
      <c r="K34" s="306"/>
      <c r="L34" s="306"/>
      <c r="M34" s="306"/>
      <c r="N34" s="306"/>
      <c r="O34" s="306"/>
      <c r="P34" s="306"/>
      <c r="Q34" s="306"/>
      <c r="R34" s="306"/>
      <c r="S34" s="306"/>
    </row>
    <row r="35" spans="1:19" s="316" customFormat="1" ht="11.25">
      <c r="A35" s="331"/>
      <c r="B35" s="331"/>
      <c r="C35" s="341"/>
      <c r="D35" s="306"/>
      <c r="E35" s="330"/>
      <c r="F35" s="306"/>
      <c r="G35" s="306"/>
      <c r="H35" s="306"/>
      <c r="I35" s="306"/>
      <c r="J35" s="306"/>
      <c r="K35" s="306"/>
      <c r="L35" s="306"/>
      <c r="M35" s="306"/>
      <c r="N35" s="306"/>
      <c r="O35" s="306"/>
      <c r="P35" s="306"/>
      <c r="Q35" s="306"/>
      <c r="R35" s="306"/>
      <c r="S35" s="306"/>
    </row>
    <row r="36" spans="1:19" s="316" customFormat="1" ht="11.25">
      <c r="A36" s="331"/>
      <c r="B36" s="331"/>
      <c r="C36" s="341"/>
      <c r="D36" s="306"/>
      <c r="E36" s="330"/>
      <c r="F36" s="306"/>
      <c r="G36" s="306"/>
      <c r="H36" s="306"/>
      <c r="I36" s="306"/>
      <c r="J36" s="306"/>
      <c r="K36" s="306"/>
      <c r="L36" s="306"/>
      <c r="M36" s="306"/>
      <c r="N36" s="306"/>
      <c r="O36" s="306"/>
      <c r="P36" s="306"/>
      <c r="Q36" s="306"/>
      <c r="R36" s="306"/>
      <c r="S36" s="306"/>
    </row>
    <row r="37" spans="1:19" s="316" customFormat="1" ht="11.25">
      <c r="A37" s="331"/>
      <c r="B37" s="331"/>
      <c r="C37" s="341"/>
      <c r="D37" s="306"/>
      <c r="E37" s="330"/>
      <c r="F37" s="306"/>
      <c r="G37" s="306"/>
      <c r="H37" s="306"/>
      <c r="I37" s="306"/>
      <c r="J37" s="306"/>
      <c r="K37" s="306"/>
      <c r="L37" s="306"/>
      <c r="M37" s="306"/>
      <c r="N37" s="306"/>
      <c r="O37" s="306"/>
      <c r="P37" s="306"/>
      <c r="Q37" s="306"/>
      <c r="R37" s="306"/>
      <c r="S37" s="306"/>
    </row>
    <row r="38" spans="1:19" s="316" customFormat="1" ht="11.25">
      <c r="A38" s="331"/>
      <c r="B38" s="331"/>
      <c r="C38" s="341"/>
      <c r="D38" s="306"/>
      <c r="E38" s="330"/>
      <c r="F38" s="306"/>
      <c r="G38" s="306"/>
      <c r="H38" s="306"/>
      <c r="I38" s="306"/>
      <c r="J38" s="306"/>
      <c r="K38" s="306"/>
      <c r="L38" s="306"/>
      <c r="M38" s="306"/>
      <c r="N38" s="306"/>
      <c r="O38" s="306"/>
      <c r="P38" s="306"/>
      <c r="Q38" s="306"/>
      <c r="R38" s="306"/>
      <c r="S38" s="306"/>
    </row>
    <row r="39" spans="1:19" s="316" customFormat="1" ht="11.25">
      <c r="A39" s="331"/>
      <c r="B39" s="331"/>
      <c r="C39" s="341"/>
      <c r="D39" s="306"/>
      <c r="E39" s="330"/>
      <c r="F39" s="306"/>
      <c r="G39" s="306"/>
      <c r="H39" s="306"/>
      <c r="I39" s="306"/>
      <c r="J39" s="306"/>
      <c r="K39" s="306"/>
      <c r="L39" s="306"/>
      <c r="M39" s="306"/>
      <c r="N39" s="306"/>
      <c r="O39" s="306"/>
      <c r="P39" s="306"/>
      <c r="Q39" s="306"/>
      <c r="R39" s="306"/>
      <c r="S39" s="306"/>
    </row>
    <row r="40" spans="1:19" s="316" customFormat="1" ht="11.25">
      <c r="A40" s="331"/>
      <c r="B40" s="331"/>
      <c r="C40" s="341"/>
      <c r="D40" s="306"/>
      <c r="E40" s="330"/>
      <c r="F40" s="306"/>
      <c r="G40" s="306"/>
      <c r="H40" s="306"/>
      <c r="I40" s="306"/>
      <c r="J40" s="306"/>
      <c r="K40" s="306"/>
      <c r="L40" s="306"/>
      <c r="M40" s="306"/>
      <c r="N40" s="306"/>
      <c r="O40" s="306"/>
      <c r="P40" s="306"/>
      <c r="Q40" s="306"/>
      <c r="R40" s="306"/>
      <c r="S40" s="306"/>
    </row>
    <row r="41" spans="1:19" s="316" customFormat="1" ht="11.25">
      <c r="A41" s="331"/>
      <c r="B41" s="331"/>
      <c r="C41" s="341"/>
      <c r="D41" s="306"/>
      <c r="E41" s="330"/>
      <c r="F41" s="306"/>
      <c r="G41" s="306"/>
      <c r="H41" s="306"/>
      <c r="I41" s="306"/>
      <c r="J41" s="306"/>
      <c r="K41" s="306"/>
      <c r="L41" s="306"/>
      <c r="M41" s="306"/>
      <c r="N41" s="306"/>
      <c r="O41" s="306"/>
      <c r="P41" s="306"/>
      <c r="Q41" s="306"/>
      <c r="R41" s="306"/>
      <c r="S41" s="306"/>
    </row>
    <row r="42" spans="1:19" s="316" customFormat="1" ht="11.25">
      <c r="A42" s="331"/>
      <c r="B42" s="331"/>
      <c r="C42" s="341"/>
      <c r="D42" s="306"/>
      <c r="E42" s="330"/>
      <c r="F42" s="306"/>
      <c r="G42" s="306"/>
      <c r="H42" s="306"/>
      <c r="I42" s="306"/>
      <c r="J42" s="306"/>
      <c r="K42" s="306"/>
      <c r="L42" s="306"/>
      <c r="M42" s="306"/>
      <c r="N42" s="306"/>
      <c r="O42" s="306"/>
      <c r="P42" s="306"/>
      <c r="Q42" s="306"/>
      <c r="R42" s="306"/>
      <c r="S42" s="306"/>
    </row>
    <row r="43" spans="1:19" s="316" customFormat="1" ht="11.25">
      <c r="A43" s="331"/>
      <c r="B43" s="331"/>
      <c r="C43" s="341"/>
      <c r="D43" s="306"/>
      <c r="E43" s="330"/>
      <c r="F43" s="306"/>
      <c r="G43" s="306"/>
      <c r="H43" s="306"/>
      <c r="I43" s="306"/>
      <c r="J43" s="306"/>
      <c r="K43" s="306"/>
      <c r="L43" s="306"/>
      <c r="M43" s="306"/>
      <c r="N43" s="306"/>
      <c r="O43" s="306"/>
      <c r="P43" s="306"/>
      <c r="Q43" s="306"/>
      <c r="R43" s="306"/>
      <c r="S43" s="306"/>
    </row>
    <row r="44" spans="1:19" s="316" customFormat="1" ht="11.25">
      <c r="A44" s="331"/>
      <c r="B44" s="331"/>
      <c r="C44" s="341"/>
      <c r="D44" s="306"/>
      <c r="E44" s="330"/>
      <c r="F44" s="306"/>
      <c r="G44" s="306"/>
      <c r="H44" s="306"/>
      <c r="I44" s="306"/>
      <c r="J44" s="306"/>
      <c r="K44" s="306"/>
      <c r="L44" s="306"/>
      <c r="M44" s="306"/>
      <c r="N44" s="306"/>
      <c r="O44" s="306"/>
      <c r="P44" s="306"/>
      <c r="Q44" s="306"/>
      <c r="R44" s="306"/>
      <c r="S44" s="306"/>
    </row>
    <row r="45" spans="1:19" s="316" customFormat="1" ht="11.25">
      <c r="A45" s="331"/>
      <c r="B45" s="331"/>
      <c r="C45" s="341"/>
      <c r="D45" s="306"/>
      <c r="E45" s="330"/>
      <c r="F45" s="306"/>
      <c r="G45" s="306"/>
      <c r="H45" s="306"/>
      <c r="I45" s="306"/>
      <c r="J45" s="306"/>
      <c r="K45" s="306"/>
      <c r="L45" s="306"/>
      <c r="M45" s="306"/>
      <c r="N45" s="306"/>
      <c r="O45" s="306"/>
      <c r="P45" s="306"/>
      <c r="Q45" s="306"/>
      <c r="R45" s="306"/>
      <c r="S45" s="306"/>
    </row>
    <row r="46" spans="1:19" s="316" customFormat="1" ht="11.25">
      <c r="A46" s="331"/>
      <c r="B46" s="331"/>
      <c r="C46" s="341"/>
      <c r="D46" s="306"/>
      <c r="E46" s="330"/>
      <c r="F46" s="306"/>
      <c r="G46" s="306"/>
      <c r="H46" s="306"/>
      <c r="I46" s="306"/>
      <c r="J46" s="306"/>
      <c r="K46" s="306"/>
      <c r="L46" s="306"/>
      <c r="M46" s="306"/>
      <c r="N46" s="306"/>
      <c r="O46" s="306"/>
      <c r="P46" s="306"/>
      <c r="Q46" s="306"/>
      <c r="R46" s="306"/>
      <c r="S46" s="306"/>
    </row>
    <row r="47" spans="1:19" s="316" customFormat="1" ht="11.25">
      <c r="A47" s="331"/>
      <c r="B47" s="331"/>
      <c r="C47" s="341"/>
      <c r="D47" s="306"/>
      <c r="E47" s="330"/>
      <c r="F47" s="306"/>
      <c r="G47" s="306"/>
      <c r="H47" s="306"/>
      <c r="I47" s="306"/>
      <c r="J47" s="306"/>
      <c r="K47" s="306"/>
      <c r="L47" s="306"/>
      <c r="M47" s="306"/>
      <c r="N47" s="306"/>
      <c r="O47" s="306"/>
      <c r="P47" s="306"/>
      <c r="Q47" s="306"/>
      <c r="R47" s="306"/>
      <c r="S47" s="306"/>
    </row>
    <row r="48" spans="1:19" s="316" customFormat="1" ht="11.25">
      <c r="A48" s="331"/>
      <c r="B48" s="331"/>
      <c r="C48" s="341"/>
      <c r="D48" s="306"/>
      <c r="E48" s="330"/>
      <c r="F48" s="306"/>
      <c r="G48" s="306"/>
      <c r="H48" s="306"/>
      <c r="I48" s="306"/>
      <c r="J48" s="306"/>
      <c r="K48" s="306"/>
      <c r="L48" s="306"/>
      <c r="M48" s="306"/>
      <c r="N48" s="306"/>
      <c r="O48" s="306"/>
      <c r="P48" s="306"/>
      <c r="Q48" s="306"/>
      <c r="R48" s="306"/>
      <c r="S48" s="306"/>
    </row>
    <row r="49" spans="1:19" s="316" customFormat="1" ht="11.25">
      <c r="A49" s="331"/>
      <c r="B49" s="331"/>
      <c r="C49" s="341"/>
      <c r="D49" s="306"/>
      <c r="E49" s="330"/>
      <c r="F49" s="306"/>
      <c r="G49" s="306"/>
      <c r="H49" s="306"/>
      <c r="I49" s="306"/>
      <c r="J49" s="306"/>
      <c r="K49" s="306"/>
      <c r="L49" s="306"/>
      <c r="M49" s="306"/>
      <c r="N49" s="306"/>
      <c r="O49" s="306"/>
      <c r="P49" s="306"/>
      <c r="Q49" s="306"/>
      <c r="R49" s="306"/>
      <c r="S49" s="306"/>
    </row>
    <row r="50" spans="1:19" s="316" customFormat="1" ht="11.25">
      <c r="A50" s="331"/>
      <c r="B50" s="331"/>
      <c r="C50" s="341"/>
      <c r="D50" s="306"/>
      <c r="E50" s="330"/>
      <c r="F50" s="306"/>
      <c r="G50" s="306"/>
      <c r="H50" s="306"/>
      <c r="I50" s="306"/>
      <c r="J50" s="306"/>
      <c r="K50" s="306"/>
      <c r="L50" s="306"/>
      <c r="M50" s="306"/>
      <c r="N50" s="306"/>
      <c r="O50" s="306"/>
      <c r="P50" s="306"/>
      <c r="Q50" s="306"/>
      <c r="R50" s="306"/>
      <c r="S50" s="306"/>
    </row>
    <row r="51" spans="1:19" s="316" customFormat="1" ht="11.25">
      <c r="A51" s="331"/>
      <c r="B51" s="331"/>
      <c r="C51" s="341"/>
      <c r="D51" s="306"/>
      <c r="E51" s="330"/>
      <c r="F51" s="306"/>
      <c r="G51" s="306"/>
      <c r="H51" s="306"/>
      <c r="I51" s="306"/>
      <c r="J51" s="306"/>
      <c r="K51" s="306"/>
      <c r="L51" s="306"/>
      <c r="M51" s="306"/>
      <c r="N51" s="306"/>
      <c r="O51" s="306"/>
      <c r="P51" s="306"/>
      <c r="Q51" s="306"/>
      <c r="R51" s="306"/>
      <c r="S51" s="306"/>
    </row>
    <row r="52" spans="1:19" s="316" customFormat="1" ht="11.25">
      <c r="A52" s="331"/>
      <c r="B52" s="331"/>
      <c r="C52" s="341"/>
      <c r="D52" s="306"/>
      <c r="E52" s="330"/>
      <c r="F52" s="306"/>
      <c r="G52" s="306"/>
      <c r="H52" s="306"/>
      <c r="I52" s="306"/>
      <c r="J52" s="306"/>
      <c r="K52" s="306"/>
      <c r="L52" s="306"/>
      <c r="M52" s="306"/>
      <c r="N52" s="306"/>
      <c r="O52" s="306"/>
      <c r="P52" s="306"/>
      <c r="Q52" s="306"/>
      <c r="R52" s="306"/>
      <c r="S52" s="306"/>
    </row>
    <row r="53" spans="1:19" s="316" customFormat="1" ht="11.25">
      <c r="A53" s="331"/>
      <c r="B53" s="331"/>
      <c r="C53" s="341"/>
      <c r="D53" s="306"/>
      <c r="E53" s="330"/>
      <c r="F53" s="306"/>
      <c r="G53" s="306"/>
      <c r="H53" s="306"/>
      <c r="I53" s="306"/>
      <c r="J53" s="306"/>
      <c r="K53" s="306"/>
      <c r="L53" s="306"/>
      <c r="M53" s="306"/>
      <c r="N53" s="306"/>
      <c r="O53" s="306"/>
      <c r="P53" s="306"/>
      <c r="Q53" s="306"/>
      <c r="R53" s="306"/>
      <c r="S53" s="306"/>
    </row>
    <row r="54" spans="1:19" s="316" customFormat="1" ht="11.25">
      <c r="A54" s="331"/>
      <c r="B54" s="331"/>
      <c r="C54" s="341"/>
      <c r="D54" s="306"/>
      <c r="E54" s="330"/>
      <c r="F54" s="306"/>
      <c r="G54" s="306"/>
      <c r="H54" s="306"/>
      <c r="I54" s="306"/>
      <c r="J54" s="306"/>
      <c r="K54" s="306"/>
      <c r="L54" s="306"/>
      <c r="M54" s="306"/>
      <c r="N54" s="306"/>
      <c r="O54" s="306"/>
      <c r="P54" s="306"/>
      <c r="Q54" s="306"/>
      <c r="R54" s="306"/>
      <c r="S54" s="306"/>
    </row>
    <row r="55" spans="1:19" s="316" customFormat="1" ht="11.25">
      <c r="A55" s="331"/>
      <c r="B55" s="331"/>
      <c r="C55" s="341"/>
      <c r="D55" s="306"/>
      <c r="E55" s="330"/>
      <c r="F55" s="306"/>
      <c r="G55" s="306"/>
      <c r="H55" s="306"/>
      <c r="I55" s="306"/>
      <c r="J55" s="306"/>
      <c r="K55" s="306"/>
      <c r="L55" s="306"/>
      <c r="M55" s="306"/>
      <c r="N55" s="306"/>
      <c r="O55" s="306"/>
      <c r="P55" s="306"/>
      <c r="Q55" s="306"/>
      <c r="R55" s="306"/>
      <c r="S55" s="306"/>
    </row>
    <row r="56" spans="1:19" s="316" customFormat="1" ht="11.25">
      <c r="A56" s="331"/>
      <c r="B56" s="331"/>
      <c r="C56" s="341"/>
      <c r="D56" s="306"/>
      <c r="E56" s="330"/>
      <c r="F56" s="306"/>
      <c r="G56" s="306"/>
      <c r="H56" s="306"/>
      <c r="I56" s="306"/>
      <c r="J56" s="306"/>
      <c r="K56" s="306"/>
      <c r="L56" s="306"/>
      <c r="M56" s="306"/>
      <c r="N56" s="306"/>
      <c r="O56" s="306"/>
      <c r="P56" s="306"/>
      <c r="Q56" s="306"/>
      <c r="R56" s="306"/>
      <c r="S56" s="306"/>
    </row>
    <row r="57" spans="1:19" s="316" customFormat="1" ht="11.25">
      <c r="A57" s="331"/>
      <c r="B57" s="331"/>
      <c r="C57" s="341"/>
      <c r="D57" s="306"/>
      <c r="E57" s="330"/>
      <c r="F57" s="306"/>
      <c r="G57" s="306"/>
      <c r="H57" s="306"/>
      <c r="I57" s="306"/>
      <c r="J57" s="306"/>
      <c r="K57" s="306"/>
      <c r="L57" s="306"/>
      <c r="M57" s="306"/>
      <c r="N57" s="306"/>
      <c r="O57" s="306"/>
      <c r="P57" s="306"/>
      <c r="Q57" s="306"/>
      <c r="R57" s="306"/>
      <c r="S57" s="306"/>
    </row>
    <row r="58" spans="1:19" s="316" customFormat="1" ht="11.25">
      <c r="A58" s="331"/>
      <c r="B58" s="331"/>
      <c r="C58" s="341"/>
      <c r="D58" s="306"/>
      <c r="E58" s="330"/>
      <c r="F58" s="306"/>
      <c r="G58" s="306"/>
      <c r="H58" s="306"/>
      <c r="I58" s="306"/>
      <c r="J58" s="306"/>
      <c r="K58" s="306"/>
      <c r="L58" s="306"/>
      <c r="M58" s="306"/>
      <c r="N58" s="306"/>
      <c r="O58" s="306"/>
      <c r="P58" s="306"/>
      <c r="Q58" s="306"/>
      <c r="R58" s="306"/>
      <c r="S58" s="306"/>
    </row>
    <row r="59" spans="1:19" s="316" customFormat="1" ht="11.25">
      <c r="A59" s="331"/>
      <c r="B59" s="331"/>
      <c r="C59" s="341"/>
      <c r="D59" s="306"/>
      <c r="E59" s="330"/>
      <c r="F59" s="306"/>
      <c r="G59" s="306"/>
      <c r="H59" s="306"/>
      <c r="I59" s="306"/>
      <c r="J59" s="306"/>
      <c r="K59" s="306"/>
      <c r="L59" s="306"/>
      <c r="M59" s="306"/>
      <c r="N59" s="306"/>
      <c r="O59" s="306"/>
      <c r="P59" s="306"/>
      <c r="Q59" s="306"/>
      <c r="R59" s="306"/>
      <c r="S59" s="306"/>
    </row>
    <row r="60" spans="1:19" s="316" customFormat="1" ht="11.25">
      <c r="A60" s="331"/>
      <c r="B60" s="331"/>
      <c r="C60" s="341"/>
      <c r="D60" s="306"/>
      <c r="E60" s="330"/>
      <c r="F60" s="306"/>
      <c r="G60" s="306"/>
      <c r="H60" s="306"/>
      <c r="I60" s="306"/>
      <c r="J60" s="306"/>
      <c r="K60" s="306"/>
      <c r="L60" s="306"/>
      <c r="M60" s="306"/>
      <c r="N60" s="306"/>
      <c r="O60" s="306"/>
      <c r="P60" s="306"/>
      <c r="Q60" s="306"/>
      <c r="R60" s="306"/>
      <c r="S60" s="306"/>
    </row>
    <row r="61" spans="1:19" s="316" customFormat="1">
      <c r="A61" s="331"/>
      <c r="B61" s="331"/>
      <c r="C61" s="336"/>
      <c r="D61" s="306"/>
      <c r="E61" s="307"/>
      <c r="F61" s="306"/>
      <c r="G61" s="306"/>
      <c r="H61" s="306"/>
      <c r="I61" s="306"/>
      <c r="J61" s="306"/>
      <c r="K61" s="306"/>
      <c r="L61" s="306"/>
      <c r="M61" s="306"/>
      <c r="N61" s="306"/>
      <c r="O61" s="306"/>
      <c r="P61" s="306"/>
      <c r="Q61" s="306"/>
      <c r="R61" s="306"/>
      <c r="S61" s="306"/>
    </row>
    <row r="62" spans="1:19" s="316" customFormat="1">
      <c r="A62" s="331"/>
      <c r="B62" s="331"/>
      <c r="C62" s="336"/>
      <c r="D62" s="306"/>
      <c r="E62" s="307"/>
      <c r="F62" s="306"/>
      <c r="G62" s="306"/>
      <c r="H62" s="306"/>
      <c r="I62" s="306"/>
      <c r="J62" s="306"/>
      <c r="K62" s="306"/>
      <c r="L62" s="306"/>
      <c r="M62" s="306"/>
      <c r="N62" s="306"/>
      <c r="O62" s="306"/>
      <c r="P62" s="306"/>
      <c r="Q62" s="306"/>
      <c r="R62" s="306"/>
      <c r="S62" s="306"/>
    </row>
    <row r="63" spans="1:19" s="316" customFormat="1">
      <c r="A63" s="331"/>
      <c r="B63" s="331"/>
      <c r="C63" s="336"/>
      <c r="D63" s="306"/>
      <c r="E63" s="307"/>
      <c r="F63" s="306"/>
      <c r="G63" s="306"/>
      <c r="H63" s="306"/>
      <c r="I63" s="306"/>
      <c r="J63" s="306"/>
      <c r="K63" s="306"/>
      <c r="L63" s="306"/>
      <c r="M63" s="306"/>
      <c r="N63" s="306"/>
      <c r="O63" s="306"/>
      <c r="P63" s="306"/>
      <c r="Q63" s="306"/>
      <c r="R63" s="306"/>
      <c r="S63" s="306"/>
    </row>
    <row r="64" spans="1:19" s="316" customFormat="1">
      <c r="A64" s="331"/>
      <c r="B64" s="331"/>
      <c r="C64" s="336"/>
      <c r="D64" s="306"/>
      <c r="E64" s="307"/>
      <c r="F64" s="306"/>
      <c r="G64" s="306"/>
      <c r="H64" s="306"/>
      <c r="I64" s="306"/>
      <c r="J64" s="306"/>
      <c r="K64" s="306"/>
      <c r="L64" s="306"/>
      <c r="M64" s="306"/>
      <c r="N64" s="306"/>
      <c r="O64" s="306"/>
      <c r="P64" s="306"/>
      <c r="Q64" s="306"/>
      <c r="R64" s="306"/>
      <c r="S64" s="306"/>
    </row>
  </sheetData>
  <mergeCells count="1">
    <mergeCell ref="D2:E2"/>
  </mergeCells>
  <conditionalFormatting sqref="F3:S24">
    <cfRule type="colorScale" priority="3">
      <colorScale>
        <cfvo type="min" val="0"/>
        <cfvo type="percentile" val="50"/>
        <cfvo type="max" val="0"/>
        <color rgb="FFF8696B"/>
        <color rgb="FFFFEB84"/>
        <color rgb="FF63BE7B"/>
      </colorScale>
    </cfRule>
  </conditionalFormatting>
  <conditionalFormatting sqref="F3:T24 F28:T36">
    <cfRule type="colorScale" priority="2">
      <colorScale>
        <cfvo type="min" val="0"/>
        <cfvo type="percentile" val="50"/>
        <cfvo type="max" val="0"/>
        <color rgb="FFF8696B"/>
        <color rgb="FFFFEB84"/>
        <color rgb="FF63BE7B"/>
      </colorScale>
    </cfRule>
  </conditionalFormatting>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Business Survey - All Teams'!A1" display="Business Survey - All Teams"/>
    <hyperlink ref="G1" location="'IT Survey - All Teams'!A1" display="IT Survey - All Teams"/>
    <hyperlink ref="J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9.xml><?xml version="1.0" encoding="utf-8"?>
<worksheet xmlns="http://schemas.openxmlformats.org/spreadsheetml/2006/main" xmlns:r="http://schemas.openxmlformats.org/officeDocument/2006/relationships">
  <sheetPr codeName="Sheet29">
    <pageSetUpPr fitToPage="1"/>
  </sheetPr>
  <dimension ref="A1:V64"/>
  <sheetViews>
    <sheetView workbookViewId="0">
      <selection activeCell="S3" sqref="S3:S16"/>
    </sheetView>
  </sheetViews>
  <sheetFormatPr defaultRowHeight="12.75"/>
  <cols>
    <col min="1" max="1" width="3.42578125" style="331" bestFit="1" customWidth="1"/>
    <col min="2" max="2" width="4.5703125" style="331" bestFit="1" customWidth="1"/>
    <col min="3" max="3" width="10" style="285" bestFit="1" customWidth="1"/>
    <col min="4" max="4" width="9.140625" style="306"/>
    <col min="5" max="5" width="21.5703125" style="307" customWidth="1"/>
    <col min="6" max="19" width="9.140625" style="285"/>
    <col min="20" max="16384" width="9.140625" style="98"/>
  </cols>
  <sheetData>
    <row r="1" spans="1:22" ht="13.5" thickBot="1">
      <c r="A1" s="208" t="s">
        <v>29</v>
      </c>
      <c r="E1" s="5" t="s">
        <v>968</v>
      </c>
      <c r="G1" s="208" t="s">
        <v>966</v>
      </c>
      <c r="J1" s="208" t="s">
        <v>320</v>
      </c>
    </row>
    <row r="2" spans="1:22" ht="21.75" customHeight="1" thickTop="1" thickBot="1">
      <c r="A2" s="304" t="s">
        <v>105</v>
      </c>
      <c r="B2" s="304" t="s">
        <v>106</v>
      </c>
      <c r="C2" s="646" t="str">
        <f>Survey_Period</f>
        <v>2007 H1</v>
      </c>
      <c r="D2" s="759" t="s">
        <v>92</v>
      </c>
      <c r="E2" s="760"/>
      <c r="F2" s="308" t="s">
        <v>56</v>
      </c>
      <c r="G2" s="308" t="s">
        <v>23</v>
      </c>
      <c r="H2" s="308" t="s">
        <v>336</v>
      </c>
      <c r="I2" s="308" t="s">
        <v>335</v>
      </c>
      <c r="J2" s="308" t="s">
        <v>333</v>
      </c>
      <c r="K2" s="308" t="s">
        <v>334</v>
      </c>
      <c r="L2" s="308" t="s">
        <v>10</v>
      </c>
      <c r="M2" s="308" t="s">
        <v>331</v>
      </c>
      <c r="N2" s="308" t="s">
        <v>361</v>
      </c>
      <c r="O2" s="308" t="s">
        <v>353</v>
      </c>
      <c r="P2" s="308" t="s">
        <v>363</v>
      </c>
      <c r="Q2" s="308" t="s">
        <v>536</v>
      </c>
      <c r="R2" s="308" t="s">
        <v>365</v>
      </c>
      <c r="S2" s="309" t="s">
        <v>12</v>
      </c>
    </row>
    <row r="3" spans="1:22" s="316" customFormat="1" ht="24.75">
      <c r="A3" s="310" t="s">
        <v>112</v>
      </c>
      <c r="B3" s="332" t="s">
        <v>113</v>
      </c>
      <c r="C3" s="312" t="s">
        <v>114</v>
      </c>
      <c r="D3" s="313" t="s">
        <v>115</v>
      </c>
      <c r="E3" s="314" t="s">
        <v>116</v>
      </c>
      <c r="F3" s="598">
        <v>4.5</v>
      </c>
      <c r="G3" s="598">
        <v>5</v>
      </c>
      <c r="H3" s="598" t="s">
        <v>531</v>
      </c>
      <c r="I3" s="598">
        <v>4.2</v>
      </c>
      <c r="J3" s="598">
        <v>4.5</v>
      </c>
      <c r="K3" s="598">
        <v>5</v>
      </c>
      <c r="L3" s="598">
        <v>4</v>
      </c>
      <c r="M3" s="598">
        <v>5</v>
      </c>
      <c r="N3" s="598">
        <v>5</v>
      </c>
      <c r="O3" s="598" t="s">
        <v>531</v>
      </c>
      <c r="P3" s="598">
        <v>4</v>
      </c>
      <c r="Q3" s="598" t="s">
        <v>531</v>
      </c>
      <c r="R3" s="598" t="s">
        <v>531</v>
      </c>
      <c r="S3" s="598" t="s">
        <v>531</v>
      </c>
      <c r="V3" s="315"/>
    </row>
    <row r="4" spans="1:22" s="316" customFormat="1" ht="41.25">
      <c r="A4" s="317" t="s">
        <v>112</v>
      </c>
      <c r="B4" s="322" t="s">
        <v>113</v>
      </c>
      <c r="C4" s="319" t="s">
        <v>107</v>
      </c>
      <c r="D4" s="320" t="s">
        <v>124</v>
      </c>
      <c r="E4" s="321" t="s">
        <v>85</v>
      </c>
      <c r="F4" s="598">
        <v>4.3076923076923075</v>
      </c>
      <c r="G4" s="598">
        <v>5</v>
      </c>
      <c r="H4" s="598" t="s">
        <v>531</v>
      </c>
      <c r="I4" s="598">
        <v>4</v>
      </c>
      <c r="J4" s="598">
        <v>4</v>
      </c>
      <c r="K4" s="598">
        <v>4</v>
      </c>
      <c r="L4" s="598">
        <v>4</v>
      </c>
      <c r="M4" s="598">
        <v>5</v>
      </c>
      <c r="N4" s="598">
        <v>5</v>
      </c>
      <c r="O4" s="598" t="s">
        <v>531</v>
      </c>
      <c r="P4" s="598">
        <v>4</v>
      </c>
      <c r="Q4" s="598" t="s">
        <v>531</v>
      </c>
      <c r="R4" s="598" t="s">
        <v>531</v>
      </c>
      <c r="S4" s="598" t="s">
        <v>531</v>
      </c>
      <c r="V4" s="315"/>
    </row>
    <row r="5" spans="1:22" s="316" customFormat="1" ht="16.5">
      <c r="A5" s="317" t="s">
        <v>112</v>
      </c>
      <c r="B5" s="318" t="s">
        <v>113</v>
      </c>
      <c r="C5" s="319" t="s">
        <v>130</v>
      </c>
      <c r="D5" s="320" t="s">
        <v>131</v>
      </c>
      <c r="E5" s="321" t="s">
        <v>132</v>
      </c>
      <c r="F5" s="598">
        <v>4.2857142857142856</v>
      </c>
      <c r="G5" s="598">
        <v>5</v>
      </c>
      <c r="H5" s="598" t="s">
        <v>531</v>
      </c>
      <c r="I5" s="598">
        <v>4</v>
      </c>
      <c r="J5" s="598">
        <v>4</v>
      </c>
      <c r="K5" s="598">
        <v>4</v>
      </c>
      <c r="L5" s="598">
        <v>4</v>
      </c>
      <c r="M5" s="598">
        <v>5</v>
      </c>
      <c r="N5" s="598">
        <v>5</v>
      </c>
      <c r="O5" s="598" t="s">
        <v>531</v>
      </c>
      <c r="P5" s="598">
        <v>4</v>
      </c>
      <c r="Q5" s="598" t="s">
        <v>531</v>
      </c>
      <c r="R5" s="598" t="s">
        <v>531</v>
      </c>
      <c r="S5" s="598" t="s">
        <v>531</v>
      </c>
      <c r="V5" s="315"/>
    </row>
    <row r="6" spans="1:22" s="316" customFormat="1" ht="24.75">
      <c r="A6" s="317" t="s">
        <v>112</v>
      </c>
      <c r="B6" s="318" t="s">
        <v>113</v>
      </c>
      <c r="C6" s="319" t="s">
        <v>114</v>
      </c>
      <c r="D6" s="320" t="s">
        <v>136</v>
      </c>
      <c r="E6" s="321" t="s">
        <v>86</v>
      </c>
      <c r="F6" s="598">
        <v>3.7857142857142856</v>
      </c>
      <c r="G6" s="598">
        <v>4</v>
      </c>
      <c r="H6" s="598" t="s">
        <v>531</v>
      </c>
      <c r="I6" s="598">
        <v>3</v>
      </c>
      <c r="J6" s="598">
        <v>4</v>
      </c>
      <c r="K6" s="598">
        <v>4</v>
      </c>
      <c r="L6" s="598">
        <v>4</v>
      </c>
      <c r="M6" s="598">
        <v>5</v>
      </c>
      <c r="N6" s="598">
        <v>4.5</v>
      </c>
      <c r="O6" s="598" t="s">
        <v>531</v>
      </c>
      <c r="P6" s="598">
        <v>4</v>
      </c>
      <c r="Q6" s="598" t="s">
        <v>531</v>
      </c>
      <c r="R6" s="598" t="s">
        <v>531</v>
      </c>
      <c r="S6" s="598" t="s">
        <v>531</v>
      </c>
      <c r="V6" s="315"/>
    </row>
    <row r="7" spans="1:22" s="316" customFormat="1" ht="16.5">
      <c r="A7" s="317" t="s">
        <v>112</v>
      </c>
      <c r="B7" s="318" t="s">
        <v>113</v>
      </c>
      <c r="C7" s="319" t="s">
        <v>109</v>
      </c>
      <c r="D7" s="320" t="s">
        <v>141</v>
      </c>
      <c r="E7" s="321" t="s">
        <v>87</v>
      </c>
      <c r="F7" s="598">
        <v>4</v>
      </c>
      <c r="G7" s="598">
        <v>4</v>
      </c>
      <c r="H7" s="598" t="s">
        <v>531</v>
      </c>
      <c r="I7" s="598">
        <v>3.6</v>
      </c>
      <c r="J7" s="598">
        <v>4</v>
      </c>
      <c r="K7" s="598">
        <v>4</v>
      </c>
      <c r="L7" s="598">
        <v>4</v>
      </c>
      <c r="M7" s="598">
        <v>5</v>
      </c>
      <c r="N7" s="598">
        <v>4.5</v>
      </c>
      <c r="O7" s="598" t="s">
        <v>531</v>
      </c>
      <c r="P7" s="598">
        <v>4</v>
      </c>
      <c r="Q7" s="598" t="s">
        <v>531</v>
      </c>
      <c r="R7" s="598" t="s">
        <v>531</v>
      </c>
      <c r="S7" s="598" t="s">
        <v>531</v>
      </c>
      <c r="V7" s="315"/>
    </row>
    <row r="8" spans="1:22" s="316" customFormat="1" ht="24.75">
      <c r="A8" s="317" t="s">
        <v>112</v>
      </c>
      <c r="B8" s="322" t="s">
        <v>146</v>
      </c>
      <c r="C8" s="319" t="s">
        <v>147</v>
      </c>
      <c r="D8" s="320" t="s">
        <v>148</v>
      </c>
      <c r="E8" s="321" t="s">
        <v>88</v>
      </c>
      <c r="F8" s="598">
        <v>3.7857142857142856</v>
      </c>
      <c r="G8" s="598">
        <v>5</v>
      </c>
      <c r="H8" s="598" t="s">
        <v>531</v>
      </c>
      <c r="I8" s="598">
        <v>2.8</v>
      </c>
      <c r="J8" s="598">
        <v>3.5</v>
      </c>
      <c r="K8" s="598">
        <v>4</v>
      </c>
      <c r="L8" s="598">
        <v>4</v>
      </c>
      <c r="M8" s="598">
        <v>5</v>
      </c>
      <c r="N8" s="598">
        <v>5</v>
      </c>
      <c r="O8" s="598" t="s">
        <v>531</v>
      </c>
      <c r="P8" s="598">
        <v>4</v>
      </c>
      <c r="Q8" s="598" t="s">
        <v>531</v>
      </c>
      <c r="R8" s="598" t="s">
        <v>531</v>
      </c>
      <c r="S8" s="598" t="s">
        <v>531</v>
      </c>
      <c r="V8" s="315"/>
    </row>
    <row r="9" spans="1:22" s="316" customFormat="1" ht="24.75">
      <c r="A9" s="317" t="s">
        <v>112</v>
      </c>
      <c r="B9" s="318" t="s">
        <v>146</v>
      </c>
      <c r="C9" s="319" t="s">
        <v>147</v>
      </c>
      <c r="D9" s="320" t="s">
        <v>153</v>
      </c>
      <c r="E9" s="321" t="s">
        <v>89</v>
      </c>
      <c r="F9" s="598">
        <v>4.2857142857142856</v>
      </c>
      <c r="G9" s="598">
        <v>5</v>
      </c>
      <c r="H9" s="598" t="s">
        <v>531</v>
      </c>
      <c r="I9" s="598">
        <v>4</v>
      </c>
      <c r="J9" s="598">
        <v>4</v>
      </c>
      <c r="K9" s="598">
        <v>4</v>
      </c>
      <c r="L9" s="598">
        <v>4</v>
      </c>
      <c r="M9" s="598">
        <v>5</v>
      </c>
      <c r="N9" s="598">
        <v>5</v>
      </c>
      <c r="O9" s="598" t="s">
        <v>531</v>
      </c>
      <c r="P9" s="598">
        <v>4</v>
      </c>
      <c r="Q9" s="598" t="s">
        <v>531</v>
      </c>
      <c r="R9" s="598" t="s">
        <v>531</v>
      </c>
      <c r="S9" s="598" t="s">
        <v>531</v>
      </c>
      <c r="V9" s="315"/>
    </row>
    <row r="10" spans="1:22" s="316" customFormat="1" ht="24.75">
      <c r="A10" s="317" t="s">
        <v>112</v>
      </c>
      <c r="B10" s="318" t="s">
        <v>146</v>
      </c>
      <c r="C10" s="319" t="s">
        <v>114</v>
      </c>
      <c r="D10" s="320" t="s">
        <v>158</v>
      </c>
      <c r="E10" s="321" t="s">
        <v>159</v>
      </c>
      <c r="F10" s="598">
        <v>4.2142857142857144</v>
      </c>
      <c r="G10" s="598">
        <v>5</v>
      </c>
      <c r="H10" s="598" t="s">
        <v>531</v>
      </c>
      <c r="I10" s="598">
        <v>3.8</v>
      </c>
      <c r="J10" s="598">
        <v>4</v>
      </c>
      <c r="K10" s="598">
        <v>4</v>
      </c>
      <c r="L10" s="598">
        <v>4</v>
      </c>
      <c r="M10" s="598">
        <v>5</v>
      </c>
      <c r="N10" s="598">
        <v>5</v>
      </c>
      <c r="O10" s="598" t="s">
        <v>531</v>
      </c>
      <c r="P10" s="598">
        <v>4</v>
      </c>
      <c r="Q10" s="598" t="s">
        <v>531</v>
      </c>
      <c r="R10" s="598" t="s">
        <v>531</v>
      </c>
      <c r="S10" s="598" t="s">
        <v>531</v>
      </c>
      <c r="V10" s="315"/>
    </row>
    <row r="11" spans="1:22" s="316" customFormat="1" ht="33">
      <c r="A11" s="317" t="s">
        <v>112</v>
      </c>
      <c r="B11" s="318" t="s">
        <v>146</v>
      </c>
      <c r="C11" s="319" t="s">
        <v>107</v>
      </c>
      <c r="D11" s="320" t="s">
        <v>163</v>
      </c>
      <c r="E11" s="321" t="s">
        <v>90</v>
      </c>
      <c r="F11" s="598">
        <v>4.5</v>
      </c>
      <c r="G11" s="598">
        <v>5</v>
      </c>
      <c r="H11" s="598" t="s">
        <v>531</v>
      </c>
      <c r="I11" s="598">
        <v>4.4000000000000004</v>
      </c>
      <c r="J11" s="598">
        <v>4.5</v>
      </c>
      <c r="K11" s="598">
        <v>4</v>
      </c>
      <c r="L11" s="598">
        <v>4</v>
      </c>
      <c r="M11" s="598">
        <v>5</v>
      </c>
      <c r="N11" s="598">
        <v>5</v>
      </c>
      <c r="O11" s="598" t="s">
        <v>531</v>
      </c>
      <c r="P11" s="598">
        <v>4</v>
      </c>
      <c r="Q11" s="598" t="s">
        <v>531</v>
      </c>
      <c r="R11" s="598" t="s">
        <v>531</v>
      </c>
      <c r="S11" s="598" t="s">
        <v>531</v>
      </c>
      <c r="V11" s="315"/>
    </row>
    <row r="12" spans="1:22" s="316" customFormat="1" ht="33">
      <c r="A12" s="317" t="s">
        <v>112</v>
      </c>
      <c r="B12" s="318" t="s">
        <v>113</v>
      </c>
      <c r="C12" s="323" t="s">
        <v>166</v>
      </c>
      <c r="D12" s="320" t="s">
        <v>167</v>
      </c>
      <c r="E12" s="321" t="s">
        <v>168</v>
      </c>
      <c r="F12" s="598">
        <v>4.2857142857142856</v>
      </c>
      <c r="G12" s="598">
        <v>5</v>
      </c>
      <c r="H12" s="598" t="s">
        <v>531</v>
      </c>
      <c r="I12" s="598">
        <v>3.8</v>
      </c>
      <c r="J12" s="598">
        <v>4</v>
      </c>
      <c r="K12" s="598">
        <v>5</v>
      </c>
      <c r="L12" s="598">
        <v>4</v>
      </c>
      <c r="M12" s="598">
        <v>5</v>
      </c>
      <c r="N12" s="598">
        <v>5</v>
      </c>
      <c r="O12" s="598" t="s">
        <v>531</v>
      </c>
      <c r="P12" s="598">
        <v>4</v>
      </c>
      <c r="Q12" s="598" t="s">
        <v>531</v>
      </c>
      <c r="R12" s="598" t="s">
        <v>531</v>
      </c>
      <c r="S12" s="598" t="s">
        <v>531</v>
      </c>
      <c r="V12" s="315"/>
    </row>
    <row r="13" spans="1:22" s="316" customFormat="1" ht="24.75">
      <c r="A13" s="317" t="s">
        <v>142</v>
      </c>
      <c r="B13" s="322" t="s">
        <v>143</v>
      </c>
      <c r="C13" s="319" t="s">
        <v>125</v>
      </c>
      <c r="D13" s="320" t="s">
        <v>172</v>
      </c>
      <c r="E13" s="321" t="s">
        <v>173</v>
      </c>
      <c r="F13" s="598">
        <v>4.1428571428571432</v>
      </c>
      <c r="G13" s="598">
        <v>5</v>
      </c>
      <c r="H13" s="598" t="s">
        <v>531</v>
      </c>
      <c r="I13" s="598">
        <v>3.8</v>
      </c>
      <c r="J13" s="598">
        <v>4</v>
      </c>
      <c r="K13" s="598">
        <v>4</v>
      </c>
      <c r="L13" s="598">
        <v>4</v>
      </c>
      <c r="M13" s="598">
        <v>5</v>
      </c>
      <c r="N13" s="598">
        <v>5</v>
      </c>
      <c r="O13" s="598" t="s">
        <v>531</v>
      </c>
      <c r="P13" s="598">
        <v>3</v>
      </c>
      <c r="Q13" s="598" t="s">
        <v>531</v>
      </c>
      <c r="R13" s="598" t="s">
        <v>531</v>
      </c>
      <c r="S13" s="598" t="s">
        <v>531</v>
      </c>
      <c r="V13" s="315"/>
    </row>
    <row r="14" spans="1:22" s="316" customFormat="1" ht="24.75">
      <c r="A14" s="317" t="s">
        <v>142</v>
      </c>
      <c r="B14" s="318" t="s">
        <v>143</v>
      </c>
      <c r="C14" s="319" t="s">
        <v>109</v>
      </c>
      <c r="D14" s="320" t="s">
        <v>175</v>
      </c>
      <c r="E14" s="321" t="s">
        <v>176</v>
      </c>
      <c r="F14" s="598">
        <v>4</v>
      </c>
      <c r="G14" s="598">
        <v>5</v>
      </c>
      <c r="H14" s="598" t="s">
        <v>531</v>
      </c>
      <c r="I14" s="598">
        <v>3.6</v>
      </c>
      <c r="J14" s="598">
        <v>4</v>
      </c>
      <c r="K14" s="598">
        <v>4</v>
      </c>
      <c r="L14" s="598">
        <v>4</v>
      </c>
      <c r="M14" s="598">
        <v>5</v>
      </c>
      <c r="N14" s="598">
        <v>4.5</v>
      </c>
      <c r="O14" s="598" t="s">
        <v>531</v>
      </c>
      <c r="P14" s="598">
        <v>3</v>
      </c>
      <c r="Q14" s="598" t="s">
        <v>531</v>
      </c>
      <c r="R14" s="598" t="s">
        <v>531</v>
      </c>
      <c r="S14" s="598" t="s">
        <v>531</v>
      </c>
      <c r="V14" s="315"/>
    </row>
    <row r="15" spans="1:22" s="316" customFormat="1" ht="16.5">
      <c r="A15" s="317" t="s">
        <v>112</v>
      </c>
      <c r="B15" s="322" t="s">
        <v>146</v>
      </c>
      <c r="C15" s="319" t="s">
        <v>130</v>
      </c>
      <c r="D15" s="320" t="s">
        <v>179</v>
      </c>
      <c r="E15" s="321" t="s">
        <v>93</v>
      </c>
      <c r="F15" s="598">
        <v>4.2142857142857144</v>
      </c>
      <c r="G15" s="598">
        <v>5</v>
      </c>
      <c r="H15" s="598" t="s">
        <v>531</v>
      </c>
      <c r="I15" s="598">
        <v>3.8</v>
      </c>
      <c r="J15" s="598">
        <v>4</v>
      </c>
      <c r="K15" s="598">
        <v>4</v>
      </c>
      <c r="L15" s="598">
        <v>4</v>
      </c>
      <c r="M15" s="598">
        <v>5</v>
      </c>
      <c r="N15" s="598">
        <v>5</v>
      </c>
      <c r="O15" s="598" t="s">
        <v>531</v>
      </c>
      <c r="P15" s="598">
        <v>4</v>
      </c>
      <c r="Q15" s="598" t="s">
        <v>531</v>
      </c>
      <c r="R15" s="598" t="s">
        <v>531</v>
      </c>
      <c r="S15" s="598" t="s">
        <v>531</v>
      </c>
      <c r="V15" s="315"/>
    </row>
    <row r="16" spans="1:22" s="316" customFormat="1" ht="33">
      <c r="A16" s="317" t="s">
        <v>142</v>
      </c>
      <c r="B16" s="322" t="s">
        <v>143</v>
      </c>
      <c r="C16" s="319" t="s">
        <v>107</v>
      </c>
      <c r="D16" s="320" t="s">
        <v>182</v>
      </c>
      <c r="E16" s="321" t="s">
        <v>91</v>
      </c>
      <c r="F16" s="598">
        <v>4.2142857142857144</v>
      </c>
      <c r="G16" s="598">
        <v>5</v>
      </c>
      <c r="H16" s="598" t="s">
        <v>531</v>
      </c>
      <c r="I16" s="598">
        <v>3.8</v>
      </c>
      <c r="J16" s="598">
        <v>4</v>
      </c>
      <c r="K16" s="598">
        <v>5</v>
      </c>
      <c r="L16" s="598">
        <v>4</v>
      </c>
      <c r="M16" s="598">
        <v>5</v>
      </c>
      <c r="N16" s="598">
        <v>5</v>
      </c>
      <c r="O16" s="598" t="s">
        <v>531</v>
      </c>
      <c r="P16" s="598">
        <v>3</v>
      </c>
      <c r="Q16" s="598" t="s">
        <v>531</v>
      </c>
      <c r="R16" s="598" t="s">
        <v>531</v>
      </c>
      <c r="S16" s="598" t="s">
        <v>531</v>
      </c>
      <c r="V16" s="315"/>
    </row>
    <row r="17" spans="1:19" s="316" customFormat="1" ht="16.5">
      <c r="A17" s="317"/>
      <c r="B17" s="322"/>
      <c r="C17" s="319"/>
      <c r="D17" s="320" t="s">
        <v>185</v>
      </c>
      <c r="E17" s="321" t="s">
        <v>98</v>
      </c>
      <c r="F17" s="306"/>
      <c r="G17" s="306"/>
      <c r="H17" s="306"/>
      <c r="I17" s="306"/>
      <c r="J17" s="306"/>
      <c r="K17" s="306"/>
      <c r="L17" s="306"/>
      <c r="M17" s="306"/>
      <c r="N17" s="306"/>
      <c r="O17" s="306"/>
      <c r="P17" s="306"/>
      <c r="Q17" s="306"/>
      <c r="R17" s="306"/>
      <c r="S17" s="306"/>
    </row>
    <row r="18" spans="1:19" s="316" customFormat="1" ht="16.5">
      <c r="A18" s="317"/>
      <c r="B18" s="322"/>
      <c r="C18" s="319"/>
      <c r="D18" s="320" t="s">
        <v>187</v>
      </c>
      <c r="E18" s="321" t="s">
        <v>188</v>
      </c>
      <c r="F18" s="306"/>
      <c r="G18" s="306"/>
      <c r="H18" s="306"/>
      <c r="I18" s="306"/>
      <c r="J18" s="306"/>
      <c r="K18" s="306"/>
      <c r="L18" s="306"/>
      <c r="M18" s="306"/>
      <c r="N18" s="306"/>
      <c r="O18" s="306"/>
      <c r="P18" s="306"/>
      <c r="Q18" s="306"/>
      <c r="R18" s="306"/>
      <c r="S18" s="306"/>
    </row>
    <row r="19" spans="1:19" s="316" customFormat="1" ht="11.25">
      <c r="A19" s="317"/>
      <c r="B19" s="318"/>
      <c r="C19" s="319"/>
      <c r="D19" s="333"/>
      <c r="E19" s="321"/>
      <c r="F19" s="306"/>
      <c r="G19" s="306"/>
      <c r="H19" s="306"/>
      <c r="I19" s="306"/>
      <c r="J19" s="306"/>
      <c r="K19" s="306"/>
      <c r="L19" s="306"/>
      <c r="M19" s="306"/>
      <c r="N19" s="306"/>
      <c r="O19" s="306"/>
      <c r="P19" s="306"/>
      <c r="Q19" s="306"/>
      <c r="R19" s="306"/>
      <c r="S19" s="306"/>
    </row>
    <row r="20" spans="1:19" s="316" customFormat="1" ht="11.25">
      <c r="A20" s="317"/>
      <c r="B20" s="318"/>
      <c r="C20" s="319"/>
      <c r="D20" s="333"/>
      <c r="E20" s="321"/>
      <c r="F20" s="306"/>
      <c r="G20" s="306"/>
      <c r="H20" s="306"/>
      <c r="I20" s="306"/>
      <c r="J20" s="306"/>
      <c r="K20" s="306"/>
      <c r="L20" s="306"/>
      <c r="M20" s="306"/>
      <c r="N20" s="306"/>
      <c r="O20" s="306"/>
      <c r="P20" s="306"/>
      <c r="Q20" s="306"/>
      <c r="R20" s="306"/>
      <c r="S20" s="306"/>
    </row>
    <row r="21" spans="1:19" s="316" customFormat="1" ht="11.25">
      <c r="A21" s="317"/>
      <c r="B21" s="322"/>
      <c r="C21" s="319"/>
      <c r="D21" s="333"/>
      <c r="E21" s="321"/>
      <c r="F21" s="306"/>
      <c r="G21" s="306"/>
      <c r="H21" s="306"/>
      <c r="I21" s="306"/>
      <c r="J21" s="306"/>
      <c r="K21" s="306"/>
      <c r="L21" s="306"/>
      <c r="M21" s="306"/>
      <c r="N21" s="306"/>
      <c r="O21" s="306"/>
      <c r="P21" s="306"/>
      <c r="Q21" s="306"/>
      <c r="R21" s="306"/>
      <c r="S21" s="306"/>
    </row>
    <row r="22" spans="1:19" s="316" customFormat="1" ht="11.25">
      <c r="A22" s="317"/>
      <c r="B22" s="318"/>
      <c r="C22" s="319"/>
      <c r="D22" s="333"/>
      <c r="E22" s="321"/>
      <c r="F22" s="306"/>
      <c r="G22" s="306"/>
      <c r="H22" s="306"/>
      <c r="I22" s="306"/>
      <c r="J22" s="306"/>
      <c r="K22" s="306"/>
      <c r="L22" s="306"/>
      <c r="M22" s="306"/>
      <c r="N22" s="306"/>
      <c r="O22" s="306"/>
      <c r="P22" s="306"/>
      <c r="Q22" s="306"/>
      <c r="R22" s="306"/>
      <c r="S22" s="306"/>
    </row>
    <row r="23" spans="1:19" s="316" customFormat="1" ht="11.25">
      <c r="A23" s="317"/>
      <c r="B23" s="318"/>
      <c r="C23" s="319"/>
      <c r="D23" s="333"/>
      <c r="E23" s="321"/>
      <c r="F23" s="306"/>
      <c r="G23" s="306"/>
      <c r="H23" s="306"/>
      <c r="I23" s="306"/>
      <c r="J23" s="306"/>
      <c r="K23" s="306"/>
      <c r="L23" s="306"/>
      <c r="M23" s="306"/>
      <c r="N23" s="306"/>
      <c r="O23" s="306"/>
      <c r="P23" s="306"/>
      <c r="Q23" s="306"/>
      <c r="R23" s="306"/>
      <c r="S23" s="306"/>
    </row>
    <row r="24" spans="1:19" s="316" customFormat="1" ht="12" thickBot="1">
      <c r="A24" s="334"/>
      <c r="B24" s="326"/>
      <c r="C24" s="335"/>
      <c r="D24" s="328"/>
      <c r="E24" s="329"/>
      <c r="F24" s="306"/>
      <c r="G24" s="306"/>
      <c r="H24" s="306"/>
      <c r="I24" s="306"/>
      <c r="J24" s="306"/>
      <c r="K24" s="306"/>
      <c r="L24" s="306"/>
      <c r="M24" s="306"/>
      <c r="N24" s="306"/>
      <c r="O24" s="306"/>
      <c r="P24" s="306"/>
      <c r="Q24" s="306"/>
      <c r="R24" s="306"/>
      <c r="S24" s="306"/>
    </row>
    <row r="25" spans="1:19" s="316" customFormat="1" ht="22.5">
      <c r="A25" s="331"/>
      <c r="B25" s="331"/>
      <c r="C25" s="306"/>
      <c r="D25" s="306"/>
      <c r="E25" s="330" t="s">
        <v>1053</v>
      </c>
      <c r="F25" s="306">
        <v>14</v>
      </c>
      <c r="G25" s="306">
        <v>1</v>
      </c>
      <c r="H25" s="306">
        <v>0</v>
      </c>
      <c r="I25" s="306">
        <v>5</v>
      </c>
      <c r="J25" s="306">
        <v>2</v>
      </c>
      <c r="K25" s="306">
        <v>1</v>
      </c>
      <c r="L25" s="306">
        <v>1</v>
      </c>
      <c r="M25" s="306">
        <v>1</v>
      </c>
      <c r="N25" s="306">
        <v>2</v>
      </c>
      <c r="O25" s="306">
        <v>0</v>
      </c>
      <c r="P25" s="306">
        <v>1</v>
      </c>
      <c r="Q25" s="306">
        <v>0</v>
      </c>
      <c r="R25" s="306">
        <v>0</v>
      </c>
      <c r="S25" s="306">
        <v>0</v>
      </c>
    </row>
    <row r="26" spans="1:19" s="316" customFormat="1">
      <c r="A26" s="5"/>
      <c r="B26" s="331"/>
      <c r="C26" s="306"/>
      <c r="D26" s="306"/>
      <c r="E26" s="330"/>
      <c r="F26" s="306"/>
      <c r="G26" s="306"/>
      <c r="H26" s="306"/>
      <c r="I26" s="306"/>
      <c r="J26" s="306"/>
      <c r="K26" s="306"/>
      <c r="L26" s="306"/>
      <c r="M26" s="306"/>
      <c r="N26" s="306"/>
      <c r="O26" s="306"/>
      <c r="P26" s="306"/>
      <c r="Q26" s="306"/>
      <c r="R26" s="306"/>
      <c r="S26" s="306"/>
    </row>
    <row r="27" spans="1:19" s="316" customFormat="1">
      <c r="A27" s="5"/>
      <c r="B27" s="331"/>
      <c r="C27" s="306"/>
      <c r="D27" s="306"/>
      <c r="E27" s="330"/>
      <c r="F27" s="306"/>
      <c r="G27" s="306"/>
      <c r="H27" s="306"/>
      <c r="I27" s="306"/>
      <c r="J27" s="306"/>
      <c r="K27" s="306"/>
      <c r="L27" s="306"/>
      <c r="M27" s="306"/>
      <c r="N27" s="306"/>
      <c r="O27" s="306"/>
      <c r="P27" s="306"/>
      <c r="Q27" s="306"/>
      <c r="R27" s="306"/>
      <c r="S27" s="306"/>
    </row>
    <row r="28" spans="1:19" s="316" customFormat="1" ht="11.25">
      <c r="A28" s="331"/>
      <c r="B28" s="331"/>
      <c r="C28" s="306"/>
      <c r="D28" s="306"/>
      <c r="E28" s="330"/>
      <c r="F28" s="306"/>
      <c r="G28" s="306"/>
      <c r="H28" s="306"/>
      <c r="I28" s="306"/>
      <c r="J28" s="306"/>
      <c r="K28" s="306"/>
      <c r="L28" s="306"/>
      <c r="M28" s="306"/>
      <c r="N28" s="306"/>
      <c r="O28" s="306"/>
      <c r="P28" s="306"/>
      <c r="Q28" s="306"/>
      <c r="R28" s="306"/>
      <c r="S28" s="306"/>
    </row>
    <row r="29" spans="1:19" s="316" customFormat="1" ht="11.25">
      <c r="A29" s="331"/>
      <c r="B29" s="331"/>
      <c r="C29" s="306"/>
      <c r="D29" s="306"/>
      <c r="E29" s="330"/>
      <c r="F29" s="306"/>
      <c r="G29" s="306"/>
      <c r="H29" s="306"/>
      <c r="I29" s="306"/>
      <c r="J29" s="306"/>
      <c r="K29" s="306"/>
      <c r="L29" s="306"/>
      <c r="M29" s="306"/>
      <c r="N29" s="306"/>
      <c r="O29" s="306"/>
      <c r="P29" s="306"/>
      <c r="Q29" s="306"/>
      <c r="R29" s="306"/>
      <c r="S29" s="306"/>
    </row>
    <row r="30" spans="1:19" s="316" customFormat="1" ht="11.25">
      <c r="A30" s="331"/>
      <c r="B30" s="331"/>
      <c r="C30" s="306"/>
      <c r="D30" s="306"/>
      <c r="E30" s="330"/>
      <c r="F30" s="306"/>
      <c r="G30" s="306"/>
      <c r="H30" s="306"/>
      <c r="I30" s="306"/>
      <c r="J30" s="306"/>
      <c r="K30" s="306"/>
      <c r="L30" s="306"/>
      <c r="M30" s="306"/>
      <c r="N30" s="306"/>
      <c r="O30" s="306"/>
      <c r="P30" s="306"/>
      <c r="Q30" s="306"/>
      <c r="R30" s="306"/>
      <c r="S30" s="306"/>
    </row>
    <row r="31" spans="1:19" s="316" customFormat="1" ht="11.25">
      <c r="A31" s="331"/>
      <c r="B31" s="331"/>
      <c r="C31" s="306"/>
      <c r="D31" s="306"/>
      <c r="E31" s="330"/>
      <c r="F31" s="306"/>
      <c r="G31" s="306"/>
      <c r="H31" s="306"/>
      <c r="I31" s="306"/>
      <c r="J31" s="306"/>
      <c r="K31" s="306"/>
      <c r="L31" s="306"/>
      <c r="M31" s="306"/>
      <c r="N31" s="306"/>
      <c r="O31" s="306"/>
      <c r="P31" s="306"/>
      <c r="Q31" s="306"/>
      <c r="R31" s="306"/>
      <c r="S31" s="306"/>
    </row>
    <row r="32" spans="1:19" s="316" customFormat="1" ht="11.25">
      <c r="A32" s="331"/>
      <c r="B32" s="331"/>
      <c r="C32" s="306"/>
      <c r="D32" s="306"/>
      <c r="E32" s="330"/>
      <c r="F32" s="306"/>
      <c r="G32" s="306"/>
      <c r="H32" s="306"/>
      <c r="I32" s="306"/>
      <c r="J32" s="306"/>
      <c r="K32" s="306"/>
      <c r="L32" s="306"/>
      <c r="M32" s="306"/>
      <c r="N32" s="306"/>
      <c r="O32" s="306"/>
      <c r="P32" s="306"/>
      <c r="Q32" s="306"/>
      <c r="R32" s="306"/>
      <c r="S32" s="306"/>
    </row>
    <row r="33" spans="1:19" s="316" customFormat="1" ht="11.25">
      <c r="A33" s="331"/>
      <c r="B33" s="331"/>
      <c r="C33" s="306"/>
      <c r="D33" s="306"/>
      <c r="E33" s="330"/>
      <c r="F33" s="306"/>
      <c r="G33" s="306"/>
      <c r="H33" s="306"/>
      <c r="I33" s="306"/>
      <c r="J33" s="306"/>
      <c r="K33" s="306"/>
      <c r="L33" s="306"/>
      <c r="M33" s="306"/>
      <c r="N33" s="306"/>
      <c r="O33" s="306"/>
      <c r="P33" s="306"/>
      <c r="Q33" s="306"/>
      <c r="R33" s="306"/>
      <c r="S33" s="306"/>
    </row>
    <row r="34" spans="1:19" s="316" customFormat="1" ht="11.25">
      <c r="A34" s="331"/>
      <c r="B34" s="331"/>
      <c r="C34" s="306"/>
      <c r="D34" s="306"/>
      <c r="E34" s="330"/>
      <c r="F34" s="306"/>
      <c r="G34" s="306"/>
      <c r="H34" s="306"/>
      <c r="I34" s="306"/>
      <c r="J34" s="306"/>
      <c r="K34" s="306"/>
      <c r="L34" s="306"/>
      <c r="M34" s="306"/>
      <c r="N34" s="306"/>
      <c r="O34" s="306"/>
      <c r="P34" s="306"/>
      <c r="Q34" s="306"/>
      <c r="R34" s="306"/>
      <c r="S34" s="306"/>
    </row>
    <row r="35" spans="1:19" s="316" customFormat="1" ht="11.25">
      <c r="A35" s="331"/>
      <c r="B35" s="331"/>
      <c r="C35" s="306"/>
      <c r="D35" s="306"/>
      <c r="E35" s="330"/>
      <c r="F35" s="306"/>
      <c r="G35" s="306"/>
      <c r="H35" s="306"/>
      <c r="I35" s="306"/>
      <c r="J35" s="306"/>
      <c r="K35" s="306"/>
      <c r="L35" s="306"/>
      <c r="M35" s="306"/>
      <c r="N35" s="306"/>
      <c r="O35" s="306"/>
      <c r="P35" s="306"/>
      <c r="Q35" s="306"/>
      <c r="R35" s="306"/>
      <c r="S35" s="306"/>
    </row>
    <row r="36" spans="1:19" s="316" customFormat="1" ht="11.25">
      <c r="A36" s="331"/>
      <c r="B36" s="331"/>
      <c r="C36" s="306"/>
      <c r="D36" s="306"/>
      <c r="E36" s="330"/>
      <c r="F36" s="306"/>
      <c r="G36" s="306"/>
      <c r="H36" s="306"/>
      <c r="I36" s="306"/>
      <c r="J36" s="306"/>
      <c r="K36" s="306"/>
      <c r="L36" s="306"/>
      <c r="M36" s="306"/>
      <c r="N36" s="306"/>
      <c r="O36" s="306"/>
      <c r="P36" s="306"/>
      <c r="Q36" s="306"/>
      <c r="R36" s="306"/>
      <c r="S36" s="306"/>
    </row>
    <row r="37" spans="1:19" s="316" customFormat="1" ht="11.25">
      <c r="A37" s="331"/>
      <c r="B37" s="331"/>
      <c r="C37" s="306"/>
      <c r="D37" s="306"/>
      <c r="E37" s="330"/>
      <c r="F37" s="306"/>
      <c r="G37" s="306"/>
      <c r="H37" s="306"/>
      <c r="I37" s="306"/>
      <c r="J37" s="306"/>
      <c r="K37" s="306"/>
      <c r="L37" s="306"/>
      <c r="M37" s="306"/>
      <c r="N37" s="306"/>
      <c r="O37" s="306"/>
      <c r="P37" s="306"/>
      <c r="Q37" s="306"/>
      <c r="R37" s="306"/>
      <c r="S37" s="306"/>
    </row>
    <row r="38" spans="1:19" s="316" customFormat="1" ht="11.25">
      <c r="A38" s="331"/>
      <c r="B38" s="331"/>
      <c r="C38" s="306"/>
      <c r="D38" s="306"/>
      <c r="E38" s="330"/>
      <c r="F38" s="306"/>
      <c r="G38" s="306"/>
      <c r="H38" s="306"/>
      <c r="I38" s="306"/>
      <c r="J38" s="306"/>
      <c r="K38" s="306"/>
      <c r="L38" s="306"/>
      <c r="M38" s="306"/>
      <c r="N38" s="306"/>
      <c r="O38" s="306"/>
      <c r="P38" s="306"/>
      <c r="Q38" s="306"/>
      <c r="R38" s="306"/>
      <c r="S38" s="306"/>
    </row>
    <row r="39" spans="1:19" s="316" customFormat="1" ht="11.25">
      <c r="A39" s="331"/>
      <c r="B39" s="331"/>
      <c r="C39" s="306"/>
      <c r="D39" s="306"/>
      <c r="E39" s="330"/>
      <c r="F39" s="306"/>
      <c r="G39" s="306"/>
      <c r="H39" s="306"/>
      <c r="I39" s="306"/>
      <c r="J39" s="306"/>
      <c r="K39" s="306"/>
      <c r="L39" s="306"/>
      <c r="M39" s="306"/>
      <c r="N39" s="306"/>
      <c r="O39" s="306"/>
      <c r="P39" s="306"/>
      <c r="Q39" s="306"/>
      <c r="R39" s="306"/>
      <c r="S39" s="306"/>
    </row>
    <row r="40" spans="1:19" s="316" customFormat="1" ht="11.25">
      <c r="A40" s="331"/>
      <c r="B40" s="331"/>
      <c r="C40" s="306"/>
      <c r="D40" s="306"/>
      <c r="E40" s="330"/>
      <c r="F40" s="306"/>
      <c r="G40" s="306"/>
      <c r="H40" s="306"/>
      <c r="I40" s="306"/>
      <c r="J40" s="306"/>
      <c r="K40" s="306"/>
      <c r="L40" s="306"/>
      <c r="M40" s="306"/>
      <c r="N40" s="306"/>
      <c r="O40" s="306"/>
      <c r="P40" s="306"/>
      <c r="Q40" s="306"/>
      <c r="R40" s="306"/>
      <c r="S40" s="306"/>
    </row>
    <row r="41" spans="1:19" s="316" customFormat="1" ht="11.25">
      <c r="A41" s="331"/>
      <c r="B41" s="331"/>
      <c r="C41" s="306"/>
      <c r="D41" s="306"/>
      <c r="E41" s="330"/>
      <c r="F41" s="306"/>
      <c r="G41" s="306"/>
      <c r="H41" s="306"/>
      <c r="I41" s="306"/>
      <c r="J41" s="306"/>
      <c r="K41" s="306"/>
      <c r="L41" s="306"/>
      <c r="M41" s="306"/>
      <c r="N41" s="306"/>
      <c r="O41" s="306"/>
      <c r="P41" s="306"/>
      <c r="Q41" s="306"/>
      <c r="R41" s="306"/>
      <c r="S41" s="306"/>
    </row>
    <row r="42" spans="1:19" s="316" customFormat="1" ht="11.25">
      <c r="A42" s="331"/>
      <c r="B42" s="331"/>
      <c r="C42" s="306"/>
      <c r="D42" s="306"/>
      <c r="E42" s="330"/>
      <c r="F42" s="306"/>
      <c r="G42" s="306"/>
      <c r="H42" s="306"/>
      <c r="I42" s="306"/>
      <c r="J42" s="306"/>
      <c r="K42" s="306"/>
      <c r="L42" s="306"/>
      <c r="M42" s="306"/>
      <c r="N42" s="306"/>
      <c r="O42" s="306"/>
      <c r="P42" s="306"/>
      <c r="Q42" s="306"/>
      <c r="R42" s="306"/>
      <c r="S42" s="306"/>
    </row>
    <row r="43" spans="1:19" s="316" customFormat="1" ht="11.25">
      <c r="A43" s="331"/>
      <c r="B43" s="331"/>
      <c r="C43" s="306"/>
      <c r="D43" s="306"/>
      <c r="E43" s="330"/>
      <c r="F43" s="306"/>
      <c r="G43" s="306"/>
      <c r="H43" s="306"/>
      <c r="I43" s="306"/>
      <c r="J43" s="306"/>
      <c r="K43" s="306"/>
      <c r="L43" s="306"/>
      <c r="M43" s="306"/>
      <c r="N43" s="306"/>
      <c r="O43" s="306"/>
      <c r="P43" s="306"/>
      <c r="Q43" s="306"/>
      <c r="R43" s="306"/>
      <c r="S43" s="306"/>
    </row>
    <row r="44" spans="1:19" s="316" customFormat="1" ht="11.25">
      <c r="A44" s="331"/>
      <c r="B44" s="331"/>
      <c r="C44" s="306"/>
      <c r="D44" s="306"/>
      <c r="E44" s="330"/>
      <c r="F44" s="306"/>
      <c r="G44" s="306"/>
      <c r="H44" s="306"/>
      <c r="I44" s="306"/>
      <c r="J44" s="306"/>
      <c r="K44" s="306"/>
      <c r="L44" s="306"/>
      <c r="M44" s="306"/>
      <c r="N44" s="306"/>
      <c r="O44" s="306"/>
      <c r="P44" s="306"/>
      <c r="Q44" s="306"/>
      <c r="R44" s="306"/>
      <c r="S44" s="306"/>
    </row>
    <row r="45" spans="1:19" s="316" customFormat="1" ht="11.25">
      <c r="A45" s="331"/>
      <c r="B45" s="331"/>
      <c r="C45" s="306"/>
      <c r="D45" s="306"/>
      <c r="E45" s="330"/>
      <c r="F45" s="306"/>
      <c r="G45" s="306"/>
      <c r="H45" s="306"/>
      <c r="I45" s="306"/>
      <c r="J45" s="306"/>
      <c r="K45" s="306"/>
      <c r="L45" s="306"/>
      <c r="M45" s="306"/>
      <c r="N45" s="306"/>
      <c r="O45" s="306"/>
      <c r="P45" s="306"/>
      <c r="Q45" s="306"/>
      <c r="R45" s="306"/>
      <c r="S45" s="306"/>
    </row>
    <row r="46" spans="1:19" s="316" customFormat="1" ht="11.25">
      <c r="A46" s="331"/>
      <c r="B46" s="331"/>
      <c r="C46" s="306"/>
      <c r="D46" s="306"/>
      <c r="E46" s="330"/>
      <c r="F46" s="306"/>
      <c r="G46" s="306"/>
      <c r="H46" s="306"/>
      <c r="I46" s="306"/>
      <c r="J46" s="306"/>
      <c r="K46" s="306"/>
      <c r="L46" s="306"/>
      <c r="M46" s="306"/>
      <c r="N46" s="306"/>
      <c r="O46" s="306"/>
      <c r="P46" s="306"/>
      <c r="Q46" s="306"/>
      <c r="R46" s="306"/>
      <c r="S46" s="306"/>
    </row>
    <row r="47" spans="1:19" s="316" customFormat="1" ht="11.25">
      <c r="A47" s="331"/>
      <c r="B47" s="331"/>
      <c r="C47" s="306"/>
      <c r="D47" s="306"/>
      <c r="E47" s="330"/>
      <c r="F47" s="306"/>
      <c r="G47" s="306"/>
      <c r="H47" s="306"/>
      <c r="I47" s="306"/>
      <c r="J47" s="306"/>
      <c r="K47" s="306"/>
      <c r="L47" s="306"/>
      <c r="M47" s="306"/>
      <c r="N47" s="306"/>
      <c r="O47" s="306"/>
      <c r="P47" s="306"/>
      <c r="Q47" s="306"/>
      <c r="R47" s="306"/>
      <c r="S47" s="306"/>
    </row>
    <row r="48" spans="1:19" s="316" customFormat="1" ht="11.25">
      <c r="A48" s="331"/>
      <c r="B48" s="331"/>
      <c r="C48" s="306"/>
      <c r="D48" s="306"/>
      <c r="E48" s="330"/>
      <c r="F48" s="306"/>
      <c r="G48" s="306"/>
      <c r="H48" s="306"/>
      <c r="I48" s="306"/>
      <c r="J48" s="306"/>
      <c r="K48" s="306"/>
      <c r="L48" s="306"/>
      <c r="M48" s="306"/>
      <c r="N48" s="306"/>
      <c r="O48" s="306"/>
      <c r="P48" s="306"/>
      <c r="Q48" s="306"/>
      <c r="R48" s="306"/>
      <c r="S48" s="306"/>
    </row>
    <row r="49" spans="1:19" s="316" customFormat="1" ht="11.25">
      <c r="A49" s="331"/>
      <c r="B49" s="331"/>
      <c r="C49" s="306"/>
      <c r="D49" s="306"/>
      <c r="E49" s="330"/>
      <c r="F49" s="306"/>
      <c r="G49" s="306"/>
      <c r="H49" s="306"/>
      <c r="I49" s="306"/>
      <c r="J49" s="306"/>
      <c r="K49" s="306"/>
      <c r="L49" s="306"/>
      <c r="M49" s="306"/>
      <c r="N49" s="306"/>
      <c r="O49" s="306"/>
      <c r="P49" s="306"/>
      <c r="Q49" s="306"/>
      <c r="R49" s="306"/>
      <c r="S49" s="306"/>
    </row>
    <row r="50" spans="1:19" s="316" customFormat="1" ht="11.25">
      <c r="A50" s="331"/>
      <c r="B50" s="331"/>
      <c r="C50" s="306"/>
      <c r="D50" s="306"/>
      <c r="E50" s="330"/>
      <c r="F50" s="306"/>
      <c r="G50" s="306"/>
      <c r="H50" s="306"/>
      <c r="I50" s="306"/>
      <c r="J50" s="306"/>
      <c r="K50" s="306"/>
      <c r="L50" s="306"/>
      <c r="M50" s="306"/>
      <c r="N50" s="306"/>
      <c r="O50" s="306"/>
      <c r="P50" s="306"/>
      <c r="Q50" s="306"/>
      <c r="R50" s="306"/>
      <c r="S50" s="306"/>
    </row>
    <row r="51" spans="1:19" s="316" customFormat="1" ht="11.25">
      <c r="A51" s="331"/>
      <c r="B51" s="331"/>
      <c r="C51" s="306"/>
      <c r="D51" s="306"/>
      <c r="E51" s="330"/>
      <c r="F51" s="306"/>
      <c r="G51" s="306"/>
      <c r="H51" s="306"/>
      <c r="I51" s="306"/>
      <c r="J51" s="306"/>
      <c r="K51" s="306"/>
      <c r="L51" s="306"/>
      <c r="M51" s="306"/>
      <c r="N51" s="306"/>
      <c r="O51" s="306"/>
      <c r="P51" s="306"/>
      <c r="Q51" s="306"/>
      <c r="R51" s="306"/>
      <c r="S51" s="306"/>
    </row>
    <row r="52" spans="1:19" s="316" customFormat="1" ht="11.25">
      <c r="A52" s="331"/>
      <c r="B52" s="331"/>
      <c r="C52" s="306"/>
      <c r="D52" s="306"/>
      <c r="E52" s="330"/>
      <c r="F52" s="306"/>
      <c r="G52" s="306"/>
      <c r="H52" s="306"/>
      <c r="I52" s="306"/>
      <c r="J52" s="306"/>
      <c r="K52" s="306"/>
      <c r="L52" s="306"/>
      <c r="M52" s="306"/>
      <c r="N52" s="306"/>
      <c r="O52" s="306"/>
      <c r="P52" s="306"/>
      <c r="Q52" s="306"/>
      <c r="R52" s="306"/>
      <c r="S52" s="306"/>
    </row>
    <row r="53" spans="1:19" s="316" customFormat="1" ht="11.25">
      <c r="A53" s="331"/>
      <c r="B53" s="331"/>
      <c r="C53" s="306"/>
      <c r="D53" s="306"/>
      <c r="E53" s="330"/>
      <c r="F53" s="306"/>
      <c r="G53" s="306"/>
      <c r="H53" s="306"/>
      <c r="I53" s="306"/>
      <c r="J53" s="306"/>
      <c r="K53" s="306"/>
      <c r="L53" s="306"/>
      <c r="M53" s="306"/>
      <c r="N53" s="306"/>
      <c r="O53" s="306"/>
      <c r="P53" s="306"/>
      <c r="Q53" s="306"/>
      <c r="R53" s="306"/>
      <c r="S53" s="306"/>
    </row>
    <row r="54" spans="1:19" s="316" customFormat="1" ht="11.25">
      <c r="A54" s="331"/>
      <c r="B54" s="331"/>
      <c r="C54" s="306"/>
      <c r="D54" s="306"/>
      <c r="E54" s="330"/>
      <c r="F54" s="306"/>
      <c r="G54" s="306"/>
      <c r="H54" s="306"/>
      <c r="I54" s="306"/>
      <c r="J54" s="306"/>
      <c r="K54" s="306"/>
      <c r="L54" s="306"/>
      <c r="M54" s="306"/>
      <c r="N54" s="306"/>
      <c r="O54" s="306"/>
      <c r="P54" s="306"/>
      <c r="Q54" s="306"/>
      <c r="R54" s="306"/>
      <c r="S54" s="306"/>
    </row>
    <row r="55" spans="1:19" s="316" customFormat="1" ht="11.25">
      <c r="A55" s="331"/>
      <c r="B55" s="331"/>
      <c r="C55" s="306"/>
      <c r="D55" s="306"/>
      <c r="E55" s="330"/>
      <c r="F55" s="306"/>
      <c r="G55" s="306"/>
      <c r="H55" s="306"/>
      <c r="I55" s="306"/>
      <c r="J55" s="306"/>
      <c r="K55" s="306"/>
      <c r="L55" s="306"/>
      <c r="M55" s="306"/>
      <c r="N55" s="306"/>
      <c r="O55" s="306"/>
      <c r="P55" s="306"/>
      <c r="Q55" s="306"/>
      <c r="R55" s="306"/>
      <c r="S55" s="306"/>
    </row>
    <row r="56" spans="1:19" s="316" customFormat="1" ht="11.25">
      <c r="A56" s="331"/>
      <c r="B56" s="331"/>
      <c r="C56" s="306"/>
      <c r="D56" s="306"/>
      <c r="E56" s="330"/>
      <c r="F56" s="306"/>
      <c r="G56" s="306"/>
      <c r="H56" s="306"/>
      <c r="I56" s="306"/>
      <c r="J56" s="306"/>
      <c r="K56" s="306"/>
      <c r="L56" s="306"/>
      <c r="M56" s="306"/>
      <c r="N56" s="306"/>
      <c r="O56" s="306"/>
      <c r="P56" s="306"/>
      <c r="Q56" s="306"/>
      <c r="R56" s="306"/>
      <c r="S56" s="306"/>
    </row>
    <row r="57" spans="1:19" s="316" customFormat="1" ht="11.25">
      <c r="A57" s="331"/>
      <c r="B57" s="331"/>
      <c r="C57" s="306"/>
      <c r="D57" s="306"/>
      <c r="E57" s="330"/>
      <c r="F57" s="306"/>
      <c r="G57" s="306"/>
      <c r="H57" s="306"/>
      <c r="I57" s="306"/>
      <c r="J57" s="306"/>
      <c r="K57" s="306"/>
      <c r="L57" s="306"/>
      <c r="M57" s="306"/>
      <c r="N57" s="306"/>
      <c r="O57" s="306"/>
      <c r="P57" s="306"/>
      <c r="Q57" s="306"/>
      <c r="R57" s="306"/>
      <c r="S57" s="306"/>
    </row>
    <row r="58" spans="1:19" s="316" customFormat="1" ht="11.25">
      <c r="A58" s="331"/>
      <c r="B58" s="331"/>
      <c r="C58" s="306"/>
      <c r="D58" s="306"/>
      <c r="E58" s="330"/>
      <c r="F58" s="306"/>
      <c r="G58" s="306"/>
      <c r="H58" s="306"/>
      <c r="I58" s="306"/>
      <c r="J58" s="306"/>
      <c r="K58" s="306"/>
      <c r="L58" s="306"/>
      <c r="M58" s="306"/>
      <c r="N58" s="306"/>
      <c r="O58" s="306"/>
      <c r="P58" s="306"/>
      <c r="Q58" s="306"/>
      <c r="R58" s="306"/>
      <c r="S58" s="306"/>
    </row>
    <row r="59" spans="1:19" s="316" customFormat="1" ht="11.25">
      <c r="A59" s="331"/>
      <c r="B59" s="331"/>
      <c r="C59" s="306"/>
      <c r="D59" s="306"/>
      <c r="E59" s="330"/>
      <c r="F59" s="306"/>
      <c r="G59" s="306"/>
      <c r="H59" s="306"/>
      <c r="I59" s="306"/>
      <c r="J59" s="306"/>
      <c r="K59" s="306"/>
      <c r="L59" s="306"/>
      <c r="M59" s="306"/>
      <c r="N59" s="306"/>
      <c r="O59" s="306"/>
      <c r="P59" s="306"/>
      <c r="Q59" s="306"/>
      <c r="R59" s="306"/>
      <c r="S59" s="306"/>
    </row>
    <row r="60" spans="1:19" s="316" customFormat="1" ht="11.25">
      <c r="A60" s="331"/>
      <c r="B60" s="331"/>
      <c r="C60" s="306"/>
      <c r="D60" s="306"/>
      <c r="E60" s="330"/>
      <c r="F60" s="306"/>
      <c r="G60" s="306"/>
      <c r="H60" s="306"/>
      <c r="I60" s="306"/>
      <c r="J60" s="306"/>
      <c r="K60" s="306"/>
      <c r="L60" s="306"/>
      <c r="M60" s="306"/>
      <c r="N60" s="306"/>
      <c r="O60" s="306"/>
      <c r="P60" s="306"/>
      <c r="Q60" s="306"/>
      <c r="R60" s="306"/>
      <c r="S60" s="306"/>
    </row>
    <row r="61" spans="1:19" s="316" customFormat="1" ht="11.25">
      <c r="A61" s="331"/>
      <c r="B61" s="331"/>
      <c r="C61" s="306"/>
      <c r="D61" s="306"/>
      <c r="E61" s="330"/>
      <c r="F61" s="306"/>
      <c r="G61" s="306"/>
      <c r="H61" s="306"/>
      <c r="I61" s="306"/>
      <c r="J61" s="306"/>
      <c r="K61" s="306"/>
      <c r="L61" s="306"/>
      <c r="M61" s="306"/>
      <c r="N61" s="306"/>
      <c r="O61" s="306"/>
      <c r="P61" s="306"/>
      <c r="Q61" s="306"/>
      <c r="R61" s="306"/>
      <c r="S61" s="306"/>
    </row>
    <row r="62" spans="1:19" s="316" customFormat="1" ht="11.25">
      <c r="A62" s="331"/>
      <c r="B62" s="331"/>
      <c r="C62" s="306"/>
      <c r="D62" s="306"/>
      <c r="E62" s="330"/>
      <c r="F62" s="306"/>
      <c r="G62" s="306"/>
      <c r="H62" s="306"/>
      <c r="I62" s="306"/>
      <c r="J62" s="306"/>
      <c r="K62" s="306"/>
      <c r="L62" s="306"/>
      <c r="M62" s="306"/>
      <c r="N62" s="306"/>
      <c r="O62" s="306"/>
      <c r="P62" s="306"/>
      <c r="Q62" s="306"/>
      <c r="R62" s="306"/>
      <c r="S62" s="306"/>
    </row>
    <row r="63" spans="1:19" s="316" customFormat="1" ht="11.25">
      <c r="A63" s="331"/>
      <c r="B63" s="331"/>
      <c r="C63" s="306"/>
      <c r="D63" s="306"/>
      <c r="E63" s="330"/>
      <c r="F63" s="306"/>
      <c r="G63" s="306"/>
      <c r="H63" s="306"/>
      <c r="I63" s="306"/>
      <c r="J63" s="306"/>
      <c r="K63" s="306"/>
      <c r="L63" s="306"/>
      <c r="M63" s="306"/>
      <c r="N63" s="306"/>
      <c r="O63" s="306"/>
      <c r="P63" s="306"/>
      <c r="Q63" s="306"/>
      <c r="R63" s="306"/>
      <c r="S63" s="306"/>
    </row>
    <row r="64" spans="1:19" s="316" customFormat="1" ht="11.25">
      <c r="A64" s="331"/>
      <c r="B64" s="331"/>
      <c r="C64" s="306"/>
      <c r="D64" s="306"/>
      <c r="E64" s="330"/>
      <c r="F64" s="306"/>
      <c r="G64" s="306"/>
      <c r="H64" s="306"/>
      <c r="I64" s="306"/>
      <c r="J64" s="306"/>
      <c r="K64" s="306"/>
      <c r="L64" s="306"/>
      <c r="M64" s="306"/>
      <c r="N64" s="306"/>
      <c r="O64" s="306"/>
      <c r="P64" s="306"/>
      <c r="Q64" s="306"/>
      <c r="R64" s="306"/>
      <c r="S64" s="306"/>
    </row>
  </sheetData>
  <mergeCells count="1">
    <mergeCell ref="D2:E2"/>
  </mergeCells>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Partner Survey - All Teams'!A1" display="Partner Survey - All Teams"/>
    <hyperlink ref="G1" location="'IT Survey - All Teams'!A1" display="IT Survey - All Teams"/>
    <hyperlink ref="J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10.xml><?xml version="1.0" encoding="utf-8"?>
<worksheet xmlns="http://schemas.openxmlformats.org/spreadsheetml/2006/main" xmlns:r="http://schemas.openxmlformats.org/officeDocument/2006/relationships">
  <sheetPr codeName="Sheet28">
    <pageSetUpPr fitToPage="1"/>
  </sheetPr>
  <dimension ref="A1:V65"/>
  <sheetViews>
    <sheetView workbookViewId="0"/>
  </sheetViews>
  <sheetFormatPr defaultRowHeight="12.75"/>
  <cols>
    <col min="1" max="1" width="3.42578125" style="304" bestFit="1" customWidth="1"/>
    <col min="2" max="2" width="4.5703125" style="305" bestFit="1" customWidth="1"/>
    <col min="3" max="3" width="10" style="285" customWidth="1"/>
    <col min="4" max="4" width="9.28515625" style="306" customWidth="1"/>
    <col min="5" max="5" width="21.5703125" style="307" customWidth="1"/>
    <col min="6" max="19" width="9.140625" style="285"/>
    <col min="20" max="16384" width="9.140625" style="98"/>
  </cols>
  <sheetData>
    <row r="1" spans="1:22" ht="13.5" thickBot="1">
      <c r="A1" s="208" t="s">
        <v>29</v>
      </c>
      <c r="E1" s="5" t="s">
        <v>968</v>
      </c>
      <c r="G1" s="208" t="s">
        <v>967</v>
      </c>
      <c r="K1" s="208" t="s">
        <v>320</v>
      </c>
    </row>
    <row r="2" spans="1:22" ht="21.75" customHeight="1" thickTop="1" thickBot="1">
      <c r="A2" s="304" t="s">
        <v>105</v>
      </c>
      <c r="B2" s="304" t="s">
        <v>106</v>
      </c>
      <c r="C2" s="648" t="str">
        <f>Survey_Period</f>
        <v>2007 H1</v>
      </c>
      <c r="D2" s="761" t="s">
        <v>78</v>
      </c>
      <c r="E2" s="762"/>
      <c r="F2" s="308" t="s">
        <v>56</v>
      </c>
      <c r="G2" s="308" t="s">
        <v>23</v>
      </c>
      <c r="H2" s="308" t="s">
        <v>336</v>
      </c>
      <c r="I2" s="308" t="s">
        <v>335</v>
      </c>
      <c r="J2" s="308" t="s">
        <v>333</v>
      </c>
      <c r="K2" s="308" t="s">
        <v>334</v>
      </c>
      <c r="L2" s="308" t="s">
        <v>10</v>
      </c>
      <c r="M2" s="308" t="s">
        <v>331</v>
      </c>
      <c r="N2" s="308" t="s">
        <v>361</v>
      </c>
      <c r="O2" s="308" t="s">
        <v>353</v>
      </c>
      <c r="P2" s="308" t="s">
        <v>363</v>
      </c>
      <c r="Q2" s="308" t="s">
        <v>536</v>
      </c>
      <c r="R2" s="308" t="s">
        <v>365</v>
      </c>
      <c r="S2" s="309" t="s">
        <v>12</v>
      </c>
    </row>
    <row r="3" spans="1:22" s="316" customFormat="1" ht="16.5">
      <c r="A3" s="310" t="s">
        <v>107</v>
      </c>
      <c r="B3" s="311" t="s">
        <v>108</v>
      </c>
      <c r="C3" s="312" t="s">
        <v>109</v>
      </c>
      <c r="D3" s="313" t="s">
        <v>110</v>
      </c>
      <c r="E3" s="314" t="s">
        <v>111</v>
      </c>
      <c r="F3" s="598">
        <v>3.8205128205128207</v>
      </c>
      <c r="G3" s="598">
        <v>3.8888888888888888</v>
      </c>
      <c r="H3" s="598">
        <v>4</v>
      </c>
      <c r="I3" s="598">
        <v>4.4000000000000004</v>
      </c>
      <c r="J3" s="598">
        <v>3.6666666666666665</v>
      </c>
      <c r="K3" s="598">
        <v>4.25</v>
      </c>
      <c r="L3" s="598">
        <v>3.7307692307692308</v>
      </c>
      <c r="M3" s="598">
        <v>3.8888888888888888</v>
      </c>
      <c r="N3" s="598">
        <v>3.7391304347826089</v>
      </c>
      <c r="O3" s="598">
        <v>5</v>
      </c>
      <c r="P3" s="598">
        <v>4</v>
      </c>
      <c r="Q3" s="598">
        <v>3.4</v>
      </c>
      <c r="R3" s="598">
        <v>3.2</v>
      </c>
      <c r="S3" s="598">
        <v>4.25</v>
      </c>
      <c r="V3" s="315"/>
    </row>
    <row r="4" spans="1:22" s="316" customFormat="1" ht="24.75">
      <c r="A4" s="317" t="s">
        <v>107</v>
      </c>
      <c r="B4" s="318" t="s">
        <v>108</v>
      </c>
      <c r="C4" s="319" t="s">
        <v>121</v>
      </c>
      <c r="D4" s="320" t="s">
        <v>122</v>
      </c>
      <c r="E4" s="321" t="s">
        <v>123</v>
      </c>
      <c r="F4" s="598">
        <v>3.8547008547008548</v>
      </c>
      <c r="G4" s="598">
        <v>4</v>
      </c>
      <c r="H4" s="598">
        <v>3.6666666666666665</v>
      </c>
      <c r="I4" s="598">
        <v>4.2</v>
      </c>
      <c r="J4" s="598">
        <v>4</v>
      </c>
      <c r="K4" s="598">
        <v>4</v>
      </c>
      <c r="L4" s="598">
        <v>4.1923076923076925</v>
      </c>
      <c r="M4" s="598">
        <v>3.5555555555555554</v>
      </c>
      <c r="N4" s="598">
        <v>3.5217391304347827</v>
      </c>
      <c r="O4" s="598">
        <v>5</v>
      </c>
      <c r="P4" s="598">
        <v>4</v>
      </c>
      <c r="Q4" s="598">
        <v>3.4</v>
      </c>
      <c r="R4" s="598">
        <v>3.6</v>
      </c>
      <c r="S4" s="598">
        <v>4</v>
      </c>
      <c r="V4" s="315"/>
    </row>
    <row r="5" spans="1:22" s="316" customFormat="1" ht="11.25">
      <c r="A5" s="317" t="s">
        <v>107</v>
      </c>
      <c r="B5" s="318" t="s">
        <v>108</v>
      </c>
      <c r="C5" s="319" t="s">
        <v>109</v>
      </c>
      <c r="D5" s="320" t="s">
        <v>128</v>
      </c>
      <c r="E5" s="321" t="s">
        <v>129</v>
      </c>
      <c r="F5" s="598">
        <v>3.8290598290598292</v>
      </c>
      <c r="G5" s="598">
        <v>4</v>
      </c>
      <c r="H5" s="598">
        <v>3.6666666666666665</v>
      </c>
      <c r="I5" s="598">
        <v>3.4</v>
      </c>
      <c r="J5" s="598">
        <v>4</v>
      </c>
      <c r="K5" s="598">
        <v>4</v>
      </c>
      <c r="L5" s="598">
        <v>3.8846153846153846</v>
      </c>
      <c r="M5" s="598">
        <v>4</v>
      </c>
      <c r="N5" s="598">
        <v>3.7391304347826089</v>
      </c>
      <c r="O5" s="598">
        <v>5</v>
      </c>
      <c r="P5" s="598">
        <v>3.7333333333333334</v>
      </c>
      <c r="Q5" s="598">
        <v>3.8</v>
      </c>
      <c r="R5" s="598">
        <v>3.6</v>
      </c>
      <c r="S5" s="598">
        <v>4</v>
      </c>
      <c r="V5" s="315"/>
    </row>
    <row r="6" spans="1:22" s="316" customFormat="1" ht="16.5">
      <c r="A6" s="317" t="s">
        <v>107</v>
      </c>
      <c r="B6" s="318" t="s">
        <v>108</v>
      </c>
      <c r="C6" s="319" t="s">
        <v>121</v>
      </c>
      <c r="D6" s="320" t="s">
        <v>134</v>
      </c>
      <c r="E6" s="321" t="s">
        <v>135</v>
      </c>
      <c r="F6" s="598">
        <v>3.9561403508771931</v>
      </c>
      <c r="G6" s="598">
        <v>4.333333333333333</v>
      </c>
      <c r="H6" s="598">
        <v>4</v>
      </c>
      <c r="I6" s="598">
        <v>4.4000000000000004</v>
      </c>
      <c r="J6" s="598">
        <v>4.333333333333333</v>
      </c>
      <c r="K6" s="598">
        <v>3.75</v>
      </c>
      <c r="L6" s="598">
        <v>4.3461538461538458</v>
      </c>
      <c r="M6" s="598">
        <v>4</v>
      </c>
      <c r="N6" s="598">
        <v>4.0869565217391308</v>
      </c>
      <c r="O6" s="598">
        <v>4</v>
      </c>
      <c r="P6" s="598">
        <v>3.8666666666666667</v>
      </c>
      <c r="Q6" s="598">
        <v>2.625</v>
      </c>
      <c r="R6" s="598">
        <v>2.75</v>
      </c>
      <c r="S6" s="598">
        <v>3.25</v>
      </c>
      <c r="V6" s="315"/>
    </row>
    <row r="7" spans="1:22" s="316" customFormat="1" ht="16.5">
      <c r="A7" s="317" t="s">
        <v>107</v>
      </c>
      <c r="B7" s="318" t="s">
        <v>108</v>
      </c>
      <c r="C7" s="319" t="s">
        <v>121</v>
      </c>
      <c r="D7" s="320" t="s">
        <v>139</v>
      </c>
      <c r="E7" s="321" t="s">
        <v>140</v>
      </c>
      <c r="F7" s="598">
        <v>3.9914529914529915</v>
      </c>
      <c r="G7" s="598">
        <v>4.333333333333333</v>
      </c>
      <c r="H7" s="598">
        <v>4</v>
      </c>
      <c r="I7" s="598">
        <v>4.2</v>
      </c>
      <c r="J7" s="598">
        <v>4.333333333333333</v>
      </c>
      <c r="K7" s="598">
        <v>4</v>
      </c>
      <c r="L7" s="598">
        <v>4.1538461538461542</v>
      </c>
      <c r="M7" s="598">
        <v>4.1111111111111107</v>
      </c>
      <c r="N7" s="598">
        <v>3.7826086956521738</v>
      </c>
      <c r="O7" s="598">
        <v>5</v>
      </c>
      <c r="P7" s="598">
        <v>3.7333333333333334</v>
      </c>
      <c r="Q7" s="598">
        <v>3.8</v>
      </c>
      <c r="R7" s="598">
        <v>3.8</v>
      </c>
      <c r="S7" s="598">
        <v>4</v>
      </c>
      <c r="V7" s="315"/>
    </row>
    <row r="8" spans="1:22" s="316" customFormat="1" ht="16.5">
      <c r="A8" s="317" t="s">
        <v>107</v>
      </c>
      <c r="B8" s="322" t="s">
        <v>108</v>
      </c>
      <c r="C8" s="319" t="s">
        <v>109</v>
      </c>
      <c r="D8" s="320" t="s">
        <v>145</v>
      </c>
      <c r="E8" s="321" t="s">
        <v>69</v>
      </c>
      <c r="F8" s="598">
        <v>4.2735042735042734</v>
      </c>
      <c r="G8" s="598">
        <v>4.333333333333333</v>
      </c>
      <c r="H8" s="598">
        <v>4</v>
      </c>
      <c r="I8" s="598">
        <v>4.5999999999999996</v>
      </c>
      <c r="J8" s="598">
        <v>4</v>
      </c>
      <c r="K8" s="598">
        <v>4.25</v>
      </c>
      <c r="L8" s="598">
        <v>4.384615384615385</v>
      </c>
      <c r="M8" s="598">
        <v>3.8888888888888888</v>
      </c>
      <c r="N8" s="598">
        <v>4.1739130434782608</v>
      </c>
      <c r="O8" s="598">
        <v>4</v>
      </c>
      <c r="P8" s="598">
        <v>4.4666666666666668</v>
      </c>
      <c r="Q8" s="598">
        <v>4.4000000000000004</v>
      </c>
      <c r="R8" s="598">
        <v>4.2</v>
      </c>
      <c r="S8" s="598">
        <v>4</v>
      </c>
      <c r="V8" s="315"/>
    </row>
    <row r="9" spans="1:22" s="316" customFormat="1" ht="16.5">
      <c r="A9" s="317" t="s">
        <v>107</v>
      </c>
      <c r="B9" s="318" t="s">
        <v>108</v>
      </c>
      <c r="C9" s="319" t="s">
        <v>119</v>
      </c>
      <c r="D9" s="320" t="s">
        <v>151</v>
      </c>
      <c r="E9" s="321" t="s">
        <v>152</v>
      </c>
      <c r="F9" s="598">
        <v>4.2820512820512819</v>
      </c>
      <c r="G9" s="598">
        <v>4.1111111111111107</v>
      </c>
      <c r="H9" s="598">
        <v>3.6666666666666665</v>
      </c>
      <c r="I9" s="598">
        <v>4.5999999999999996</v>
      </c>
      <c r="J9" s="598">
        <v>4.333333333333333</v>
      </c>
      <c r="K9" s="598">
        <v>4.5</v>
      </c>
      <c r="L9" s="598">
        <v>4.4615384615384617</v>
      </c>
      <c r="M9" s="598">
        <v>4.1111111111111107</v>
      </c>
      <c r="N9" s="598">
        <v>4.1304347826086953</v>
      </c>
      <c r="O9" s="598">
        <v>4</v>
      </c>
      <c r="P9" s="598">
        <v>4.1333333333333337</v>
      </c>
      <c r="Q9" s="598">
        <v>4.7</v>
      </c>
      <c r="R9" s="598">
        <v>4.2</v>
      </c>
      <c r="S9" s="598">
        <v>4.25</v>
      </c>
      <c r="V9" s="315"/>
    </row>
    <row r="10" spans="1:22" s="316" customFormat="1" ht="16.5">
      <c r="A10" s="317" t="s">
        <v>107</v>
      </c>
      <c r="B10" s="318" t="s">
        <v>156</v>
      </c>
      <c r="C10" s="319" t="s">
        <v>109</v>
      </c>
      <c r="D10" s="320" t="s">
        <v>157</v>
      </c>
      <c r="E10" s="321" t="s">
        <v>70</v>
      </c>
      <c r="F10" s="598">
        <v>4.3675213675213671</v>
      </c>
      <c r="G10" s="598">
        <v>4.333333333333333</v>
      </c>
      <c r="H10" s="598">
        <v>4</v>
      </c>
      <c r="I10" s="598">
        <v>4.4000000000000004</v>
      </c>
      <c r="J10" s="598">
        <v>4.333333333333333</v>
      </c>
      <c r="K10" s="598">
        <v>4.5</v>
      </c>
      <c r="L10" s="598">
        <v>4.5</v>
      </c>
      <c r="M10" s="598">
        <v>4.4444444444444446</v>
      </c>
      <c r="N10" s="598">
        <v>4.4347826086956523</v>
      </c>
      <c r="O10" s="598">
        <v>4</v>
      </c>
      <c r="P10" s="598">
        <v>4.2</v>
      </c>
      <c r="Q10" s="598">
        <v>4.4000000000000004</v>
      </c>
      <c r="R10" s="598">
        <v>4</v>
      </c>
      <c r="S10" s="598">
        <v>4.25</v>
      </c>
      <c r="V10" s="315"/>
    </row>
    <row r="11" spans="1:22" s="316" customFormat="1" ht="11.25">
      <c r="A11" s="317" t="s">
        <v>107</v>
      </c>
      <c r="B11" s="318" t="s">
        <v>156</v>
      </c>
      <c r="C11" s="319" t="s">
        <v>109</v>
      </c>
      <c r="D11" s="320" t="s">
        <v>162</v>
      </c>
      <c r="E11" s="321" t="s">
        <v>71</v>
      </c>
      <c r="F11" s="598">
        <v>3.9487179487179489</v>
      </c>
      <c r="G11" s="598">
        <v>3.7777777777777777</v>
      </c>
      <c r="H11" s="598">
        <v>4</v>
      </c>
      <c r="I11" s="598">
        <v>4.4000000000000004</v>
      </c>
      <c r="J11" s="598">
        <v>4</v>
      </c>
      <c r="K11" s="598">
        <v>3.75</v>
      </c>
      <c r="L11" s="598">
        <v>4.0384615384615383</v>
      </c>
      <c r="M11" s="598">
        <v>4.333333333333333</v>
      </c>
      <c r="N11" s="598">
        <v>3.7826086956521738</v>
      </c>
      <c r="O11" s="598">
        <v>4</v>
      </c>
      <c r="P11" s="598">
        <v>3.8666666666666667</v>
      </c>
      <c r="Q11" s="598">
        <v>4</v>
      </c>
      <c r="R11" s="598">
        <v>3.4</v>
      </c>
      <c r="S11" s="598">
        <v>4.25</v>
      </c>
      <c r="V11" s="315"/>
    </row>
    <row r="12" spans="1:22" s="316" customFormat="1" ht="24.75">
      <c r="A12" s="317" t="s">
        <v>107</v>
      </c>
      <c r="B12" s="318" t="s">
        <v>156</v>
      </c>
      <c r="C12" s="319" t="s">
        <v>109</v>
      </c>
      <c r="D12" s="320" t="s">
        <v>165</v>
      </c>
      <c r="E12" s="321" t="s">
        <v>72</v>
      </c>
      <c r="F12" s="598">
        <v>4.1196581196581192</v>
      </c>
      <c r="G12" s="598">
        <v>4.2222222222222223</v>
      </c>
      <c r="H12" s="598">
        <v>3.6666666666666665</v>
      </c>
      <c r="I12" s="598">
        <v>4.4000000000000004</v>
      </c>
      <c r="J12" s="598">
        <v>3.6666666666666665</v>
      </c>
      <c r="K12" s="598">
        <v>4.25</v>
      </c>
      <c r="L12" s="598">
        <v>4.4230769230769234</v>
      </c>
      <c r="M12" s="598">
        <v>4.4444444444444446</v>
      </c>
      <c r="N12" s="598">
        <v>3.9565217391304346</v>
      </c>
      <c r="O12" s="598">
        <v>4</v>
      </c>
      <c r="P12" s="598">
        <v>4</v>
      </c>
      <c r="Q12" s="598">
        <v>3.6</v>
      </c>
      <c r="R12" s="598">
        <v>4.2</v>
      </c>
      <c r="S12" s="598">
        <v>4</v>
      </c>
      <c r="V12" s="315"/>
    </row>
    <row r="13" spans="1:22" s="316" customFormat="1" ht="16.5">
      <c r="A13" s="317" t="s">
        <v>107</v>
      </c>
      <c r="B13" s="318" t="s">
        <v>156</v>
      </c>
      <c r="C13" s="319" t="s">
        <v>125</v>
      </c>
      <c r="D13" s="320" t="s">
        <v>171</v>
      </c>
      <c r="E13" s="321" t="s">
        <v>73</v>
      </c>
      <c r="F13" s="598">
        <v>4.2136752136752138</v>
      </c>
      <c r="G13" s="598">
        <v>4.4444444444444446</v>
      </c>
      <c r="H13" s="598">
        <v>4</v>
      </c>
      <c r="I13" s="598">
        <v>4.2</v>
      </c>
      <c r="J13" s="598">
        <v>4</v>
      </c>
      <c r="K13" s="598">
        <v>4.5</v>
      </c>
      <c r="L13" s="598">
        <v>4.3461538461538458</v>
      </c>
      <c r="M13" s="598">
        <v>4.333333333333333</v>
      </c>
      <c r="N13" s="598">
        <v>4.3043478260869561</v>
      </c>
      <c r="O13" s="598">
        <v>4</v>
      </c>
      <c r="P13" s="598">
        <v>4.0666666666666664</v>
      </c>
      <c r="Q13" s="598">
        <v>3.7</v>
      </c>
      <c r="R13" s="598">
        <v>4</v>
      </c>
      <c r="S13" s="598">
        <v>4.25</v>
      </c>
      <c r="V13" s="315"/>
    </row>
    <row r="14" spans="1:22" s="316" customFormat="1" ht="16.5">
      <c r="A14" s="317" t="s">
        <v>107</v>
      </c>
      <c r="B14" s="318" t="s">
        <v>156</v>
      </c>
      <c r="C14" s="319" t="s">
        <v>125</v>
      </c>
      <c r="D14" s="320" t="s">
        <v>174</v>
      </c>
      <c r="E14" s="321" t="s">
        <v>74</v>
      </c>
      <c r="F14" s="598">
        <v>4.316239316239316</v>
      </c>
      <c r="G14" s="598">
        <v>4.4444444444444446</v>
      </c>
      <c r="H14" s="598">
        <v>4</v>
      </c>
      <c r="I14" s="598">
        <v>4.2</v>
      </c>
      <c r="J14" s="598">
        <v>4</v>
      </c>
      <c r="K14" s="598">
        <v>4.5</v>
      </c>
      <c r="L14" s="598">
        <v>4.5384615384615383</v>
      </c>
      <c r="M14" s="598">
        <v>4.333333333333333</v>
      </c>
      <c r="N14" s="598">
        <v>4.4347826086956523</v>
      </c>
      <c r="O14" s="598">
        <v>5</v>
      </c>
      <c r="P14" s="598">
        <v>4.0666666666666664</v>
      </c>
      <c r="Q14" s="598">
        <v>4.2</v>
      </c>
      <c r="R14" s="598">
        <v>3.8</v>
      </c>
      <c r="S14" s="598">
        <v>4</v>
      </c>
      <c r="V14" s="315"/>
    </row>
    <row r="15" spans="1:22" s="316" customFormat="1" ht="24.75">
      <c r="A15" s="317" t="s">
        <v>107</v>
      </c>
      <c r="B15" s="318" t="s">
        <v>177</v>
      </c>
      <c r="C15" s="319" t="s">
        <v>114</v>
      </c>
      <c r="D15" s="320" t="s">
        <v>178</v>
      </c>
      <c r="E15" s="321" t="s">
        <v>75</v>
      </c>
      <c r="F15" s="598">
        <v>3.8090909090909091</v>
      </c>
      <c r="G15" s="598">
        <v>4.2222222222222223</v>
      </c>
      <c r="H15" s="598">
        <v>4</v>
      </c>
      <c r="I15" s="598">
        <v>3.4</v>
      </c>
      <c r="J15" s="598">
        <v>4</v>
      </c>
      <c r="K15" s="598">
        <v>4.25</v>
      </c>
      <c r="L15" s="598">
        <v>3.9615384615384617</v>
      </c>
      <c r="M15" s="598">
        <v>3.7777777777777777</v>
      </c>
      <c r="N15" s="598">
        <v>3.9130434782608696</v>
      </c>
      <c r="O15" s="598">
        <v>3</v>
      </c>
      <c r="P15" s="598">
        <v>3.8</v>
      </c>
      <c r="Q15" s="598">
        <v>2.8571428571428572</v>
      </c>
      <c r="R15" s="598">
        <v>3</v>
      </c>
      <c r="S15" s="598">
        <v>4</v>
      </c>
      <c r="V15" s="315"/>
    </row>
    <row r="16" spans="1:22" s="316" customFormat="1" ht="16.5">
      <c r="A16" s="317" t="s">
        <v>107</v>
      </c>
      <c r="B16" s="322" t="s">
        <v>177</v>
      </c>
      <c r="C16" s="319" t="s">
        <v>114</v>
      </c>
      <c r="D16" s="320" t="s">
        <v>180</v>
      </c>
      <c r="E16" s="321" t="s">
        <v>181</v>
      </c>
      <c r="F16" s="598">
        <v>3.6818181818181817</v>
      </c>
      <c r="G16" s="598">
        <v>4.1111111111111107</v>
      </c>
      <c r="H16" s="598">
        <v>3.6666666666666665</v>
      </c>
      <c r="I16" s="598">
        <v>3.6</v>
      </c>
      <c r="J16" s="598">
        <v>4.333333333333333</v>
      </c>
      <c r="K16" s="598">
        <v>4</v>
      </c>
      <c r="L16" s="598">
        <v>4</v>
      </c>
      <c r="M16" s="598">
        <v>3.2222222222222223</v>
      </c>
      <c r="N16" s="598">
        <v>3.5217391304347827</v>
      </c>
      <c r="O16" s="598">
        <v>3</v>
      </c>
      <c r="P16" s="598">
        <v>3.8</v>
      </c>
      <c r="Q16" s="598">
        <v>3</v>
      </c>
      <c r="R16" s="598">
        <v>2.75</v>
      </c>
      <c r="S16" s="598">
        <v>4</v>
      </c>
      <c r="V16" s="315"/>
    </row>
    <row r="17" spans="1:22" s="316" customFormat="1" ht="16.5">
      <c r="A17" s="317" t="s">
        <v>107</v>
      </c>
      <c r="B17" s="322" t="s">
        <v>177</v>
      </c>
      <c r="C17" s="319" t="s">
        <v>114</v>
      </c>
      <c r="D17" s="320" t="s">
        <v>183</v>
      </c>
      <c r="E17" s="321" t="s">
        <v>184</v>
      </c>
      <c r="F17" s="598">
        <v>4.0087719298245617</v>
      </c>
      <c r="G17" s="598">
        <v>4</v>
      </c>
      <c r="H17" s="598">
        <v>4</v>
      </c>
      <c r="I17" s="598">
        <v>4.2</v>
      </c>
      <c r="J17" s="598">
        <v>3.6666666666666665</v>
      </c>
      <c r="K17" s="598">
        <v>3.75</v>
      </c>
      <c r="L17" s="598">
        <v>4.3461538461538458</v>
      </c>
      <c r="M17" s="598">
        <v>3.8888888888888888</v>
      </c>
      <c r="N17" s="598">
        <v>3.9090909090909092</v>
      </c>
      <c r="O17" s="598">
        <v>4</v>
      </c>
      <c r="P17" s="598">
        <v>3.7857142857142856</v>
      </c>
      <c r="Q17" s="598">
        <v>4</v>
      </c>
      <c r="R17" s="598">
        <v>4</v>
      </c>
      <c r="S17" s="598">
        <v>3.6666666666666665</v>
      </c>
      <c r="V17" s="315"/>
    </row>
    <row r="18" spans="1:22" s="316" customFormat="1" ht="16.5">
      <c r="A18" s="317" t="s">
        <v>107</v>
      </c>
      <c r="B18" s="322" t="s">
        <v>177</v>
      </c>
      <c r="C18" s="319" t="s">
        <v>114</v>
      </c>
      <c r="D18" s="320" t="s">
        <v>186</v>
      </c>
      <c r="E18" s="321" t="s">
        <v>80</v>
      </c>
      <c r="F18" s="598">
        <v>3.7567567567567566</v>
      </c>
      <c r="G18" s="598">
        <v>3.8888888888888888</v>
      </c>
      <c r="H18" s="598">
        <v>3.3333333333333335</v>
      </c>
      <c r="I18" s="598">
        <v>4</v>
      </c>
      <c r="J18" s="598">
        <v>4</v>
      </c>
      <c r="K18" s="598">
        <v>4</v>
      </c>
      <c r="L18" s="598">
        <v>4.1538461538461542</v>
      </c>
      <c r="M18" s="598">
        <v>3.3333333333333335</v>
      </c>
      <c r="N18" s="598">
        <v>3.9130434782608696</v>
      </c>
      <c r="O18" s="598">
        <v>4</v>
      </c>
      <c r="P18" s="598">
        <v>3.6428571428571428</v>
      </c>
      <c r="Q18" s="598">
        <v>3</v>
      </c>
      <c r="R18" s="598">
        <v>3</v>
      </c>
      <c r="S18" s="598">
        <v>4</v>
      </c>
      <c r="V18" s="315"/>
    </row>
    <row r="19" spans="1:22" s="316" customFormat="1" ht="16.5">
      <c r="A19" s="317" t="s">
        <v>107</v>
      </c>
      <c r="B19" s="318" t="s">
        <v>156</v>
      </c>
      <c r="C19" s="323" t="s">
        <v>189</v>
      </c>
      <c r="D19" s="320" t="s">
        <v>190</v>
      </c>
      <c r="E19" s="321" t="s">
        <v>191</v>
      </c>
      <c r="F19" s="598">
        <v>3.7391304347826089</v>
      </c>
      <c r="G19" s="598">
        <v>3.4444444444444446</v>
      </c>
      <c r="H19" s="598">
        <v>3.6666666666666665</v>
      </c>
      <c r="I19" s="598">
        <v>3.8</v>
      </c>
      <c r="J19" s="598">
        <v>4.333333333333333</v>
      </c>
      <c r="K19" s="598">
        <v>3.5</v>
      </c>
      <c r="L19" s="598">
        <v>4.384615384615385</v>
      </c>
      <c r="M19" s="598">
        <v>3.6666666666666665</v>
      </c>
      <c r="N19" s="598">
        <v>3.7391304347826089</v>
      </c>
      <c r="O19" s="598">
        <v>3</v>
      </c>
      <c r="P19" s="598">
        <v>3.4</v>
      </c>
      <c r="Q19" s="598">
        <v>3.5</v>
      </c>
      <c r="R19" s="598">
        <v>2.8</v>
      </c>
      <c r="S19" s="598">
        <v>3</v>
      </c>
      <c r="V19" s="315"/>
    </row>
    <row r="20" spans="1:22" s="316" customFormat="1" ht="16.5">
      <c r="A20" s="317" t="s">
        <v>107</v>
      </c>
      <c r="B20" s="318" t="s">
        <v>177</v>
      </c>
      <c r="C20" s="319" t="s">
        <v>121</v>
      </c>
      <c r="D20" s="320" t="s">
        <v>192</v>
      </c>
      <c r="E20" s="321" t="s">
        <v>193</v>
      </c>
      <c r="F20" s="598">
        <v>4.0608695652173914</v>
      </c>
      <c r="G20" s="598">
        <v>4.1111111111111107</v>
      </c>
      <c r="H20" s="598">
        <v>3.6666666666666665</v>
      </c>
      <c r="I20" s="598">
        <v>4</v>
      </c>
      <c r="J20" s="598">
        <v>4</v>
      </c>
      <c r="K20" s="598">
        <v>4</v>
      </c>
      <c r="L20" s="598">
        <v>4.3461538461538458</v>
      </c>
      <c r="M20" s="598">
        <v>3.7777777777777777</v>
      </c>
      <c r="N20" s="598">
        <v>4</v>
      </c>
      <c r="O20" s="598">
        <v>4</v>
      </c>
      <c r="P20" s="598">
        <v>4.0666666666666664</v>
      </c>
      <c r="Q20" s="598">
        <v>3.8</v>
      </c>
      <c r="R20" s="598">
        <v>4.2</v>
      </c>
      <c r="S20" s="598">
        <v>4</v>
      </c>
      <c r="V20" s="315"/>
    </row>
    <row r="21" spans="1:22" s="316" customFormat="1" ht="16.5">
      <c r="A21" s="317" t="s">
        <v>107</v>
      </c>
      <c r="B21" s="322" t="s">
        <v>177</v>
      </c>
      <c r="C21" s="319" t="s">
        <v>107</v>
      </c>
      <c r="D21" s="320" t="s">
        <v>194</v>
      </c>
      <c r="E21" s="321" t="s">
        <v>195</v>
      </c>
      <c r="F21" s="598">
        <v>3.6896551724137931</v>
      </c>
      <c r="G21" s="598">
        <v>3.4444444444444446</v>
      </c>
      <c r="H21" s="598">
        <v>3.3333333333333335</v>
      </c>
      <c r="I21" s="598">
        <v>3.4</v>
      </c>
      <c r="J21" s="598">
        <v>4</v>
      </c>
      <c r="K21" s="598">
        <v>3.5</v>
      </c>
      <c r="L21" s="598">
        <v>4</v>
      </c>
      <c r="M21" s="598">
        <v>3.5</v>
      </c>
      <c r="N21" s="598">
        <v>3.7826086956521738</v>
      </c>
      <c r="O21" s="598">
        <v>3</v>
      </c>
      <c r="P21" s="598">
        <v>3.7333333333333334</v>
      </c>
      <c r="Q21" s="598">
        <v>3.4</v>
      </c>
      <c r="R21" s="598">
        <v>3.2</v>
      </c>
      <c r="S21" s="598">
        <v>4</v>
      </c>
      <c r="V21" s="315"/>
    </row>
    <row r="22" spans="1:22" s="316" customFormat="1" ht="33">
      <c r="A22" s="317" t="s">
        <v>142</v>
      </c>
      <c r="B22" s="318" t="s">
        <v>143</v>
      </c>
      <c r="C22" s="319" t="s">
        <v>107</v>
      </c>
      <c r="D22" s="320" t="s">
        <v>196</v>
      </c>
      <c r="E22" s="321" t="s">
        <v>76</v>
      </c>
      <c r="F22" s="598">
        <v>3.5660377358490565</v>
      </c>
      <c r="G22" s="598">
        <v>3.5</v>
      </c>
      <c r="H22" s="598">
        <v>3.6666666666666665</v>
      </c>
      <c r="I22" s="598">
        <v>3.6</v>
      </c>
      <c r="J22" s="598">
        <v>4</v>
      </c>
      <c r="K22" s="598">
        <v>3.6666666666666665</v>
      </c>
      <c r="L22" s="598">
        <v>3.8076923076923075</v>
      </c>
      <c r="M22" s="598">
        <v>2.6666666666666665</v>
      </c>
      <c r="N22" s="598">
        <v>3.6315789473684212</v>
      </c>
      <c r="O22" s="598">
        <v>3</v>
      </c>
      <c r="P22" s="598">
        <v>3.6923076923076925</v>
      </c>
      <c r="Q22" s="598">
        <v>3.4</v>
      </c>
      <c r="R22" s="598">
        <v>3.4</v>
      </c>
      <c r="S22" s="598">
        <v>4</v>
      </c>
      <c r="V22" s="315"/>
    </row>
    <row r="23" spans="1:22" s="316" customFormat="1" ht="16.5">
      <c r="A23" s="324"/>
      <c r="B23" s="318"/>
      <c r="C23" s="319"/>
      <c r="D23" s="320" t="s">
        <v>197</v>
      </c>
      <c r="E23" s="321" t="s">
        <v>77</v>
      </c>
      <c r="F23" s="306"/>
      <c r="G23" s="306"/>
      <c r="H23" s="306"/>
      <c r="I23" s="306"/>
      <c r="J23" s="306"/>
      <c r="K23" s="306"/>
      <c r="L23" s="306"/>
      <c r="M23" s="306"/>
      <c r="N23" s="306"/>
      <c r="O23" s="306"/>
      <c r="P23" s="306"/>
      <c r="Q23" s="306"/>
      <c r="R23" s="306"/>
      <c r="S23" s="306"/>
    </row>
    <row r="24" spans="1:22" s="316" customFormat="1" ht="12" thickBot="1">
      <c r="A24" s="325"/>
      <c r="B24" s="326"/>
      <c r="C24" s="327"/>
      <c r="D24" s="328"/>
      <c r="E24" s="329"/>
      <c r="F24" s="306"/>
      <c r="G24" s="306"/>
      <c r="H24" s="306"/>
      <c r="I24" s="306"/>
      <c r="J24" s="306"/>
      <c r="K24" s="306"/>
      <c r="L24" s="306"/>
      <c r="M24" s="306"/>
      <c r="N24" s="306"/>
      <c r="O24" s="306"/>
      <c r="P24" s="306"/>
      <c r="Q24" s="306"/>
      <c r="R24" s="306"/>
      <c r="S24" s="306"/>
    </row>
    <row r="25" spans="1:22" s="316" customFormat="1" ht="22.5">
      <c r="A25" s="304"/>
      <c r="B25" s="305"/>
      <c r="C25" s="306"/>
      <c r="D25" s="306"/>
      <c r="E25" s="330" t="s">
        <v>1053</v>
      </c>
      <c r="F25" s="306">
        <v>117</v>
      </c>
      <c r="G25" s="306">
        <v>9</v>
      </c>
      <c r="H25" s="306">
        <v>3</v>
      </c>
      <c r="I25" s="306">
        <v>5</v>
      </c>
      <c r="J25" s="306">
        <v>3</v>
      </c>
      <c r="K25" s="306">
        <v>4</v>
      </c>
      <c r="L25" s="306">
        <v>26</v>
      </c>
      <c r="M25" s="306">
        <v>9</v>
      </c>
      <c r="N25" s="306">
        <v>23</v>
      </c>
      <c r="O25" s="306">
        <v>1</v>
      </c>
      <c r="P25" s="306">
        <v>15</v>
      </c>
      <c r="Q25" s="306">
        <v>10</v>
      </c>
      <c r="R25" s="306">
        <v>5</v>
      </c>
      <c r="S25" s="306">
        <v>4</v>
      </c>
    </row>
    <row r="26" spans="1:22" s="316" customFormat="1">
      <c r="A26" s="5"/>
      <c r="B26" s="305"/>
      <c r="C26" s="306"/>
      <c r="D26" s="306"/>
      <c r="E26" s="330"/>
      <c r="F26" s="306"/>
      <c r="G26" s="306"/>
      <c r="H26" s="306"/>
      <c r="I26" s="306"/>
      <c r="J26" s="306"/>
      <c r="K26" s="306"/>
      <c r="L26" s="306"/>
      <c r="M26" s="306"/>
      <c r="N26" s="306"/>
      <c r="O26" s="306"/>
      <c r="P26" s="306"/>
      <c r="Q26" s="306"/>
      <c r="R26" s="306"/>
      <c r="S26" s="306"/>
    </row>
    <row r="27" spans="1:22" s="316" customFormat="1">
      <c r="A27" s="5"/>
      <c r="B27" s="305"/>
      <c r="C27" s="306"/>
      <c r="D27" s="306"/>
      <c r="E27" s="330"/>
      <c r="F27" s="306"/>
      <c r="G27" s="306"/>
      <c r="H27" s="306"/>
      <c r="I27" s="306"/>
      <c r="J27" s="306"/>
      <c r="K27" s="306"/>
      <c r="L27" s="306"/>
      <c r="M27" s="306"/>
      <c r="N27" s="306"/>
      <c r="O27" s="306"/>
      <c r="P27" s="306"/>
      <c r="Q27" s="306"/>
      <c r="R27" s="306"/>
      <c r="S27" s="306"/>
    </row>
    <row r="28" spans="1:22" s="316" customFormat="1" ht="11.25">
      <c r="A28" s="304"/>
      <c r="B28" s="305"/>
      <c r="C28" s="306"/>
      <c r="D28" s="306"/>
      <c r="E28" s="330"/>
      <c r="F28" s="306"/>
      <c r="G28" s="306"/>
      <c r="H28" s="306"/>
      <c r="I28" s="306"/>
      <c r="J28" s="306"/>
      <c r="K28" s="306"/>
      <c r="L28" s="306"/>
      <c r="M28" s="306"/>
      <c r="N28" s="306"/>
      <c r="O28" s="306"/>
      <c r="P28" s="306"/>
      <c r="Q28" s="306"/>
      <c r="R28" s="306"/>
      <c r="S28" s="306"/>
    </row>
    <row r="29" spans="1:22" s="316" customFormat="1" ht="11.25">
      <c r="A29" s="304"/>
      <c r="B29" s="305"/>
      <c r="C29" s="306"/>
      <c r="D29" s="306"/>
      <c r="E29" s="330"/>
      <c r="F29" s="306"/>
      <c r="G29" s="306"/>
      <c r="H29" s="306"/>
      <c r="I29" s="306"/>
      <c r="J29" s="306"/>
      <c r="K29" s="306"/>
      <c r="L29" s="306"/>
      <c r="M29" s="306"/>
      <c r="N29" s="306"/>
      <c r="O29" s="306"/>
      <c r="P29" s="306"/>
      <c r="Q29" s="306"/>
      <c r="R29" s="306"/>
      <c r="S29" s="306"/>
    </row>
    <row r="30" spans="1:22" s="316" customFormat="1" ht="11.25">
      <c r="A30" s="304"/>
      <c r="B30" s="305"/>
      <c r="C30" s="306"/>
      <c r="D30" s="306"/>
      <c r="E30" s="330"/>
      <c r="F30" s="306"/>
      <c r="G30" s="306"/>
      <c r="H30" s="306"/>
      <c r="I30" s="306"/>
      <c r="J30" s="306"/>
      <c r="K30" s="306"/>
      <c r="L30" s="306"/>
      <c r="M30" s="306"/>
      <c r="N30" s="306"/>
      <c r="O30" s="306"/>
      <c r="P30" s="306"/>
      <c r="Q30" s="306"/>
      <c r="R30" s="306"/>
      <c r="S30" s="306"/>
    </row>
    <row r="31" spans="1:22" s="316" customFormat="1" ht="11.25">
      <c r="A31" s="304"/>
      <c r="B31" s="305"/>
      <c r="C31" s="306"/>
      <c r="D31" s="306"/>
      <c r="E31" s="330"/>
      <c r="F31" s="306"/>
      <c r="G31" s="306"/>
      <c r="H31" s="306"/>
      <c r="I31" s="306"/>
      <c r="J31" s="306"/>
      <c r="K31" s="306"/>
      <c r="L31" s="306"/>
      <c r="M31" s="306"/>
      <c r="N31" s="306"/>
      <c r="O31" s="306"/>
      <c r="P31" s="306"/>
      <c r="Q31" s="306"/>
      <c r="R31" s="306"/>
      <c r="S31" s="306"/>
    </row>
    <row r="32" spans="1:22" s="316" customFormat="1" ht="11.25">
      <c r="A32" s="304"/>
      <c r="B32" s="305"/>
      <c r="C32" s="306"/>
      <c r="D32" s="306"/>
      <c r="E32" s="330"/>
      <c r="F32" s="306"/>
      <c r="G32" s="306"/>
      <c r="H32" s="306"/>
      <c r="I32" s="306"/>
      <c r="J32" s="306"/>
      <c r="K32" s="306"/>
      <c r="L32" s="306"/>
      <c r="M32" s="306"/>
      <c r="N32" s="306"/>
      <c r="O32" s="306"/>
      <c r="P32" s="306"/>
      <c r="Q32" s="306"/>
      <c r="R32" s="306"/>
      <c r="S32" s="306"/>
    </row>
    <row r="33" spans="1:19" s="316" customFormat="1" ht="11.25">
      <c r="A33" s="304"/>
      <c r="B33" s="305"/>
      <c r="C33" s="306"/>
      <c r="D33" s="306"/>
      <c r="E33" s="330"/>
      <c r="F33" s="306"/>
      <c r="G33" s="306"/>
      <c r="H33" s="306"/>
      <c r="I33" s="306"/>
      <c r="J33" s="306"/>
      <c r="K33" s="306"/>
      <c r="L33" s="306"/>
      <c r="M33" s="306"/>
      <c r="N33" s="306"/>
      <c r="O33" s="306"/>
      <c r="P33" s="306"/>
      <c r="Q33" s="306"/>
      <c r="R33" s="306"/>
      <c r="S33" s="306"/>
    </row>
    <row r="34" spans="1:19" s="316" customFormat="1" ht="11.25">
      <c r="A34" s="304"/>
      <c r="B34" s="305"/>
      <c r="C34" s="306"/>
      <c r="D34" s="306"/>
      <c r="E34" s="330"/>
      <c r="F34" s="306"/>
      <c r="G34" s="306"/>
      <c r="H34" s="306"/>
      <c r="I34" s="306"/>
      <c r="J34" s="306"/>
      <c r="K34" s="306"/>
      <c r="L34" s="306"/>
      <c r="M34" s="306"/>
      <c r="N34" s="306"/>
      <c r="O34" s="306"/>
      <c r="P34" s="306"/>
      <c r="Q34" s="306"/>
      <c r="R34" s="306"/>
      <c r="S34" s="306"/>
    </row>
    <row r="35" spans="1:19" s="316" customFormat="1" ht="11.25">
      <c r="A35" s="304"/>
      <c r="B35" s="305"/>
      <c r="C35" s="306"/>
      <c r="D35" s="306"/>
      <c r="E35" s="330"/>
      <c r="F35" s="306"/>
      <c r="G35" s="306"/>
      <c r="H35" s="306"/>
      <c r="I35" s="306"/>
      <c r="J35" s="306"/>
      <c r="K35" s="306"/>
      <c r="L35" s="306"/>
      <c r="M35" s="306"/>
      <c r="N35" s="306"/>
      <c r="O35" s="306"/>
      <c r="P35" s="306"/>
      <c r="Q35" s="306"/>
      <c r="R35" s="306"/>
      <c r="S35" s="306"/>
    </row>
    <row r="36" spans="1:19" s="316" customFormat="1" ht="11.25">
      <c r="A36" s="304"/>
      <c r="B36" s="305"/>
      <c r="C36" s="306"/>
      <c r="D36" s="306"/>
      <c r="E36" s="330"/>
      <c r="F36" s="306"/>
      <c r="G36" s="306"/>
      <c r="H36" s="306"/>
      <c r="I36" s="306"/>
      <c r="J36" s="306"/>
      <c r="K36" s="306"/>
      <c r="L36" s="306"/>
      <c r="M36" s="306"/>
      <c r="N36" s="306"/>
      <c r="O36" s="306"/>
      <c r="P36" s="306"/>
      <c r="Q36" s="306"/>
      <c r="R36" s="306"/>
      <c r="S36" s="306"/>
    </row>
    <row r="37" spans="1:19" s="316" customFormat="1" ht="11.25">
      <c r="A37" s="304"/>
      <c r="B37" s="305"/>
      <c r="C37" s="306"/>
      <c r="D37" s="306"/>
      <c r="E37" s="330"/>
      <c r="F37" s="306"/>
      <c r="G37" s="306"/>
      <c r="H37" s="306"/>
      <c r="I37" s="306"/>
      <c r="J37" s="306"/>
      <c r="K37" s="306"/>
      <c r="L37" s="306"/>
      <c r="M37" s="306"/>
      <c r="N37" s="306"/>
      <c r="O37" s="306"/>
      <c r="P37" s="306"/>
      <c r="Q37" s="306"/>
      <c r="R37" s="306"/>
      <c r="S37" s="306"/>
    </row>
    <row r="38" spans="1:19" s="316" customFormat="1" ht="11.25">
      <c r="A38" s="304"/>
      <c r="B38" s="305"/>
      <c r="C38" s="306"/>
      <c r="D38" s="306"/>
      <c r="E38" s="330"/>
      <c r="F38" s="306"/>
      <c r="G38" s="306"/>
      <c r="H38" s="306"/>
      <c r="I38" s="306"/>
      <c r="J38" s="306"/>
      <c r="K38" s="306"/>
      <c r="L38" s="306"/>
      <c r="M38" s="306"/>
      <c r="N38" s="306"/>
      <c r="O38" s="306"/>
      <c r="P38" s="306"/>
      <c r="Q38" s="306"/>
      <c r="R38" s="306"/>
      <c r="S38" s="306"/>
    </row>
    <row r="39" spans="1:19" s="316" customFormat="1" ht="11.25">
      <c r="A39" s="304"/>
      <c r="B39" s="305"/>
      <c r="C39" s="306"/>
      <c r="D39" s="306"/>
      <c r="E39" s="330"/>
      <c r="F39" s="306"/>
      <c r="G39" s="306"/>
      <c r="H39" s="306"/>
      <c r="I39" s="306"/>
      <c r="J39" s="306"/>
      <c r="K39" s="306"/>
      <c r="L39" s="306"/>
      <c r="M39" s="306"/>
      <c r="N39" s="306"/>
      <c r="O39" s="306"/>
      <c r="P39" s="306"/>
      <c r="Q39" s="306"/>
      <c r="R39" s="306"/>
      <c r="S39" s="306"/>
    </row>
    <row r="40" spans="1:19" s="316" customFormat="1" ht="11.25">
      <c r="A40" s="304"/>
      <c r="B40" s="305"/>
      <c r="C40" s="306"/>
      <c r="D40" s="306"/>
      <c r="E40" s="330"/>
      <c r="F40" s="306"/>
      <c r="G40" s="306"/>
      <c r="H40" s="306"/>
      <c r="I40" s="306"/>
      <c r="J40" s="306"/>
      <c r="K40" s="306"/>
      <c r="L40" s="306"/>
      <c r="M40" s="306"/>
      <c r="N40" s="306"/>
      <c r="O40" s="306"/>
      <c r="P40" s="306"/>
      <c r="Q40" s="306"/>
      <c r="R40" s="306"/>
      <c r="S40" s="306"/>
    </row>
    <row r="41" spans="1:19" s="316" customFormat="1" ht="11.25">
      <c r="A41" s="304"/>
      <c r="B41" s="305"/>
      <c r="C41" s="306"/>
      <c r="D41" s="306"/>
      <c r="E41" s="330"/>
      <c r="F41" s="306"/>
      <c r="G41" s="306"/>
      <c r="H41" s="306"/>
      <c r="I41" s="306"/>
      <c r="J41" s="306"/>
      <c r="K41" s="306"/>
      <c r="L41" s="306"/>
      <c r="M41" s="306"/>
      <c r="N41" s="306"/>
      <c r="O41" s="306"/>
      <c r="P41" s="306"/>
      <c r="Q41" s="306"/>
      <c r="R41" s="306"/>
      <c r="S41" s="306"/>
    </row>
    <row r="42" spans="1:19" s="316" customFormat="1" ht="11.25">
      <c r="A42" s="304"/>
      <c r="B42" s="305"/>
      <c r="C42" s="306"/>
      <c r="D42" s="306"/>
      <c r="E42" s="330"/>
      <c r="F42" s="306"/>
      <c r="G42" s="306"/>
      <c r="H42" s="306"/>
      <c r="I42" s="306"/>
      <c r="J42" s="306"/>
      <c r="K42" s="306"/>
      <c r="L42" s="306"/>
      <c r="M42" s="306"/>
      <c r="N42" s="306"/>
      <c r="O42" s="306"/>
      <c r="P42" s="306"/>
      <c r="Q42" s="306"/>
      <c r="R42" s="306"/>
      <c r="S42" s="306"/>
    </row>
    <row r="43" spans="1:19" s="316" customFormat="1" ht="11.25">
      <c r="A43" s="304"/>
      <c r="B43" s="305"/>
      <c r="C43" s="306"/>
      <c r="D43" s="306"/>
      <c r="E43" s="330"/>
      <c r="F43" s="306"/>
      <c r="G43" s="306"/>
      <c r="H43" s="306"/>
      <c r="I43" s="306"/>
      <c r="J43" s="306"/>
      <c r="K43" s="306"/>
      <c r="L43" s="306"/>
      <c r="M43" s="306"/>
      <c r="N43" s="306"/>
      <c r="O43" s="306"/>
      <c r="P43" s="306"/>
      <c r="Q43" s="306"/>
      <c r="R43" s="306"/>
      <c r="S43" s="306"/>
    </row>
    <row r="44" spans="1:19" s="316" customFormat="1" ht="11.25">
      <c r="A44" s="304"/>
      <c r="B44" s="305"/>
      <c r="C44" s="306"/>
      <c r="D44" s="306"/>
      <c r="E44" s="330"/>
      <c r="F44" s="306"/>
      <c r="G44" s="306"/>
      <c r="H44" s="306"/>
      <c r="I44" s="306"/>
      <c r="J44" s="306"/>
      <c r="K44" s="306"/>
      <c r="L44" s="306"/>
      <c r="M44" s="306"/>
      <c r="N44" s="306"/>
      <c r="O44" s="306"/>
      <c r="P44" s="306"/>
      <c r="Q44" s="306"/>
      <c r="R44" s="306"/>
      <c r="S44" s="306"/>
    </row>
    <row r="45" spans="1:19" s="316" customFormat="1" ht="11.25">
      <c r="A45" s="304"/>
      <c r="B45" s="305"/>
      <c r="C45" s="306"/>
      <c r="D45" s="306"/>
      <c r="E45" s="330"/>
      <c r="F45" s="306"/>
      <c r="G45" s="306"/>
      <c r="H45" s="306"/>
      <c r="I45" s="306"/>
      <c r="J45" s="306"/>
      <c r="K45" s="306"/>
      <c r="L45" s="306"/>
      <c r="M45" s="306"/>
      <c r="N45" s="306"/>
      <c r="O45" s="306"/>
      <c r="P45" s="306"/>
      <c r="Q45" s="306"/>
      <c r="R45" s="306"/>
      <c r="S45" s="306"/>
    </row>
    <row r="46" spans="1:19" s="316" customFormat="1" ht="11.25">
      <c r="A46" s="304"/>
      <c r="B46" s="305"/>
      <c r="C46" s="306"/>
      <c r="D46" s="306"/>
      <c r="E46" s="330"/>
      <c r="F46" s="306"/>
      <c r="G46" s="306"/>
      <c r="H46" s="306"/>
      <c r="I46" s="306"/>
      <c r="J46" s="306"/>
      <c r="K46" s="306"/>
      <c r="L46" s="306"/>
      <c r="M46" s="306"/>
      <c r="N46" s="306"/>
      <c r="O46" s="306"/>
      <c r="P46" s="306"/>
      <c r="Q46" s="306"/>
      <c r="R46" s="306"/>
      <c r="S46" s="306"/>
    </row>
    <row r="47" spans="1:19" s="316" customFormat="1" ht="11.25">
      <c r="A47" s="304"/>
      <c r="B47" s="305"/>
      <c r="C47" s="306"/>
      <c r="D47" s="306"/>
      <c r="E47" s="330"/>
      <c r="F47" s="306"/>
      <c r="G47" s="306"/>
      <c r="H47" s="306"/>
      <c r="I47" s="306"/>
      <c r="J47" s="306"/>
      <c r="K47" s="306"/>
      <c r="L47" s="306"/>
      <c r="M47" s="306"/>
      <c r="N47" s="306"/>
      <c r="O47" s="306"/>
      <c r="P47" s="306"/>
      <c r="Q47" s="306"/>
      <c r="R47" s="306"/>
      <c r="S47" s="306"/>
    </row>
    <row r="48" spans="1:19" s="316" customFormat="1" ht="11.25">
      <c r="A48" s="304"/>
      <c r="B48" s="305"/>
      <c r="C48" s="306"/>
      <c r="D48" s="306"/>
      <c r="E48" s="330"/>
      <c r="F48" s="306"/>
      <c r="G48" s="306"/>
      <c r="H48" s="306"/>
      <c r="I48" s="306"/>
      <c r="J48" s="306"/>
      <c r="K48" s="306"/>
      <c r="L48" s="306"/>
      <c r="M48" s="306"/>
      <c r="N48" s="306"/>
      <c r="O48" s="306"/>
      <c r="P48" s="306"/>
      <c r="Q48" s="306"/>
      <c r="R48" s="306"/>
      <c r="S48" s="306"/>
    </row>
    <row r="49" spans="1:19" s="316" customFormat="1" ht="11.25">
      <c r="A49" s="304"/>
      <c r="B49" s="305"/>
      <c r="C49" s="306"/>
      <c r="D49" s="306"/>
      <c r="E49" s="330"/>
      <c r="F49" s="306"/>
      <c r="G49" s="306"/>
      <c r="H49" s="306"/>
      <c r="I49" s="306"/>
      <c r="J49" s="306"/>
      <c r="K49" s="306"/>
      <c r="L49" s="306"/>
      <c r="M49" s="306"/>
      <c r="N49" s="306"/>
      <c r="O49" s="306"/>
      <c r="P49" s="306"/>
      <c r="Q49" s="306"/>
      <c r="R49" s="306"/>
      <c r="S49" s="306"/>
    </row>
    <row r="50" spans="1:19" s="316" customFormat="1" ht="11.25">
      <c r="A50" s="304"/>
      <c r="B50" s="305"/>
      <c r="C50" s="306"/>
      <c r="D50" s="306"/>
      <c r="E50" s="330"/>
      <c r="F50" s="306"/>
      <c r="G50" s="306"/>
      <c r="H50" s="306"/>
      <c r="I50" s="306"/>
      <c r="J50" s="306"/>
      <c r="K50" s="306"/>
      <c r="L50" s="306"/>
      <c r="M50" s="306"/>
      <c r="N50" s="306"/>
      <c r="O50" s="306"/>
      <c r="P50" s="306"/>
      <c r="Q50" s="306"/>
      <c r="R50" s="306"/>
      <c r="S50" s="306"/>
    </row>
    <row r="51" spans="1:19" s="316" customFormat="1" ht="11.25">
      <c r="A51" s="304"/>
      <c r="B51" s="305"/>
      <c r="C51" s="306"/>
      <c r="D51" s="306"/>
      <c r="E51" s="330"/>
      <c r="F51" s="306"/>
      <c r="G51" s="306"/>
      <c r="H51" s="306"/>
      <c r="I51" s="306"/>
      <c r="J51" s="306"/>
      <c r="K51" s="306"/>
      <c r="L51" s="306"/>
      <c r="M51" s="306"/>
      <c r="N51" s="306"/>
      <c r="O51" s="306"/>
      <c r="P51" s="306"/>
      <c r="Q51" s="306"/>
      <c r="R51" s="306"/>
      <c r="S51" s="306"/>
    </row>
    <row r="52" spans="1:19" s="316" customFormat="1" ht="11.25">
      <c r="A52" s="304"/>
      <c r="B52" s="305"/>
      <c r="C52" s="306"/>
      <c r="D52" s="306"/>
      <c r="E52" s="330"/>
      <c r="F52" s="306"/>
      <c r="G52" s="306"/>
      <c r="H52" s="306"/>
      <c r="I52" s="306"/>
      <c r="J52" s="306"/>
      <c r="K52" s="306"/>
      <c r="L52" s="306"/>
      <c r="M52" s="306"/>
      <c r="N52" s="306"/>
      <c r="O52" s="306"/>
      <c r="P52" s="306"/>
      <c r="Q52" s="306"/>
      <c r="R52" s="306"/>
      <c r="S52" s="306"/>
    </row>
    <row r="53" spans="1:19" s="316" customFormat="1" ht="11.25">
      <c r="A53" s="304"/>
      <c r="B53" s="305"/>
      <c r="C53" s="306"/>
      <c r="D53" s="306"/>
      <c r="E53" s="330"/>
      <c r="F53" s="306"/>
      <c r="G53" s="306"/>
      <c r="H53" s="306"/>
      <c r="I53" s="306"/>
      <c r="J53" s="306"/>
      <c r="K53" s="306"/>
      <c r="L53" s="306"/>
      <c r="M53" s="306"/>
      <c r="N53" s="306"/>
      <c r="O53" s="306"/>
      <c r="P53" s="306"/>
      <c r="Q53" s="306"/>
      <c r="R53" s="306"/>
      <c r="S53" s="306"/>
    </row>
    <row r="54" spans="1:19" s="316" customFormat="1" ht="11.25">
      <c r="A54" s="304"/>
      <c r="B54" s="305"/>
      <c r="C54" s="306"/>
      <c r="D54" s="306"/>
      <c r="E54" s="330"/>
      <c r="F54" s="306"/>
      <c r="G54" s="306"/>
      <c r="H54" s="306"/>
      <c r="I54" s="306"/>
      <c r="J54" s="306"/>
      <c r="K54" s="306"/>
      <c r="L54" s="306"/>
      <c r="M54" s="306"/>
      <c r="N54" s="306"/>
      <c r="O54" s="306"/>
      <c r="P54" s="306"/>
      <c r="Q54" s="306"/>
      <c r="R54" s="306"/>
      <c r="S54" s="306"/>
    </row>
    <row r="55" spans="1:19" s="316" customFormat="1" ht="11.25">
      <c r="A55" s="304"/>
      <c r="B55" s="305"/>
      <c r="C55" s="306"/>
      <c r="D55" s="306"/>
      <c r="E55" s="330"/>
      <c r="F55" s="306"/>
      <c r="G55" s="306"/>
      <c r="H55" s="306"/>
      <c r="I55" s="306"/>
      <c r="J55" s="306"/>
      <c r="K55" s="306"/>
      <c r="L55" s="306"/>
      <c r="M55" s="306"/>
      <c r="N55" s="306"/>
      <c r="O55" s="306"/>
      <c r="P55" s="306"/>
      <c r="Q55" s="306"/>
      <c r="R55" s="306"/>
      <c r="S55" s="306"/>
    </row>
    <row r="56" spans="1:19" s="316" customFormat="1" ht="11.25">
      <c r="A56" s="304"/>
      <c r="B56" s="305"/>
      <c r="C56" s="306"/>
      <c r="D56" s="306"/>
      <c r="E56" s="330"/>
      <c r="F56" s="306"/>
      <c r="G56" s="306"/>
      <c r="H56" s="306"/>
      <c r="I56" s="306"/>
      <c r="J56" s="306"/>
      <c r="K56" s="306"/>
      <c r="L56" s="306"/>
      <c r="M56" s="306"/>
      <c r="N56" s="306"/>
      <c r="O56" s="306"/>
      <c r="P56" s="306"/>
      <c r="Q56" s="306"/>
      <c r="R56" s="306"/>
      <c r="S56" s="306"/>
    </row>
    <row r="57" spans="1:19" s="316" customFormat="1" ht="11.25">
      <c r="A57" s="304"/>
      <c r="B57" s="305"/>
      <c r="C57" s="306"/>
      <c r="D57" s="306"/>
      <c r="E57" s="330"/>
      <c r="F57" s="306"/>
      <c r="G57" s="306"/>
      <c r="H57" s="306"/>
      <c r="I57" s="306"/>
      <c r="J57" s="306"/>
      <c r="K57" s="306"/>
      <c r="L57" s="306"/>
      <c r="M57" s="306"/>
      <c r="N57" s="306"/>
      <c r="O57" s="306"/>
      <c r="P57" s="306"/>
      <c r="Q57" s="306"/>
      <c r="R57" s="306"/>
      <c r="S57" s="306"/>
    </row>
    <row r="58" spans="1:19" s="316" customFormat="1" ht="11.25">
      <c r="A58" s="304"/>
      <c r="B58" s="305"/>
      <c r="C58" s="306"/>
      <c r="D58" s="306"/>
      <c r="E58" s="330"/>
      <c r="F58" s="306"/>
      <c r="G58" s="306"/>
      <c r="H58" s="306"/>
      <c r="I58" s="306"/>
      <c r="J58" s="306"/>
      <c r="K58" s="306"/>
      <c r="L58" s="306"/>
      <c r="M58" s="306"/>
      <c r="N58" s="306"/>
      <c r="O58" s="306"/>
      <c r="P58" s="306"/>
      <c r="Q58" s="306"/>
      <c r="R58" s="306"/>
      <c r="S58" s="306"/>
    </row>
    <row r="59" spans="1:19" s="316" customFormat="1" ht="11.25">
      <c r="A59" s="304"/>
      <c r="B59" s="305"/>
      <c r="C59" s="306"/>
      <c r="D59" s="306"/>
      <c r="E59" s="330"/>
      <c r="F59" s="306"/>
      <c r="G59" s="306"/>
      <c r="H59" s="306"/>
      <c r="I59" s="306"/>
      <c r="J59" s="306"/>
      <c r="K59" s="306"/>
      <c r="L59" s="306"/>
      <c r="M59" s="306"/>
      <c r="N59" s="306"/>
      <c r="O59" s="306"/>
      <c r="P59" s="306"/>
      <c r="Q59" s="306"/>
      <c r="R59" s="306"/>
      <c r="S59" s="306"/>
    </row>
    <row r="60" spans="1:19" s="316" customFormat="1" ht="11.25">
      <c r="A60" s="304"/>
      <c r="B60" s="305"/>
      <c r="C60" s="306"/>
      <c r="D60" s="306"/>
      <c r="E60" s="330"/>
      <c r="F60" s="306"/>
      <c r="G60" s="306"/>
      <c r="H60" s="306"/>
      <c r="I60" s="306"/>
      <c r="J60" s="306"/>
      <c r="K60" s="306"/>
      <c r="L60" s="306"/>
      <c r="M60" s="306"/>
      <c r="N60" s="306"/>
      <c r="O60" s="306"/>
      <c r="P60" s="306"/>
      <c r="Q60" s="306"/>
      <c r="R60" s="306"/>
      <c r="S60" s="306"/>
    </row>
    <row r="61" spans="1:19" s="316" customFormat="1" ht="11.25">
      <c r="A61" s="304"/>
      <c r="B61" s="305"/>
      <c r="C61" s="306"/>
      <c r="D61" s="306"/>
      <c r="E61" s="330"/>
      <c r="F61" s="306"/>
      <c r="G61" s="306"/>
      <c r="H61" s="306"/>
      <c r="I61" s="306"/>
      <c r="J61" s="306"/>
      <c r="K61" s="306"/>
      <c r="L61" s="306"/>
      <c r="M61" s="306"/>
      <c r="N61" s="306"/>
      <c r="O61" s="306"/>
      <c r="P61" s="306"/>
      <c r="Q61" s="306"/>
      <c r="R61" s="306"/>
      <c r="S61" s="306"/>
    </row>
    <row r="62" spans="1:19" s="316" customFormat="1" ht="11.25">
      <c r="A62" s="304"/>
      <c r="B62" s="305"/>
      <c r="C62" s="306"/>
      <c r="D62" s="306"/>
      <c r="E62" s="330"/>
      <c r="F62" s="306"/>
      <c r="G62" s="306"/>
      <c r="H62" s="306"/>
      <c r="I62" s="306"/>
      <c r="J62" s="306"/>
      <c r="K62" s="306"/>
      <c r="L62" s="306"/>
      <c r="M62" s="306"/>
      <c r="N62" s="306"/>
      <c r="O62" s="306"/>
      <c r="P62" s="306"/>
      <c r="Q62" s="306"/>
      <c r="R62" s="306"/>
      <c r="S62" s="306"/>
    </row>
    <row r="63" spans="1:19" s="316" customFormat="1" ht="11.25">
      <c r="A63" s="304"/>
      <c r="B63" s="305"/>
      <c r="C63" s="306"/>
      <c r="D63" s="306"/>
      <c r="E63" s="330"/>
      <c r="F63" s="306"/>
      <c r="G63" s="306"/>
      <c r="H63" s="306"/>
      <c r="I63" s="306"/>
      <c r="J63" s="306"/>
      <c r="K63" s="306"/>
      <c r="L63" s="306"/>
      <c r="M63" s="306"/>
      <c r="N63" s="306"/>
      <c r="O63" s="306"/>
      <c r="P63" s="306"/>
      <c r="Q63" s="306"/>
      <c r="R63" s="306"/>
      <c r="S63" s="306"/>
    </row>
    <row r="64" spans="1:19" s="316" customFormat="1" ht="11.25">
      <c r="A64" s="304"/>
      <c r="B64" s="305"/>
      <c r="C64" s="306"/>
      <c r="D64" s="306"/>
      <c r="E64" s="330"/>
      <c r="F64" s="306"/>
      <c r="G64" s="306"/>
      <c r="H64" s="306"/>
      <c r="I64" s="306"/>
      <c r="J64" s="306"/>
      <c r="K64" s="306"/>
      <c r="L64" s="306"/>
      <c r="M64" s="306"/>
      <c r="N64" s="306"/>
      <c r="O64" s="306"/>
      <c r="P64" s="306"/>
      <c r="Q64" s="306"/>
      <c r="R64" s="306"/>
      <c r="S64" s="306"/>
    </row>
    <row r="65" spans="1:19" s="316" customFormat="1" ht="11.25">
      <c r="A65" s="304"/>
      <c r="B65" s="305"/>
      <c r="C65" s="306"/>
      <c r="D65" s="306"/>
      <c r="E65" s="330"/>
      <c r="F65" s="306"/>
      <c r="G65" s="306"/>
      <c r="H65" s="306"/>
      <c r="I65" s="306"/>
      <c r="J65" s="306"/>
      <c r="K65" s="306"/>
      <c r="L65" s="306"/>
      <c r="M65" s="306"/>
      <c r="N65" s="306"/>
      <c r="O65" s="306"/>
      <c r="P65" s="306"/>
      <c r="Q65" s="306"/>
      <c r="R65" s="306"/>
      <c r="S65" s="306"/>
    </row>
  </sheetData>
  <mergeCells count="1">
    <mergeCell ref="D2:E2"/>
  </mergeCells>
  <conditionalFormatting sqref="F3:T24">
    <cfRule type="colorScale" priority="1">
      <colorScale>
        <cfvo type="min" val="0"/>
        <cfvo type="percentile" val="50"/>
        <cfvo type="max" val="0"/>
        <color rgb="FFF8696B"/>
        <color rgb="FFFFEB84"/>
        <color rgb="FF63BE7B"/>
      </colorScale>
    </cfRule>
  </conditionalFormatting>
  <hyperlinks>
    <hyperlink ref="A1" location="'Table of Contents'!A1" display="Table of Contents"/>
    <hyperlink ref="E1" location="'Partner Survey - All Teams'!A1" display="Partner Survey - All Teams"/>
    <hyperlink ref="G1" location="'Business Survey - All Teams'!A1" display="Business Survey - All Teams"/>
    <hyperlink ref="K1" location="'Survey Mapping'!A1" display="Survey Mapping"/>
  </hyperlinks>
  <printOptions gridLines="1"/>
  <pageMargins left="0.25" right="0.25" top="0.75" bottom="0.75" header="0.3" footer="0.3"/>
  <pageSetup paperSize="5" scale="99" orientation="landscape" r:id="rId1"/>
  <headerFooter>
    <oddFooter>&amp;L&amp;5&amp;Z&amp;F
Created: 9/29/2006 10:44:00 PM
Last Saved: 2/22/2008 9:07:29 AM
Last Printed: 2/22/2008 9:10:13 AM&amp;R&amp;5&amp;P - &amp;N
Title :&lt;Not Set&gt;
Subject: &lt;Not Set&gt;</oddFooter>
  </headerFooter>
  <rowBreaks count="1" manualBreakCount="1">
    <brk id="24" max="16383" man="1"/>
  </rowBreaks>
</worksheet>
</file>

<file path=xl/worksheets/sheet11.xml><?xml version="1.0" encoding="utf-8"?>
<worksheet xmlns="http://schemas.openxmlformats.org/spreadsheetml/2006/main" xmlns:r="http://schemas.openxmlformats.org/officeDocument/2006/relationships">
  <sheetPr codeName="Sheet9"/>
  <dimension ref="A1:E39"/>
  <sheetViews>
    <sheetView workbookViewId="0"/>
  </sheetViews>
  <sheetFormatPr defaultRowHeight="12.75"/>
  <cols>
    <col min="1" max="1" width="23.42578125" style="207" customWidth="1"/>
    <col min="2" max="2" width="30.7109375" bestFit="1" customWidth="1"/>
    <col min="3" max="3" width="10" style="204" customWidth="1"/>
    <col min="4" max="4" width="17.42578125" bestFit="1" customWidth="1"/>
  </cols>
  <sheetData>
    <row r="1" spans="1:5">
      <c r="A1" s="208" t="s">
        <v>29</v>
      </c>
    </row>
    <row r="3" spans="1:5">
      <c r="C3" s="204" t="s">
        <v>359</v>
      </c>
    </row>
    <row r="4" spans="1:5">
      <c r="A4" s="206" t="s">
        <v>325</v>
      </c>
      <c r="B4" s="89" t="s">
        <v>333</v>
      </c>
      <c r="C4" s="89"/>
      <c r="D4" s="89" t="s">
        <v>43</v>
      </c>
      <c r="E4">
        <v>4484</v>
      </c>
    </row>
    <row r="5" spans="1:5">
      <c r="A5" s="206" t="s">
        <v>243</v>
      </c>
      <c r="B5" s="89" t="s">
        <v>23</v>
      </c>
      <c r="C5" s="89"/>
      <c r="D5" s="89" t="s">
        <v>40</v>
      </c>
      <c r="E5">
        <v>7673</v>
      </c>
    </row>
    <row r="6" spans="1:5" s="204" customFormat="1">
      <c r="A6" s="207">
        <v>3867</v>
      </c>
      <c r="B6" s="89" t="s">
        <v>334</v>
      </c>
      <c r="C6" s="89"/>
      <c r="D6" s="89" t="s">
        <v>48</v>
      </c>
      <c r="E6" s="204">
        <v>3373</v>
      </c>
    </row>
    <row r="7" spans="1:5" s="204" customFormat="1">
      <c r="A7" s="207"/>
      <c r="B7" s="89" t="s">
        <v>335</v>
      </c>
      <c r="C7" s="89"/>
      <c r="D7" s="89" t="s">
        <v>47</v>
      </c>
      <c r="E7" s="204">
        <v>8681</v>
      </c>
    </row>
    <row r="8" spans="1:5" s="204" customFormat="1">
      <c r="A8" s="207"/>
      <c r="B8" s="89" t="s">
        <v>336</v>
      </c>
      <c r="C8" s="89"/>
      <c r="D8" s="89" t="s">
        <v>31</v>
      </c>
      <c r="E8" s="204">
        <v>8752</v>
      </c>
    </row>
    <row r="9" spans="1:5" s="204" customFormat="1">
      <c r="A9" s="207"/>
    </row>
    <row r="10" spans="1:5" s="204" customFormat="1">
      <c r="A10" s="207"/>
    </row>
    <row r="11" spans="1:5">
      <c r="A11" s="206" t="s">
        <v>18</v>
      </c>
      <c r="B11" s="89" t="s">
        <v>331</v>
      </c>
      <c r="C11" s="89"/>
      <c r="D11" s="205" t="s">
        <v>44</v>
      </c>
      <c r="E11">
        <v>6510</v>
      </c>
    </row>
    <row r="12" spans="1:5">
      <c r="A12" s="206" t="s">
        <v>330</v>
      </c>
      <c r="B12" s="89" t="s">
        <v>332</v>
      </c>
      <c r="C12" s="89"/>
      <c r="D12" s="205" t="s">
        <v>326</v>
      </c>
    </row>
    <row r="13" spans="1:5" s="204" customFormat="1">
      <c r="A13" s="207">
        <v>7402</v>
      </c>
      <c r="B13" s="89" t="s">
        <v>10</v>
      </c>
      <c r="C13" s="89"/>
      <c r="D13" s="205" t="s">
        <v>327</v>
      </c>
    </row>
    <row r="14" spans="1:5" s="204" customFormat="1">
      <c r="A14" s="207"/>
      <c r="B14" s="89" t="s">
        <v>10</v>
      </c>
      <c r="C14" s="89"/>
      <c r="D14" s="205" t="s">
        <v>328</v>
      </c>
    </row>
    <row r="15" spans="1:5" s="204" customFormat="1">
      <c r="A15" s="207"/>
      <c r="B15" s="89" t="s">
        <v>10</v>
      </c>
      <c r="C15" s="89"/>
      <c r="D15" s="205" t="s">
        <v>329</v>
      </c>
    </row>
    <row r="16" spans="1:5" s="204" customFormat="1">
      <c r="A16" s="207"/>
      <c r="D16" s="205"/>
    </row>
    <row r="17" spans="1:5" s="204" customFormat="1">
      <c r="A17" s="207"/>
      <c r="D17" s="205"/>
    </row>
    <row r="18" spans="1:5">
      <c r="A18" s="206" t="s">
        <v>42</v>
      </c>
    </row>
    <row r="19" spans="1:5">
      <c r="A19" s="206" t="s">
        <v>249</v>
      </c>
      <c r="B19" s="205" t="s">
        <v>337</v>
      </c>
      <c r="C19" s="205"/>
    </row>
    <row r="20" spans="1:5" s="204" customFormat="1">
      <c r="A20" s="207">
        <v>3624</v>
      </c>
      <c r="B20" s="205" t="s">
        <v>338</v>
      </c>
      <c r="C20" s="205"/>
    </row>
    <row r="21" spans="1:5" s="204" customFormat="1">
      <c r="A21" s="207"/>
      <c r="B21" s="205" t="s">
        <v>84</v>
      </c>
      <c r="C21" s="205"/>
      <c r="D21" s="89" t="s">
        <v>341</v>
      </c>
    </row>
    <row r="22" spans="1:5" s="204" customFormat="1">
      <c r="A22" s="207"/>
      <c r="B22" s="205" t="s">
        <v>339</v>
      </c>
      <c r="C22" s="205"/>
      <c r="D22" s="89" t="s">
        <v>340</v>
      </c>
      <c r="E22" s="204">
        <v>6785</v>
      </c>
    </row>
    <row r="23" spans="1:5" s="204" customFormat="1">
      <c r="A23" s="207"/>
    </row>
    <row r="24" spans="1:5" s="204" customFormat="1">
      <c r="A24" s="207"/>
    </row>
    <row r="25" spans="1:5">
      <c r="A25" s="206" t="s">
        <v>82</v>
      </c>
      <c r="B25" s="205" t="s">
        <v>344</v>
      </c>
      <c r="C25" s="205"/>
      <c r="D25" s="89" t="s">
        <v>343</v>
      </c>
    </row>
    <row r="26" spans="1:5">
      <c r="A26" s="206" t="s">
        <v>342</v>
      </c>
      <c r="B26" s="205" t="s">
        <v>25</v>
      </c>
      <c r="C26" s="205"/>
      <c r="D26" s="89" t="s">
        <v>45</v>
      </c>
    </row>
    <row r="27" spans="1:5" s="204" customFormat="1">
      <c r="A27" s="207">
        <v>8868</v>
      </c>
      <c r="B27" s="205" t="s">
        <v>346</v>
      </c>
      <c r="C27" s="205"/>
      <c r="D27" s="89" t="s">
        <v>345</v>
      </c>
    </row>
    <row r="28" spans="1:5" s="204" customFormat="1">
      <c r="A28" s="207"/>
      <c r="B28" s="205" t="s">
        <v>348</v>
      </c>
      <c r="C28" s="205"/>
      <c r="D28" s="89" t="s">
        <v>347</v>
      </c>
    </row>
    <row r="29" spans="1:5" s="204" customFormat="1">
      <c r="A29" s="207"/>
      <c r="B29" s="205" t="s">
        <v>350</v>
      </c>
      <c r="C29" s="205"/>
      <c r="D29" s="89" t="s">
        <v>349</v>
      </c>
    </row>
    <row r="30" spans="1:5" s="204" customFormat="1">
      <c r="A30" s="207"/>
      <c r="B30" s="205" t="s">
        <v>352</v>
      </c>
      <c r="C30" s="205"/>
      <c r="D30" s="89" t="s">
        <v>351</v>
      </c>
      <c r="E30" s="204">
        <v>8858</v>
      </c>
    </row>
    <row r="31" spans="1:5" s="204" customFormat="1">
      <c r="A31" s="207"/>
      <c r="B31" s="205"/>
      <c r="C31" s="205"/>
      <c r="D31" s="89"/>
    </row>
    <row r="32" spans="1:5" s="204" customFormat="1">
      <c r="A32" s="207"/>
    </row>
    <row r="33" spans="1:5">
      <c r="A33" s="206" t="s">
        <v>300</v>
      </c>
      <c r="B33" s="205" t="s">
        <v>353</v>
      </c>
      <c r="C33" s="205"/>
    </row>
    <row r="34" spans="1:5">
      <c r="A34" s="206" t="s">
        <v>353</v>
      </c>
    </row>
    <row r="35" spans="1:5" s="204" customFormat="1">
      <c r="A35" s="207">
        <v>3708</v>
      </c>
    </row>
    <row r="36" spans="1:5" s="204" customFormat="1">
      <c r="A36" s="207"/>
    </row>
    <row r="37" spans="1:5">
      <c r="A37" s="206" t="s">
        <v>50</v>
      </c>
      <c r="B37" s="89" t="s">
        <v>354</v>
      </c>
      <c r="C37" s="89"/>
      <c r="D37" s="89" t="s">
        <v>49</v>
      </c>
      <c r="E37">
        <v>4823</v>
      </c>
    </row>
    <row r="38" spans="1:5" s="204" customFormat="1">
      <c r="A38" s="206" t="s">
        <v>7</v>
      </c>
      <c r="B38" s="89" t="s">
        <v>355</v>
      </c>
      <c r="C38" s="89"/>
      <c r="D38" s="89" t="s">
        <v>356</v>
      </c>
      <c r="E38" s="204">
        <v>4008</v>
      </c>
    </row>
    <row r="39" spans="1:5">
      <c r="A39" s="207">
        <v>5004</v>
      </c>
      <c r="B39" s="89" t="s">
        <v>358</v>
      </c>
      <c r="C39" s="89"/>
      <c r="D39" s="89" t="s">
        <v>357</v>
      </c>
      <c r="E39">
        <v>7187</v>
      </c>
    </row>
  </sheetData>
  <sheetProtection sheet="1" objects="1" scenarios="1"/>
  <hyperlinks>
    <hyperlink ref="A1" location="'Table of Contents'!A1" display="Table of Contents"/>
  </hyperlinks>
  <printOptions gridLines="1"/>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worksheet>
</file>

<file path=xl/worksheets/sheet12.xml><?xml version="1.0" encoding="utf-8"?>
<worksheet xmlns="http://schemas.openxmlformats.org/spreadsheetml/2006/main" xmlns:r="http://schemas.openxmlformats.org/officeDocument/2006/relationships">
  <sheetPr codeName="Sheet6"/>
  <dimension ref="A1:E91"/>
  <sheetViews>
    <sheetView topLeftCell="A37" workbookViewId="0"/>
  </sheetViews>
  <sheetFormatPr defaultRowHeight="12.75"/>
  <cols>
    <col min="1" max="1" width="27" bestFit="1" customWidth="1"/>
    <col min="2" max="2" width="35.5703125" bestFit="1" customWidth="1"/>
    <col min="3" max="3" width="22.5703125" customWidth="1"/>
    <col min="4" max="4" width="15.28515625" style="3" customWidth="1"/>
    <col min="5" max="5" width="10.7109375" style="3" customWidth="1"/>
  </cols>
  <sheetData>
    <row r="1" spans="1:5">
      <c r="A1" s="5" t="s">
        <v>29</v>
      </c>
    </row>
    <row r="3" spans="1:5" s="204" customFormat="1">
      <c r="C3"/>
      <c r="D3" s="3"/>
      <c r="E3" s="3"/>
    </row>
    <row r="4" spans="1:5" s="204" customFormat="1">
      <c r="A4" s="89" t="s">
        <v>996</v>
      </c>
      <c r="B4" s="577" t="s">
        <v>998</v>
      </c>
      <c r="C4"/>
      <c r="D4" s="3"/>
      <c r="E4" s="3"/>
    </row>
    <row r="5" spans="1:5" s="204" customFormat="1">
      <c r="A5" s="89" t="s">
        <v>997</v>
      </c>
      <c r="B5" s="577" t="s">
        <v>999</v>
      </c>
      <c r="C5"/>
      <c r="D5" s="3"/>
      <c r="E5" s="3"/>
    </row>
    <row r="6" spans="1:5" s="204" customFormat="1">
      <c r="C6"/>
      <c r="D6" s="3"/>
      <c r="E6" s="3"/>
    </row>
    <row r="7" spans="1:5">
      <c r="A7" t="s">
        <v>64</v>
      </c>
      <c r="B7" s="89" t="s">
        <v>524</v>
      </c>
      <c r="C7" s="522">
        <v>1</v>
      </c>
      <c r="D7" s="3" t="str">
        <f ca="1">LOOKUP(C7,INDIRECT(Team_Name_Lookup))</f>
        <v>eBusiness</v>
      </c>
    </row>
    <row r="8" spans="1:5">
      <c r="A8" t="s">
        <v>32</v>
      </c>
      <c r="B8" t="s">
        <v>61</v>
      </c>
    </row>
    <row r="9" spans="1:5">
      <c r="A9" t="s">
        <v>41</v>
      </c>
      <c r="B9" t="s">
        <v>62</v>
      </c>
    </row>
    <row r="10" spans="1:5">
      <c r="A10" t="s">
        <v>58</v>
      </c>
      <c r="B10" t="s">
        <v>63</v>
      </c>
    </row>
    <row r="11" spans="1:5">
      <c r="A11" t="s">
        <v>59</v>
      </c>
      <c r="B11" t="s">
        <v>33</v>
      </c>
    </row>
    <row r="12" spans="1:5">
      <c r="A12" t="s">
        <v>60</v>
      </c>
      <c r="B12" t="s">
        <v>22</v>
      </c>
    </row>
    <row r="13" spans="1:5">
      <c r="A13" t="s">
        <v>46</v>
      </c>
    </row>
    <row r="14" spans="1:5">
      <c r="A14" t="s">
        <v>65</v>
      </c>
      <c r="B14" s="89" t="s">
        <v>972</v>
      </c>
      <c r="C14" s="522" t="s">
        <v>24</v>
      </c>
      <c r="D14" s="3" t="str">
        <f ca="1">LOOKUP(C14,INDIRECT(Team_Manager_Lookup))</f>
        <v>Jeff Cranney</v>
      </c>
    </row>
    <row r="19" spans="1:2">
      <c r="A19" t="s">
        <v>16</v>
      </c>
    </row>
    <row r="20" spans="1:2">
      <c r="A20" t="s">
        <v>1</v>
      </c>
      <c r="B20">
        <v>1</v>
      </c>
    </row>
    <row r="21" spans="1:2">
      <c r="A21" t="s">
        <v>2</v>
      </c>
      <c r="B21">
        <v>2</v>
      </c>
    </row>
    <row r="22" spans="1:2">
      <c r="A22" t="s">
        <v>3</v>
      </c>
      <c r="B22">
        <v>3</v>
      </c>
    </row>
    <row r="23" spans="1:2">
      <c r="A23" t="s">
        <v>4</v>
      </c>
      <c r="B23">
        <v>4</v>
      </c>
    </row>
    <row r="24" spans="1:2">
      <c r="A24" t="s">
        <v>5</v>
      </c>
      <c r="B24">
        <v>5</v>
      </c>
    </row>
    <row r="25" spans="1:2">
      <c r="A25" t="s">
        <v>6</v>
      </c>
      <c r="B25">
        <v>6</v>
      </c>
    </row>
    <row r="26" spans="1:2">
      <c r="A26" t="s">
        <v>19</v>
      </c>
      <c r="B26">
        <v>0</v>
      </c>
    </row>
    <row r="28" spans="1:2">
      <c r="A28" t="s">
        <v>17</v>
      </c>
    </row>
    <row r="29" spans="1:2">
      <c r="A29" t="s">
        <v>15</v>
      </c>
      <c r="B29">
        <v>1</v>
      </c>
    </row>
    <row r="30" spans="1:2">
      <c r="A30" t="s">
        <v>26</v>
      </c>
      <c r="B30">
        <v>2</v>
      </c>
    </row>
    <row r="32" spans="1:2">
      <c r="A32" s="89" t="s">
        <v>988</v>
      </c>
      <c r="B32" s="568" t="s">
        <v>992</v>
      </c>
    </row>
    <row r="33" spans="1:2">
      <c r="A33" s="89" t="s">
        <v>989</v>
      </c>
      <c r="B33" s="568" t="s">
        <v>993</v>
      </c>
    </row>
    <row r="34" spans="1:2">
      <c r="A34" s="89" t="s">
        <v>990</v>
      </c>
      <c r="B34" s="568" t="s">
        <v>994</v>
      </c>
    </row>
    <row r="35" spans="1:2">
      <c r="A35" s="89" t="s">
        <v>991</v>
      </c>
      <c r="B35" s="568" t="s">
        <v>995</v>
      </c>
    </row>
    <row r="42" spans="1:2" ht="13.5" thickBot="1">
      <c r="A42" s="287" t="s">
        <v>28</v>
      </c>
      <c r="B42" s="288" t="s">
        <v>1000</v>
      </c>
    </row>
    <row r="43" spans="1:2" ht="13.5" thickTop="1">
      <c r="A43" s="569" t="s">
        <v>56</v>
      </c>
      <c r="B43" s="570">
        <v>6</v>
      </c>
    </row>
    <row r="44" spans="1:2">
      <c r="A44" s="571" t="s">
        <v>23</v>
      </c>
      <c r="B44" s="572">
        <v>8</v>
      </c>
    </row>
    <row r="45" spans="1:2">
      <c r="A45" s="571" t="s">
        <v>24</v>
      </c>
      <c r="B45" s="572">
        <v>9</v>
      </c>
    </row>
    <row r="46" spans="1:2">
      <c r="A46" s="571" t="s">
        <v>336</v>
      </c>
      <c r="B46" s="572"/>
    </row>
    <row r="47" spans="1:2">
      <c r="A47" s="573" t="s">
        <v>365</v>
      </c>
      <c r="B47" s="572">
        <v>11</v>
      </c>
    </row>
    <row r="48" spans="1:2">
      <c r="A48" s="571" t="s">
        <v>536</v>
      </c>
      <c r="B48" s="572">
        <v>9</v>
      </c>
    </row>
    <row r="49" spans="1:5">
      <c r="A49" s="571" t="s">
        <v>335</v>
      </c>
      <c r="B49" s="572">
        <v>19</v>
      </c>
    </row>
    <row r="50" spans="1:5">
      <c r="A50" s="571" t="s">
        <v>12</v>
      </c>
      <c r="B50" s="572">
        <v>15</v>
      </c>
    </row>
    <row r="51" spans="1:5">
      <c r="A51" s="571" t="s">
        <v>333</v>
      </c>
      <c r="B51" s="572">
        <v>16</v>
      </c>
    </row>
    <row r="52" spans="1:5">
      <c r="A52" s="571" t="s">
        <v>334</v>
      </c>
      <c r="B52" s="572">
        <v>18</v>
      </c>
    </row>
    <row r="53" spans="1:5">
      <c r="A53" s="571" t="s">
        <v>10</v>
      </c>
      <c r="B53" s="572">
        <v>16</v>
      </c>
    </row>
    <row r="54" spans="1:5">
      <c r="A54" s="571" t="s">
        <v>331</v>
      </c>
      <c r="B54" s="572">
        <v>13</v>
      </c>
    </row>
    <row r="55" spans="1:5">
      <c r="A55" s="571" t="s">
        <v>353</v>
      </c>
      <c r="B55" s="572">
        <v>17</v>
      </c>
    </row>
    <row r="56" spans="1:5">
      <c r="A56" s="571" t="s">
        <v>361</v>
      </c>
      <c r="B56" s="572">
        <v>14</v>
      </c>
    </row>
    <row r="57" spans="1:5">
      <c r="A57" s="571" t="s">
        <v>363</v>
      </c>
      <c r="B57" s="572">
        <v>7</v>
      </c>
    </row>
    <row r="58" spans="1:5">
      <c r="A58" s="574"/>
      <c r="B58" s="572"/>
    </row>
    <row r="59" spans="1:5">
      <c r="A59" s="574"/>
      <c r="B59" s="572"/>
    </row>
    <row r="60" spans="1:5">
      <c r="A60" s="574"/>
      <c r="B60" s="572"/>
    </row>
    <row r="61" spans="1:5">
      <c r="A61" s="574"/>
      <c r="B61" s="572"/>
    </row>
    <row r="62" spans="1:5">
      <c r="A62" s="574"/>
      <c r="B62" s="572"/>
    </row>
    <row r="63" spans="1:5" ht="13.5" thickBot="1">
      <c r="A63" s="575"/>
      <c r="B63" s="576"/>
    </row>
    <row r="64" spans="1:5" s="521" customFormat="1" ht="13.5" thickTop="1">
      <c r="A64" s="136"/>
      <c r="B64" s="578"/>
      <c r="D64" s="3"/>
      <c r="E64" s="3"/>
    </row>
    <row r="65" spans="1:5" s="521" customFormat="1">
      <c r="A65" s="136"/>
      <c r="B65" s="578"/>
      <c r="D65" s="3"/>
      <c r="E65" s="3"/>
    </row>
    <row r="66" spans="1:5" s="521" customFormat="1">
      <c r="A66" s="136"/>
      <c r="B66" s="578"/>
      <c r="D66" s="3"/>
      <c r="E66" s="3"/>
    </row>
    <row r="67" spans="1:5" s="521" customFormat="1">
      <c r="A67" s="136"/>
      <c r="B67" s="578"/>
      <c r="D67" s="3"/>
      <c r="E67" s="3"/>
    </row>
    <row r="69" spans="1:5" ht="13.5" thickBot="1">
      <c r="A69" s="287" t="s">
        <v>28</v>
      </c>
      <c r="B69" s="288" t="s">
        <v>1000</v>
      </c>
    </row>
    <row r="70" spans="1:5" ht="13.5" thickTop="1">
      <c r="A70" s="569" t="s">
        <v>56</v>
      </c>
      <c r="B70" s="570" t="s">
        <v>1001</v>
      </c>
    </row>
    <row r="71" spans="1:5">
      <c r="A71" s="571" t="s">
        <v>23</v>
      </c>
      <c r="B71" s="572" t="s">
        <v>1002</v>
      </c>
    </row>
    <row r="72" spans="1:5">
      <c r="A72" s="571" t="s">
        <v>24</v>
      </c>
      <c r="B72" s="572" t="s">
        <v>1011</v>
      </c>
    </row>
    <row r="73" spans="1:5">
      <c r="A73" s="571" t="s">
        <v>336</v>
      </c>
      <c r="B73" s="572" t="s">
        <v>1003</v>
      </c>
    </row>
    <row r="74" spans="1:5">
      <c r="A74" s="573" t="s">
        <v>365</v>
      </c>
      <c r="B74" s="572" t="s">
        <v>1012</v>
      </c>
    </row>
    <row r="75" spans="1:5">
      <c r="A75" s="571" t="s">
        <v>536</v>
      </c>
      <c r="B75" s="572" t="s">
        <v>1011</v>
      </c>
    </row>
    <row r="76" spans="1:5">
      <c r="A76" s="571" t="s">
        <v>335</v>
      </c>
      <c r="B76" s="572" t="s">
        <v>1004</v>
      </c>
    </row>
    <row r="77" spans="1:5">
      <c r="A77" s="571" t="s">
        <v>12</v>
      </c>
      <c r="B77" s="572" t="s">
        <v>1013</v>
      </c>
    </row>
    <row r="78" spans="1:5">
      <c r="A78" s="571" t="s">
        <v>333</v>
      </c>
      <c r="B78" s="572" t="s">
        <v>1026</v>
      </c>
    </row>
    <row r="79" spans="1:5">
      <c r="A79" s="571" t="s">
        <v>334</v>
      </c>
      <c r="B79" s="572" t="s">
        <v>1005</v>
      </c>
    </row>
    <row r="80" spans="1:5">
      <c r="A80" s="571" t="s">
        <v>10</v>
      </c>
      <c r="B80" s="572" t="s">
        <v>1006</v>
      </c>
    </row>
    <row r="81" spans="1:2">
      <c r="A81" s="571" t="s">
        <v>331</v>
      </c>
      <c r="B81" s="572" t="s">
        <v>1007</v>
      </c>
    </row>
    <row r="82" spans="1:2">
      <c r="A82" s="571" t="s">
        <v>353</v>
      </c>
      <c r="B82" s="572" t="s">
        <v>1009</v>
      </c>
    </row>
    <row r="83" spans="1:2">
      <c r="A83" s="571" t="s">
        <v>361</v>
      </c>
      <c r="B83" s="572" t="s">
        <v>1008</v>
      </c>
    </row>
    <row r="84" spans="1:2">
      <c r="A84" s="571" t="s">
        <v>363</v>
      </c>
      <c r="B84" s="572" t="s">
        <v>1010</v>
      </c>
    </row>
    <row r="85" spans="1:2">
      <c r="A85" s="574"/>
      <c r="B85" s="572"/>
    </row>
    <row r="86" spans="1:2">
      <c r="A86" s="574"/>
      <c r="B86" s="572"/>
    </row>
    <row r="87" spans="1:2">
      <c r="A87" s="574"/>
      <c r="B87" s="572"/>
    </row>
    <row r="88" spans="1:2">
      <c r="A88" s="574"/>
      <c r="B88" s="572"/>
    </row>
    <row r="89" spans="1:2">
      <c r="A89" s="574"/>
      <c r="B89" s="572"/>
    </row>
    <row r="90" spans="1:2" ht="13.5" thickBot="1">
      <c r="A90" s="575"/>
      <c r="B90" s="576"/>
    </row>
    <row r="91" spans="1:2" ht="13.5" thickTop="1"/>
  </sheetData>
  <phoneticPr fontId="2" type="noConversion"/>
  <hyperlinks>
    <hyperlink ref="A1" location="'Table of Contents'!A1" display="Table of Contents"/>
  </hyperlinks>
  <printOptions headings="1" gridLines="1"/>
  <pageMargins left="0.25" right="0.25" top="0.75" bottom="0.75" header="0.3" footer="0.3"/>
  <pageSetup orientation="landscape" r:id="rId1"/>
  <headerFooter alignWithMargins="0">
    <oddFooter>&amp;L&amp;5&amp;Z&amp;F
Created: 9/29/2006 10:44:00 PM
Last Saved: 2/22/2008 9:07:29 AM
Last Printed: 2/22/2008 9:10:13 AM&amp;R&amp;5&amp;P - &amp;N
Title :&lt;Not Set&gt;
Subject: &lt;Not Set&gt;</oddFooter>
  </headerFooter>
  <legacyDrawing r:id="rId2"/>
</worksheet>
</file>

<file path=xl/worksheets/sheet13.xml><?xml version="1.0" encoding="utf-8"?>
<worksheet xmlns="http://schemas.openxmlformats.org/spreadsheetml/2006/main" xmlns:r="http://schemas.openxmlformats.org/officeDocument/2006/relationships">
  <sheetPr codeName="Sheet7"/>
  <dimension ref="A1:I65"/>
  <sheetViews>
    <sheetView topLeftCell="A13" workbookViewId="0">
      <selection activeCell="A24" sqref="A24"/>
    </sheetView>
  </sheetViews>
  <sheetFormatPr defaultRowHeight="12.75"/>
  <cols>
    <col min="1" max="1" width="15.7109375" style="204" customWidth="1"/>
    <col min="2" max="2" width="24.7109375" style="204" customWidth="1"/>
    <col min="3" max="3" width="19" style="204" customWidth="1"/>
    <col min="4" max="4" width="12.140625" style="204" customWidth="1"/>
    <col min="5" max="5" width="22.5703125" style="204" customWidth="1"/>
    <col min="6" max="6" width="12.140625" style="204" customWidth="1"/>
    <col min="7" max="7" width="10" style="3" customWidth="1"/>
    <col min="8" max="8" width="9.5703125" style="3" customWidth="1"/>
    <col min="9" max="16384" width="9.140625" style="204"/>
  </cols>
  <sheetData>
    <row r="1" spans="1:9">
      <c r="A1" s="5" t="s">
        <v>29</v>
      </c>
    </row>
    <row r="3" spans="1:9" ht="15.75">
      <c r="A3" s="532" t="str">
        <f>Survey_Period</f>
        <v>2007 H1</v>
      </c>
      <c r="B3" s="89" t="s">
        <v>973</v>
      </c>
    </row>
    <row r="4" spans="1:9" s="1" customFormat="1" ht="26.25" thickBot="1">
      <c r="A4" s="6" t="s">
        <v>27</v>
      </c>
      <c r="B4" s="6" t="s">
        <v>28</v>
      </c>
      <c r="C4" s="523" t="s">
        <v>987</v>
      </c>
      <c r="D4" s="6" t="s">
        <v>14</v>
      </c>
      <c r="E4"/>
      <c r="F4"/>
      <c r="G4" s="3"/>
      <c r="H4" s="3"/>
    </row>
    <row r="5" spans="1:9" s="1" customFormat="1" ht="14.25" thickTop="1" thickBot="1">
      <c r="A5" s="1">
        <v>0</v>
      </c>
      <c r="B5" s="209" t="s">
        <v>56</v>
      </c>
      <c r="C5" s="538"/>
      <c r="D5" s="540">
        <v>117</v>
      </c>
      <c r="E5"/>
      <c r="F5"/>
      <c r="G5" s="3"/>
      <c r="H5" s="3"/>
    </row>
    <row r="6" spans="1:9" ht="13.5" thickTop="1">
      <c r="A6" s="204">
        <v>1</v>
      </c>
      <c r="B6" s="210" t="s">
        <v>23</v>
      </c>
      <c r="C6" s="524"/>
      <c r="D6" s="539">
        <v>9</v>
      </c>
      <c r="E6"/>
      <c r="F6"/>
      <c r="I6" s="4"/>
    </row>
    <row r="7" spans="1:9">
      <c r="A7" s="204">
        <v>2</v>
      </c>
      <c r="B7" s="210" t="s">
        <v>24</v>
      </c>
      <c r="C7" s="524"/>
      <c r="D7" s="535">
        <v>0</v>
      </c>
      <c r="E7" s="207">
        <v>7</v>
      </c>
      <c r="F7"/>
      <c r="I7" s="4"/>
    </row>
    <row r="8" spans="1:9">
      <c r="A8" s="204">
        <v>3</v>
      </c>
      <c r="B8" s="210" t="s">
        <v>336</v>
      </c>
      <c r="C8" s="524"/>
      <c r="D8" s="535">
        <v>3</v>
      </c>
      <c r="E8" s="207"/>
      <c r="F8"/>
      <c r="I8" s="4"/>
    </row>
    <row r="9" spans="1:9">
      <c r="A9" s="204">
        <v>4</v>
      </c>
      <c r="B9" s="210" t="s">
        <v>335</v>
      </c>
      <c r="C9" s="524"/>
      <c r="D9" s="535">
        <v>5</v>
      </c>
      <c r="E9" s="207"/>
      <c r="F9"/>
      <c r="I9" s="4"/>
    </row>
    <row r="10" spans="1:9">
      <c r="A10" s="204">
        <v>5</v>
      </c>
      <c r="B10" s="210" t="s">
        <v>333</v>
      </c>
      <c r="C10" s="524"/>
      <c r="D10" s="535">
        <v>3</v>
      </c>
      <c r="E10" s="207"/>
      <c r="F10"/>
      <c r="I10" s="4"/>
    </row>
    <row r="11" spans="1:9">
      <c r="A11" s="204">
        <v>6</v>
      </c>
      <c r="B11" s="210" t="s">
        <v>334</v>
      </c>
      <c r="C11" s="524"/>
      <c r="D11" s="535">
        <v>4</v>
      </c>
      <c r="E11" s="207"/>
      <c r="F11"/>
      <c r="I11" s="4"/>
    </row>
    <row r="12" spans="1:9">
      <c r="A12" s="204">
        <v>7</v>
      </c>
      <c r="B12" s="210" t="s">
        <v>10</v>
      </c>
      <c r="C12" s="524"/>
      <c r="D12" s="535">
        <v>26</v>
      </c>
      <c r="E12" s="207"/>
      <c r="F12"/>
      <c r="I12" s="4"/>
    </row>
    <row r="13" spans="1:9">
      <c r="A13" s="204">
        <v>8</v>
      </c>
      <c r="B13" s="210" t="s">
        <v>331</v>
      </c>
      <c r="C13" s="524"/>
      <c r="D13" s="535">
        <v>9</v>
      </c>
      <c r="E13" s="207"/>
      <c r="F13"/>
      <c r="I13" s="4"/>
    </row>
    <row r="14" spans="1:9">
      <c r="A14" s="204">
        <v>9</v>
      </c>
      <c r="B14" s="210" t="s">
        <v>361</v>
      </c>
      <c r="C14" s="524"/>
      <c r="D14" s="535">
        <v>23</v>
      </c>
      <c r="E14" s="207"/>
      <c r="F14"/>
      <c r="I14" s="4"/>
    </row>
    <row r="15" spans="1:9">
      <c r="A15" s="204">
        <v>10</v>
      </c>
      <c r="B15" s="210" t="s">
        <v>353</v>
      </c>
      <c r="C15" s="524"/>
      <c r="D15" s="535">
        <v>1</v>
      </c>
      <c r="E15" s="207"/>
      <c r="F15"/>
      <c r="I15" s="4"/>
    </row>
    <row r="16" spans="1:9">
      <c r="A16" s="204">
        <v>11</v>
      </c>
      <c r="B16" s="210" t="s">
        <v>363</v>
      </c>
      <c r="C16" s="524"/>
      <c r="D16" s="535">
        <v>15</v>
      </c>
      <c r="E16" s="207"/>
      <c r="F16"/>
      <c r="I16" s="4"/>
    </row>
    <row r="17" spans="1:9">
      <c r="A17" s="204">
        <v>12</v>
      </c>
      <c r="B17" s="302" t="s">
        <v>536</v>
      </c>
      <c r="C17" s="524"/>
      <c r="D17" s="535">
        <v>10</v>
      </c>
      <c r="E17" s="207">
        <v>3</v>
      </c>
      <c r="F17"/>
      <c r="I17" s="4"/>
    </row>
    <row r="18" spans="1:9">
      <c r="A18" s="204">
        <v>13</v>
      </c>
      <c r="B18" s="211" t="s">
        <v>365</v>
      </c>
      <c r="C18" s="524"/>
      <c r="D18" s="535">
        <v>5</v>
      </c>
      <c r="E18"/>
      <c r="F18"/>
    </row>
    <row r="19" spans="1:9">
      <c r="A19" s="204">
        <v>14</v>
      </c>
      <c r="B19" s="210" t="s">
        <v>12</v>
      </c>
      <c r="C19" s="524"/>
      <c r="D19" s="535">
        <v>4</v>
      </c>
      <c r="E19"/>
      <c r="F19"/>
    </row>
    <row r="20" spans="1:9">
      <c r="B20" s="210"/>
      <c r="C20" s="524"/>
      <c r="D20" s="535"/>
      <c r="E20"/>
      <c r="F20"/>
    </row>
    <row r="21" spans="1:9">
      <c r="B21" s="210"/>
      <c r="C21" s="524"/>
      <c r="D21" s="535"/>
      <c r="E21"/>
      <c r="F21"/>
    </row>
    <row r="22" spans="1:9">
      <c r="B22" s="210"/>
      <c r="C22" s="524"/>
      <c r="D22" s="535"/>
      <c r="E22"/>
      <c r="F22"/>
    </row>
    <row r="23" spans="1:9">
      <c r="B23" s="210"/>
      <c r="C23" s="524"/>
      <c r="D23" s="535"/>
      <c r="E23"/>
      <c r="F23"/>
    </row>
    <row r="24" spans="1:9">
      <c r="B24" s="210"/>
      <c r="C24" s="524"/>
      <c r="D24" s="535"/>
      <c r="E24"/>
      <c r="F24"/>
    </row>
    <row r="25" spans="1:9" ht="13.5" thickBot="1">
      <c r="B25" s="212"/>
      <c r="C25" s="525"/>
      <c r="D25" s="536"/>
      <c r="E25"/>
      <c r="F25"/>
    </row>
    <row r="26" spans="1:9" s="520" customFormat="1" ht="13.5" thickTop="1">
      <c r="B26" s="533"/>
      <c r="C26" s="534"/>
      <c r="D26" s="537">
        <f>SUM(D6:D25)</f>
        <v>117</v>
      </c>
      <c r="G26" s="3"/>
      <c r="H26" s="3"/>
    </row>
    <row r="28" spans="1:9" ht="15.75">
      <c r="A28" s="532" t="str">
        <f>Survey_Period</f>
        <v>2007 H1</v>
      </c>
      <c r="B28" s="89" t="s">
        <v>974</v>
      </c>
    </row>
    <row r="29" spans="1:9" s="1" customFormat="1" ht="51.75" thickBot="1">
      <c r="A29" s="6" t="s">
        <v>27</v>
      </c>
      <c r="B29" s="6" t="s">
        <v>28</v>
      </c>
      <c r="C29" s="6" t="s">
        <v>21</v>
      </c>
      <c r="D29" s="6" t="s">
        <v>20</v>
      </c>
      <c r="E29" s="6" t="s">
        <v>378</v>
      </c>
      <c r="F29" s="6" t="s">
        <v>20</v>
      </c>
      <c r="G29" s="2" t="s">
        <v>13</v>
      </c>
      <c r="H29" s="2" t="s">
        <v>14</v>
      </c>
    </row>
    <row r="30" spans="1:9" s="1" customFormat="1" ht="13.5" thickTop="1">
      <c r="A30" s="1">
        <v>0</v>
      </c>
      <c r="B30" s="209" t="s">
        <v>56</v>
      </c>
      <c r="C30" s="216" t="s">
        <v>381</v>
      </c>
      <c r="D30" s="213" t="s">
        <v>382</v>
      </c>
      <c r="E30" s="216"/>
      <c r="F30" s="213"/>
      <c r="G30" s="526"/>
      <c r="H30" s="527"/>
    </row>
    <row r="31" spans="1:9" s="519" customFormat="1">
      <c r="A31" s="519">
        <v>1</v>
      </c>
      <c r="B31" s="210" t="s">
        <v>23</v>
      </c>
      <c r="C31" s="217" t="s">
        <v>40</v>
      </c>
      <c r="D31" s="214" t="s">
        <v>36</v>
      </c>
      <c r="E31" s="217" t="s">
        <v>325</v>
      </c>
      <c r="F31" s="214" t="s">
        <v>383</v>
      </c>
      <c r="G31" s="528">
        <v>6</v>
      </c>
      <c r="H31" s="529">
        <v>1</v>
      </c>
      <c r="I31" s="4"/>
    </row>
    <row r="32" spans="1:9" s="519" customFormat="1">
      <c r="A32" s="519">
        <v>2</v>
      </c>
      <c r="B32" s="210" t="s">
        <v>24</v>
      </c>
      <c r="C32" s="217" t="s">
        <v>49</v>
      </c>
      <c r="D32" s="214" t="s">
        <v>68</v>
      </c>
      <c r="E32" s="217" t="s">
        <v>50</v>
      </c>
      <c r="F32" s="214" t="s">
        <v>39</v>
      </c>
      <c r="G32" s="528"/>
      <c r="H32" s="529"/>
      <c r="I32" s="4"/>
    </row>
    <row r="33" spans="1:9" s="519" customFormat="1">
      <c r="A33" s="519">
        <v>3</v>
      </c>
      <c r="B33" s="210" t="s">
        <v>336</v>
      </c>
      <c r="C33" s="217" t="s">
        <v>31</v>
      </c>
      <c r="D33" s="214" t="s">
        <v>38</v>
      </c>
      <c r="E33" s="217" t="s">
        <v>325</v>
      </c>
      <c r="F33" s="214" t="s">
        <v>383</v>
      </c>
      <c r="G33" s="528"/>
      <c r="H33" s="529"/>
      <c r="I33" s="4"/>
    </row>
    <row r="34" spans="1:9" s="519" customFormat="1">
      <c r="A34" s="519">
        <v>12</v>
      </c>
      <c r="B34" s="210" t="s">
        <v>536</v>
      </c>
      <c r="C34" s="217" t="s">
        <v>49</v>
      </c>
      <c r="D34" s="214" t="s">
        <v>68</v>
      </c>
      <c r="E34" s="217" t="s">
        <v>50</v>
      </c>
      <c r="F34" s="214" t="s">
        <v>39</v>
      </c>
      <c r="G34" s="528"/>
      <c r="H34" s="529"/>
      <c r="I34" s="4"/>
    </row>
    <row r="35" spans="1:9" s="519" customFormat="1">
      <c r="A35" s="519">
        <v>13</v>
      </c>
      <c r="B35" s="210" t="s">
        <v>365</v>
      </c>
      <c r="C35" s="217" t="s">
        <v>356</v>
      </c>
      <c r="D35" s="214" t="s">
        <v>975</v>
      </c>
      <c r="E35" s="217" t="s">
        <v>50</v>
      </c>
      <c r="F35" s="214" t="s">
        <v>39</v>
      </c>
      <c r="G35" s="528"/>
      <c r="H35" s="529"/>
      <c r="I35" s="4"/>
    </row>
    <row r="36" spans="1:9" s="519" customFormat="1">
      <c r="A36" s="519">
        <v>4</v>
      </c>
      <c r="B36" s="210" t="s">
        <v>335</v>
      </c>
      <c r="C36" s="217" t="s">
        <v>47</v>
      </c>
      <c r="D36" s="214" t="s">
        <v>38</v>
      </c>
      <c r="E36" s="217" t="s">
        <v>325</v>
      </c>
      <c r="F36" s="214" t="s">
        <v>383</v>
      </c>
      <c r="G36" s="528">
        <v>10</v>
      </c>
      <c r="H36" s="529">
        <v>5</v>
      </c>
      <c r="I36" s="4"/>
    </row>
    <row r="37" spans="1:9" s="519" customFormat="1">
      <c r="A37" s="519">
        <v>14</v>
      </c>
      <c r="B37" s="210" t="s">
        <v>12</v>
      </c>
      <c r="C37" s="217" t="s">
        <v>366</v>
      </c>
      <c r="D37" s="214" t="s">
        <v>380</v>
      </c>
      <c r="E37" s="217" t="s">
        <v>381</v>
      </c>
      <c r="F37" s="214" t="s">
        <v>382</v>
      </c>
      <c r="G37" s="528"/>
      <c r="H37" s="529"/>
      <c r="I37" s="4"/>
    </row>
    <row r="38" spans="1:9" s="519" customFormat="1">
      <c r="A38" s="519">
        <v>5</v>
      </c>
      <c r="B38" s="210" t="s">
        <v>333</v>
      </c>
      <c r="C38" s="217" t="s">
        <v>43</v>
      </c>
      <c r="D38" s="214" t="s">
        <v>67</v>
      </c>
      <c r="E38" s="217" t="s">
        <v>325</v>
      </c>
      <c r="F38" s="214" t="s">
        <v>383</v>
      </c>
      <c r="G38" s="528">
        <v>8</v>
      </c>
      <c r="H38" s="529">
        <v>2</v>
      </c>
      <c r="I38" s="4"/>
    </row>
    <row r="39" spans="1:9" s="519" customFormat="1">
      <c r="A39" s="519">
        <v>6</v>
      </c>
      <c r="B39" s="302" t="s">
        <v>334</v>
      </c>
      <c r="C39" s="217" t="s">
        <v>48</v>
      </c>
      <c r="D39" s="214" t="s">
        <v>66</v>
      </c>
      <c r="E39" s="217" t="s">
        <v>325</v>
      </c>
      <c r="F39" s="214" t="s">
        <v>383</v>
      </c>
      <c r="G39" s="528">
        <v>14</v>
      </c>
      <c r="H39" s="529">
        <v>1</v>
      </c>
      <c r="I39" s="4"/>
    </row>
    <row r="40" spans="1:9" s="519" customFormat="1">
      <c r="A40" s="519">
        <v>7</v>
      </c>
      <c r="B40" s="210" t="s">
        <v>10</v>
      </c>
      <c r="C40" s="217" t="s">
        <v>18</v>
      </c>
      <c r="D40" s="214" t="s">
        <v>34</v>
      </c>
      <c r="E40" s="217" t="s">
        <v>381</v>
      </c>
      <c r="F40" s="214" t="s">
        <v>382</v>
      </c>
      <c r="G40" s="528">
        <v>7</v>
      </c>
      <c r="H40" s="529">
        <v>1</v>
      </c>
      <c r="I40" s="4"/>
    </row>
    <row r="41" spans="1:9" s="519" customFormat="1">
      <c r="A41" s="519">
        <v>8</v>
      </c>
      <c r="B41" s="211" t="s">
        <v>331</v>
      </c>
      <c r="C41" s="218" t="s">
        <v>44</v>
      </c>
      <c r="D41" s="214" t="s">
        <v>35</v>
      </c>
      <c r="E41" s="218" t="s">
        <v>18</v>
      </c>
      <c r="F41" s="214" t="s">
        <v>34</v>
      </c>
      <c r="G41" s="528">
        <v>4</v>
      </c>
      <c r="H41" s="529">
        <v>1</v>
      </c>
      <c r="I41" s="4"/>
    </row>
    <row r="42" spans="1:9" s="519" customFormat="1">
      <c r="A42" s="519">
        <v>10</v>
      </c>
      <c r="B42" s="210" t="s">
        <v>353</v>
      </c>
      <c r="C42" s="217" t="s">
        <v>300</v>
      </c>
      <c r="D42" s="214" t="s">
        <v>379</v>
      </c>
      <c r="E42" s="217" t="s">
        <v>381</v>
      </c>
      <c r="F42" s="214" t="s">
        <v>382</v>
      </c>
      <c r="G42" s="528">
        <v>4</v>
      </c>
      <c r="H42" s="529"/>
      <c r="I42" s="4"/>
    </row>
    <row r="43" spans="1:9" s="519" customFormat="1">
      <c r="A43" s="519">
        <v>9</v>
      </c>
      <c r="B43" s="210" t="s">
        <v>361</v>
      </c>
      <c r="C43" s="217" t="s">
        <v>82</v>
      </c>
      <c r="D43" s="214" t="s">
        <v>362</v>
      </c>
      <c r="E43" s="217" t="s">
        <v>325</v>
      </c>
      <c r="F43" s="214" t="s">
        <v>383</v>
      </c>
      <c r="G43" s="528">
        <v>15</v>
      </c>
      <c r="H43" s="529">
        <v>2</v>
      </c>
    </row>
    <row r="44" spans="1:9" s="519" customFormat="1">
      <c r="A44" s="519">
        <v>11</v>
      </c>
      <c r="B44" s="210" t="s">
        <v>363</v>
      </c>
      <c r="C44" s="217" t="s">
        <v>42</v>
      </c>
      <c r="D44" s="214" t="s">
        <v>37</v>
      </c>
      <c r="E44" s="217" t="s">
        <v>381</v>
      </c>
      <c r="F44" s="214" t="s">
        <v>382</v>
      </c>
      <c r="G44" s="528">
        <v>8</v>
      </c>
      <c r="H44" s="529">
        <v>1</v>
      </c>
    </row>
    <row r="45" spans="1:9" s="519" customFormat="1">
      <c r="B45" s="210"/>
      <c r="C45" s="217"/>
      <c r="D45" s="214"/>
      <c r="E45" s="217"/>
      <c r="F45" s="214"/>
      <c r="G45" s="528"/>
      <c r="H45" s="529"/>
    </row>
    <row r="46" spans="1:9" s="519" customFormat="1">
      <c r="B46" s="210"/>
      <c r="C46" s="217"/>
      <c r="D46" s="214"/>
      <c r="E46" s="217"/>
      <c r="F46" s="214"/>
      <c r="G46" s="528"/>
      <c r="H46" s="529"/>
    </row>
    <row r="47" spans="1:9" s="519" customFormat="1">
      <c r="B47" s="210"/>
      <c r="C47" s="217"/>
      <c r="D47" s="214"/>
      <c r="E47" s="217"/>
      <c r="F47" s="214"/>
      <c r="G47" s="528"/>
      <c r="H47" s="529"/>
    </row>
    <row r="48" spans="1:9" s="519" customFormat="1">
      <c r="B48" s="210"/>
      <c r="C48" s="217"/>
      <c r="D48" s="214"/>
      <c r="E48" s="217"/>
      <c r="F48" s="214"/>
      <c r="G48" s="528"/>
      <c r="H48" s="529"/>
    </row>
    <row r="49" spans="2:8" s="519" customFormat="1">
      <c r="B49" s="210"/>
      <c r="C49" s="217"/>
      <c r="D49" s="214"/>
      <c r="E49" s="217"/>
      <c r="F49" s="214"/>
      <c r="G49" s="528"/>
      <c r="H49" s="529"/>
    </row>
    <row r="50" spans="2:8" s="519" customFormat="1" ht="13.5" thickBot="1">
      <c r="B50" s="212"/>
      <c r="C50" s="219"/>
      <c r="D50" s="215"/>
      <c r="E50" s="219"/>
      <c r="F50" s="215"/>
      <c r="G50" s="530"/>
      <c r="H50" s="531"/>
    </row>
    <row r="51" spans="2:8" customFormat="1" ht="13.5" thickTop="1">
      <c r="E51" s="204"/>
      <c r="F51" s="204"/>
      <c r="G51" s="3">
        <f>SUM(G30:G50)</f>
        <v>76</v>
      </c>
      <c r="H51" s="3">
        <f>SUM(H30:H50)</f>
        <v>14</v>
      </c>
    </row>
    <row r="52" spans="2:8" customFormat="1">
      <c r="E52" s="204"/>
      <c r="F52" s="204"/>
      <c r="G52" s="3"/>
      <c r="H52" s="3"/>
    </row>
    <row r="53" spans="2:8" customFormat="1">
      <c r="E53" s="204"/>
      <c r="F53" s="204"/>
      <c r="G53" s="3"/>
      <c r="H53" s="3"/>
    </row>
    <row r="54" spans="2:8" customFormat="1">
      <c r="E54" s="204"/>
      <c r="F54" s="204"/>
      <c r="G54" s="3"/>
      <c r="H54" s="3"/>
    </row>
    <row r="55" spans="2:8" customFormat="1">
      <c r="E55" s="204"/>
      <c r="F55" s="204"/>
      <c r="G55" s="3"/>
      <c r="H55" s="3"/>
    </row>
    <row r="56" spans="2:8" customFormat="1">
      <c r="E56" s="204"/>
      <c r="F56" s="204"/>
      <c r="G56" s="3"/>
      <c r="H56" s="3"/>
    </row>
    <row r="57" spans="2:8" customFormat="1">
      <c r="E57" s="204"/>
      <c r="F57" s="204"/>
      <c r="G57" s="3"/>
      <c r="H57" s="3"/>
    </row>
    <row r="58" spans="2:8" customFormat="1">
      <c r="E58" s="204"/>
      <c r="F58" s="204"/>
      <c r="G58" s="3"/>
      <c r="H58" s="3"/>
    </row>
    <row r="59" spans="2:8" customFormat="1">
      <c r="E59" s="204"/>
      <c r="F59" s="204"/>
      <c r="G59" s="3"/>
      <c r="H59" s="3"/>
    </row>
    <row r="60" spans="2:8" customFormat="1">
      <c r="E60" s="204"/>
      <c r="F60" s="204"/>
      <c r="G60" s="3"/>
      <c r="H60" s="3"/>
    </row>
    <row r="61" spans="2:8" customFormat="1">
      <c r="E61" s="204"/>
      <c r="F61" s="204"/>
      <c r="G61" s="3"/>
      <c r="H61" s="3"/>
    </row>
    <row r="62" spans="2:8" customFormat="1">
      <c r="E62" s="204"/>
      <c r="F62" s="204"/>
      <c r="G62" s="3"/>
      <c r="H62" s="3"/>
    </row>
    <row r="63" spans="2:8" customFormat="1">
      <c r="E63" s="204"/>
      <c r="F63" s="204"/>
      <c r="G63" s="3"/>
      <c r="H63" s="3"/>
    </row>
    <row r="64" spans="2:8" customFormat="1">
      <c r="E64" s="204"/>
      <c r="F64" s="204"/>
      <c r="G64" s="3"/>
      <c r="H64" s="3"/>
    </row>
    <row r="65" spans="5:8" customFormat="1">
      <c r="E65" s="204"/>
      <c r="F65" s="204"/>
      <c r="G65" s="3"/>
      <c r="H65" s="3"/>
    </row>
  </sheetData>
  <autoFilter ref="A29:H29">
    <sortState ref="A29:H43">
      <sortCondition ref="B28"/>
    </sortState>
  </autoFilter>
  <hyperlinks>
    <hyperlink ref="A1" location="'Table of Contents'!A1" display="Table of Contents"/>
  </hyperlinks>
  <printOptions headings="1" gridLines="1"/>
  <pageMargins left="0.25" right="0.25" top="0.75" bottom="0.75" header="0.3" footer="0.3"/>
  <pageSetup orientation="landscape" r:id="rId1"/>
  <headerFooter alignWithMargins="0">
    <oddFooter>&amp;L&amp;5&amp;Z&amp;F
Created: 9/29/2006 10:44:00 PM
Last Saved: 2/22/2008 9:07:29 AM
Last Printed: 2/22/2008 9:10:13 AM&amp;R&amp;5&amp;P - &amp;N
Title :&lt;Not Set&gt;
Subject: &lt;Not Set&gt;</oddFooter>
  </headerFooter>
  <rowBreaks count="1" manualBreakCount="1">
    <brk id="27" max="16383" man="1"/>
  </rowBreaks>
  <colBreaks count="1" manualBreakCount="1">
    <brk id="8" max="1048575" man="1"/>
  </colBreaks>
  <drawing r:id="rId2"/>
  <legacyDrawing r:id="rId3"/>
</worksheet>
</file>

<file path=xl/worksheets/sheet14.xml><?xml version="1.0" encoding="utf-8"?>
<worksheet xmlns="http://schemas.openxmlformats.org/spreadsheetml/2006/main" xmlns:r="http://schemas.openxmlformats.org/officeDocument/2006/relationships">
  <sheetPr codeName="Sheet10"/>
  <dimension ref="A1:B43"/>
  <sheetViews>
    <sheetView topLeftCell="A16" workbookViewId="0">
      <selection activeCell="B25" sqref="B25"/>
    </sheetView>
  </sheetViews>
  <sheetFormatPr defaultRowHeight="12.75"/>
  <cols>
    <col min="1" max="1" width="26.5703125" bestFit="1" customWidth="1"/>
    <col min="2" max="2" width="30.85546875" bestFit="1" customWidth="1"/>
  </cols>
  <sheetData>
    <row r="1" spans="1:2">
      <c r="A1" s="5" t="s">
        <v>29</v>
      </c>
    </row>
    <row r="3" spans="1:2">
      <c r="A3" s="14" t="s">
        <v>367</v>
      </c>
      <c r="B3" s="14" t="s">
        <v>976</v>
      </c>
    </row>
    <row r="4" spans="1:2">
      <c r="A4" s="14" t="s">
        <v>1014</v>
      </c>
      <c r="B4" s="14" t="s">
        <v>1015</v>
      </c>
    </row>
    <row r="5" spans="1:2">
      <c r="A5" s="14" t="s">
        <v>1016</v>
      </c>
      <c r="B5" s="14" t="s">
        <v>1017</v>
      </c>
    </row>
    <row r="6" spans="1:2">
      <c r="A6" s="14" t="s">
        <v>1018</v>
      </c>
      <c r="B6" s="14" t="s">
        <v>1019</v>
      </c>
    </row>
    <row r="7" spans="1:2">
      <c r="A7" s="14" t="s">
        <v>1020</v>
      </c>
      <c r="B7" s="14" t="s">
        <v>1021</v>
      </c>
    </row>
    <row r="8" spans="1:2">
      <c r="A8" s="14" t="s">
        <v>1022</v>
      </c>
      <c r="B8" s="14" t="s">
        <v>1023</v>
      </c>
    </row>
    <row r="9" spans="1:2">
      <c r="A9" s="14" t="s">
        <v>996</v>
      </c>
      <c r="B9" s="14" t="s">
        <v>1023</v>
      </c>
    </row>
    <row r="10" spans="1:2">
      <c r="A10" s="14" t="s">
        <v>997</v>
      </c>
      <c r="B10" s="14" t="s">
        <v>1024</v>
      </c>
    </row>
    <row r="11" spans="1:2">
      <c r="A11" s="14" t="s">
        <v>368</v>
      </c>
      <c r="B11" s="14" t="s">
        <v>977</v>
      </c>
    </row>
    <row r="12" spans="1:2">
      <c r="A12" s="14" t="s">
        <v>369</v>
      </c>
      <c r="B12" s="14" t="s">
        <v>978</v>
      </c>
    </row>
    <row r="13" spans="1:2">
      <c r="A13" s="14" t="s">
        <v>370</v>
      </c>
      <c r="B13" s="14" t="s">
        <v>979</v>
      </c>
    </row>
    <row r="14" spans="1:2">
      <c r="A14" s="14" t="s">
        <v>371</v>
      </c>
      <c r="B14" s="14" t="s">
        <v>980</v>
      </c>
    </row>
    <row r="15" spans="1:2">
      <c r="A15" s="14" t="s">
        <v>372</v>
      </c>
      <c r="B15" s="14" t="s">
        <v>981</v>
      </c>
    </row>
    <row r="16" spans="1:2">
      <c r="A16" s="14" t="s">
        <v>373</v>
      </c>
      <c r="B16" s="14" t="s">
        <v>982</v>
      </c>
    </row>
    <row r="17" spans="1:2">
      <c r="A17" s="14" t="s">
        <v>374</v>
      </c>
      <c r="B17" s="14" t="s">
        <v>983</v>
      </c>
    </row>
    <row r="18" spans="1:2">
      <c r="A18" s="14" t="s">
        <v>375</v>
      </c>
      <c r="B18" s="14" t="s">
        <v>984</v>
      </c>
    </row>
    <row r="19" spans="1:2">
      <c r="A19" s="14" t="s">
        <v>376</v>
      </c>
      <c r="B19" s="14" t="s">
        <v>985</v>
      </c>
    </row>
    <row r="20" spans="1:2">
      <c r="A20" s="14" t="s">
        <v>1045</v>
      </c>
      <c r="B20" s="14" t="s">
        <v>1050</v>
      </c>
    </row>
    <row r="21" spans="1:2">
      <c r="A21" s="14" t="s">
        <v>1047</v>
      </c>
      <c r="B21" s="14" t="s">
        <v>1051</v>
      </c>
    </row>
    <row r="22" spans="1:2">
      <c r="A22" s="14" t="s">
        <v>377</v>
      </c>
      <c r="B22" s="14" t="s">
        <v>986</v>
      </c>
    </row>
    <row r="24" spans="1:2">
      <c r="A24" s="14" t="s">
        <v>367</v>
      </c>
      <c r="B24" s="14" t="s">
        <v>1029</v>
      </c>
    </row>
    <row r="25" spans="1:2">
      <c r="A25" s="14" t="s">
        <v>1014</v>
      </c>
      <c r="B25" s="14" t="s">
        <v>1030</v>
      </c>
    </row>
    <row r="26" spans="1:2">
      <c r="A26" s="14" t="s">
        <v>1016</v>
      </c>
      <c r="B26" s="14" t="s">
        <v>1031</v>
      </c>
    </row>
    <row r="27" spans="1:2">
      <c r="A27" s="14" t="s">
        <v>1018</v>
      </c>
      <c r="B27" s="14" t="s">
        <v>1032</v>
      </c>
    </row>
    <row r="28" spans="1:2">
      <c r="A28" s="14" t="s">
        <v>1020</v>
      </c>
      <c r="B28" s="14" t="s">
        <v>1033</v>
      </c>
    </row>
    <row r="29" spans="1:2">
      <c r="A29" s="14" t="s">
        <v>1022</v>
      </c>
      <c r="B29" s="14" t="s">
        <v>1034</v>
      </c>
    </row>
    <row r="30" spans="1:2">
      <c r="A30" s="14" t="s">
        <v>996</v>
      </c>
      <c r="B30" s="14" t="s">
        <v>1034</v>
      </c>
    </row>
    <row r="31" spans="1:2">
      <c r="A31" s="14" t="s">
        <v>997</v>
      </c>
      <c r="B31" s="14" t="s">
        <v>1035</v>
      </c>
    </row>
    <row r="32" spans="1:2">
      <c r="A32" s="14" t="s">
        <v>368</v>
      </c>
      <c r="B32" s="14" t="s">
        <v>1036</v>
      </c>
    </row>
    <row r="33" spans="1:2">
      <c r="A33" s="14" t="s">
        <v>369</v>
      </c>
      <c r="B33" s="14" t="s">
        <v>1037</v>
      </c>
    </row>
    <row r="34" spans="1:2">
      <c r="A34" s="14" t="s">
        <v>370</v>
      </c>
      <c r="B34" s="14" t="s">
        <v>1038</v>
      </c>
    </row>
    <row r="35" spans="1:2">
      <c r="A35" s="14" t="s">
        <v>371</v>
      </c>
      <c r="B35" s="14" t="s">
        <v>1039</v>
      </c>
    </row>
    <row r="36" spans="1:2">
      <c r="A36" s="14" t="s">
        <v>372</v>
      </c>
      <c r="B36" s="14" t="s">
        <v>1040</v>
      </c>
    </row>
    <row r="37" spans="1:2">
      <c r="A37" s="14" t="s">
        <v>373</v>
      </c>
      <c r="B37" s="14" t="s">
        <v>1041</v>
      </c>
    </row>
    <row r="38" spans="1:2">
      <c r="A38" s="14" t="s">
        <v>374</v>
      </c>
      <c r="B38" s="14" t="s">
        <v>1042</v>
      </c>
    </row>
    <row r="39" spans="1:2">
      <c r="A39" s="14" t="s">
        <v>375</v>
      </c>
      <c r="B39" s="14" t="s">
        <v>1043</v>
      </c>
    </row>
    <row r="40" spans="1:2">
      <c r="A40" s="14" t="s">
        <v>376</v>
      </c>
      <c r="B40" s="14" t="s">
        <v>1044</v>
      </c>
    </row>
    <row r="41" spans="1:2">
      <c r="A41" s="14" t="s">
        <v>1045</v>
      </c>
      <c r="B41" s="14" t="s">
        <v>1046</v>
      </c>
    </row>
    <row r="42" spans="1:2">
      <c r="A42" s="14" t="s">
        <v>1047</v>
      </c>
      <c r="B42" s="14" t="s">
        <v>1048</v>
      </c>
    </row>
    <row r="43" spans="1:2">
      <c r="A43" s="14" t="s">
        <v>377</v>
      </c>
      <c r="B43" s="14" t="s">
        <v>1049</v>
      </c>
    </row>
  </sheetData>
  <hyperlinks>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15.xml><?xml version="1.0" encoding="utf-8"?>
<worksheet xmlns="http://schemas.openxmlformats.org/spreadsheetml/2006/main" xmlns:r="http://schemas.openxmlformats.org/officeDocument/2006/relationships">
  <sheetPr codeName="Sheet11"/>
  <dimension ref="A1:J30"/>
  <sheetViews>
    <sheetView workbookViewId="0">
      <pane xSplit="2" ySplit="10" topLeftCell="C11" activePane="bottomRight" state="frozen"/>
      <selection pane="topRight" activeCell="C1" sqref="C1"/>
      <selection pane="bottomLeft" activeCell="A11" sqref="A11"/>
      <selection pane="bottomRight" activeCell="B35" sqref="B35"/>
    </sheetView>
  </sheetViews>
  <sheetFormatPr defaultRowHeight="12.75"/>
  <cols>
    <col min="1" max="1" width="15.7109375" style="221" customWidth="1"/>
    <col min="2" max="2" width="50.7109375" style="1" customWidth="1"/>
    <col min="3" max="10" width="5.7109375" style="221" customWidth="1"/>
  </cols>
  <sheetData>
    <row r="1" spans="1:10">
      <c r="A1" s="5" t="s">
        <v>29</v>
      </c>
    </row>
    <row r="4" spans="1:10">
      <c r="A4" s="221" t="s">
        <v>384</v>
      </c>
      <c r="B4" s="1" t="str">
        <f>ADDRESS(11,1,,TRUE) &amp; ":" &amp; ADDRESS(30,2,TRUE)</f>
        <v>$A$11:$B$30</v>
      </c>
    </row>
    <row r="5" spans="1:10">
      <c r="A5" s="221" t="s">
        <v>385</v>
      </c>
      <c r="B5" s="1" t="str">
        <f>ADDRESS(11,3,,TRUE) &amp; ":" &amp; ADDRESS(30,4,TRUE)</f>
        <v>$C$11:$D$30</v>
      </c>
    </row>
    <row r="6" spans="1:10">
      <c r="A6" s="221" t="s">
        <v>386</v>
      </c>
      <c r="B6" s="1" t="str">
        <f>ADDRESS(11,5,,TRUE) &amp; ":" &amp; ADDRESS(30,6,TRUE)</f>
        <v>$E$11:$F$30</v>
      </c>
    </row>
    <row r="7" spans="1:10">
      <c r="A7" s="221" t="s">
        <v>387</v>
      </c>
      <c r="B7" s="1" t="str">
        <f>ADDRESS(11,7,,TRUE) &amp; ":" &amp; ADDRESS(30,8,TRUE)</f>
        <v>$G$11:$H$30</v>
      </c>
    </row>
    <row r="8" spans="1:10">
      <c r="A8" s="221" t="s">
        <v>388</v>
      </c>
      <c r="B8" s="1" t="str">
        <f>ADDRESS(11,9,,TRUE) &amp; ":" &amp; ADDRESS(30,10,TRUE)</f>
        <v>$I$11:$J$30</v>
      </c>
    </row>
    <row r="10" spans="1:10" ht="45.75">
      <c r="A10" s="220" t="s">
        <v>389</v>
      </c>
      <c r="B10" s="220" t="s">
        <v>390</v>
      </c>
      <c r="C10" s="222" t="s">
        <v>389</v>
      </c>
      <c r="D10" s="222" t="s">
        <v>391</v>
      </c>
      <c r="E10" s="222" t="s">
        <v>389</v>
      </c>
      <c r="F10" s="222" t="s">
        <v>386</v>
      </c>
      <c r="G10" s="222" t="s">
        <v>389</v>
      </c>
      <c r="H10" s="222" t="s">
        <v>392</v>
      </c>
      <c r="I10" s="222" t="s">
        <v>389</v>
      </c>
      <c r="J10" s="222" t="s">
        <v>393</v>
      </c>
    </row>
    <row r="11" spans="1:10" ht="25.5">
      <c r="A11" s="221" t="s">
        <v>398</v>
      </c>
      <c r="B11" s="1" t="s">
        <v>94</v>
      </c>
      <c r="C11" s="221" t="str">
        <f t="shared" ref="C11:C30" si="0">A11</f>
        <v>Q1</v>
      </c>
      <c r="D11" s="221">
        <f t="shared" ref="D11:D30" si="1">IF(ISERR(FIND("b",A11)),5,110)</f>
        <v>5</v>
      </c>
      <c r="E11" s="221" t="str">
        <f t="shared" ref="E11:E30" si="2">A11</f>
        <v>Q1</v>
      </c>
      <c r="F11" s="221">
        <f t="shared" ref="F11:F30" si="3">IF(ISERR(FIND("b",A11)),1,0)</f>
        <v>1</v>
      </c>
      <c r="G11" s="221" t="str">
        <f t="shared" ref="G11:G30" si="4">A11</f>
        <v>Q1</v>
      </c>
      <c r="H11" s="221">
        <f t="shared" ref="H11:H30" si="5">IF(ISERR(FIND("b",A11)),1,0)</f>
        <v>1</v>
      </c>
      <c r="I11" s="221" t="str">
        <f t="shared" ref="I11:I30" si="6">A11</f>
        <v>Q1</v>
      </c>
      <c r="J11" s="221">
        <f t="shared" ref="J11:J30" si="7">IF(H11,0,1)</f>
        <v>0</v>
      </c>
    </row>
    <row r="12" spans="1:10">
      <c r="A12" s="221" t="s">
        <v>419</v>
      </c>
      <c r="B12" s="1" t="s">
        <v>445</v>
      </c>
      <c r="C12" s="221" t="str">
        <f t="shared" si="0"/>
        <v>Q10</v>
      </c>
      <c r="D12" s="221">
        <f t="shared" si="1"/>
        <v>5</v>
      </c>
      <c r="E12" s="221" t="str">
        <f t="shared" si="2"/>
        <v>Q10</v>
      </c>
      <c r="F12" s="221">
        <f t="shared" si="3"/>
        <v>1</v>
      </c>
      <c r="G12" s="221" t="str">
        <f t="shared" si="4"/>
        <v>Q10</v>
      </c>
      <c r="H12" s="221">
        <f t="shared" si="5"/>
        <v>1</v>
      </c>
      <c r="I12" s="221" t="str">
        <f t="shared" si="6"/>
        <v>Q10</v>
      </c>
      <c r="J12" s="221">
        <f t="shared" si="7"/>
        <v>0</v>
      </c>
    </row>
    <row r="13" spans="1:10">
      <c r="A13" s="221" t="s">
        <v>399</v>
      </c>
      <c r="B13" s="1" t="s">
        <v>400</v>
      </c>
      <c r="C13" s="221" t="str">
        <f t="shared" si="0"/>
        <v>Q1b</v>
      </c>
      <c r="D13" s="221">
        <f t="shared" si="1"/>
        <v>110</v>
      </c>
      <c r="E13" s="221" t="str">
        <f t="shared" si="2"/>
        <v>Q1b</v>
      </c>
      <c r="F13" s="221">
        <f t="shared" si="3"/>
        <v>0</v>
      </c>
      <c r="G13" s="221" t="str">
        <f t="shared" si="4"/>
        <v>Q1b</v>
      </c>
      <c r="H13" s="221">
        <f t="shared" si="5"/>
        <v>0</v>
      </c>
      <c r="I13" s="221" t="str">
        <f t="shared" si="6"/>
        <v>Q1b</v>
      </c>
      <c r="J13" s="221">
        <f t="shared" si="7"/>
        <v>1</v>
      </c>
    </row>
    <row r="14" spans="1:10" ht="25.5">
      <c r="A14" s="221" t="s">
        <v>401</v>
      </c>
      <c r="B14" s="1" t="s">
        <v>440</v>
      </c>
      <c r="C14" s="221" t="str">
        <f t="shared" si="0"/>
        <v>Q2</v>
      </c>
      <c r="D14" s="221">
        <f t="shared" si="1"/>
        <v>5</v>
      </c>
      <c r="E14" s="221" t="str">
        <f t="shared" si="2"/>
        <v>Q2</v>
      </c>
      <c r="F14" s="221">
        <f t="shared" si="3"/>
        <v>1</v>
      </c>
      <c r="G14" s="221" t="str">
        <f t="shared" si="4"/>
        <v>Q2</v>
      </c>
      <c r="H14" s="221">
        <f t="shared" si="5"/>
        <v>1</v>
      </c>
      <c r="I14" s="221" t="str">
        <f t="shared" si="6"/>
        <v>Q2</v>
      </c>
      <c r="J14" s="221">
        <f t="shared" si="7"/>
        <v>0</v>
      </c>
    </row>
    <row r="15" spans="1:10">
      <c r="A15" s="221" t="s">
        <v>402</v>
      </c>
      <c r="B15" s="1" t="s">
        <v>441</v>
      </c>
      <c r="C15" s="221" t="str">
        <f t="shared" si="0"/>
        <v>Q2b</v>
      </c>
      <c r="D15" s="221">
        <f t="shared" si="1"/>
        <v>110</v>
      </c>
      <c r="E15" s="221" t="str">
        <f t="shared" si="2"/>
        <v>Q2b</v>
      </c>
      <c r="F15" s="221">
        <f t="shared" si="3"/>
        <v>0</v>
      </c>
      <c r="G15" s="221" t="str">
        <f t="shared" si="4"/>
        <v>Q2b</v>
      </c>
      <c r="H15" s="221">
        <f t="shared" si="5"/>
        <v>0</v>
      </c>
      <c r="I15" s="221" t="str">
        <f t="shared" si="6"/>
        <v>Q2b</v>
      </c>
      <c r="J15" s="221">
        <f t="shared" si="7"/>
        <v>1</v>
      </c>
    </row>
    <row r="16" spans="1:10">
      <c r="A16" s="221" t="s">
        <v>403</v>
      </c>
      <c r="B16" s="1" t="s">
        <v>95</v>
      </c>
      <c r="C16" s="221" t="str">
        <f t="shared" si="0"/>
        <v>Q3</v>
      </c>
      <c r="D16" s="221">
        <f t="shared" si="1"/>
        <v>5</v>
      </c>
      <c r="E16" s="221" t="str">
        <f t="shared" si="2"/>
        <v>Q3</v>
      </c>
      <c r="F16" s="221">
        <f t="shared" si="3"/>
        <v>1</v>
      </c>
      <c r="G16" s="221" t="str">
        <f t="shared" si="4"/>
        <v>Q3</v>
      </c>
      <c r="H16" s="221">
        <f t="shared" si="5"/>
        <v>1</v>
      </c>
      <c r="I16" s="221" t="str">
        <f t="shared" si="6"/>
        <v>Q3</v>
      </c>
      <c r="J16" s="221">
        <f t="shared" si="7"/>
        <v>0</v>
      </c>
    </row>
    <row r="17" spans="1:10">
      <c r="A17" s="221" t="s">
        <v>404</v>
      </c>
      <c r="B17" s="1" t="s">
        <v>405</v>
      </c>
      <c r="C17" s="221" t="str">
        <f t="shared" si="0"/>
        <v>Q3b</v>
      </c>
      <c r="D17" s="221">
        <f t="shared" si="1"/>
        <v>110</v>
      </c>
      <c r="E17" s="221" t="str">
        <f t="shared" si="2"/>
        <v>Q3b</v>
      </c>
      <c r="F17" s="221">
        <f t="shared" si="3"/>
        <v>0</v>
      </c>
      <c r="G17" s="221" t="str">
        <f t="shared" si="4"/>
        <v>Q3b</v>
      </c>
      <c r="H17" s="221">
        <f t="shared" si="5"/>
        <v>0</v>
      </c>
      <c r="I17" s="221" t="str">
        <f t="shared" si="6"/>
        <v>Q3b</v>
      </c>
      <c r="J17" s="221">
        <f t="shared" si="7"/>
        <v>1</v>
      </c>
    </row>
    <row r="18" spans="1:10" ht="38.25">
      <c r="A18" s="221" t="s">
        <v>406</v>
      </c>
      <c r="B18" s="1" t="s">
        <v>442</v>
      </c>
      <c r="C18" s="221" t="str">
        <f t="shared" si="0"/>
        <v>Q4</v>
      </c>
      <c r="D18" s="221">
        <f t="shared" si="1"/>
        <v>5</v>
      </c>
      <c r="E18" s="221" t="str">
        <f t="shared" si="2"/>
        <v>Q4</v>
      </c>
      <c r="F18" s="221">
        <f t="shared" si="3"/>
        <v>1</v>
      </c>
      <c r="G18" s="221" t="str">
        <f t="shared" si="4"/>
        <v>Q4</v>
      </c>
      <c r="H18" s="221">
        <f t="shared" si="5"/>
        <v>1</v>
      </c>
      <c r="I18" s="221" t="str">
        <f t="shared" si="6"/>
        <v>Q4</v>
      </c>
      <c r="J18" s="221">
        <f t="shared" si="7"/>
        <v>0</v>
      </c>
    </row>
    <row r="19" spans="1:10">
      <c r="A19" s="221" t="s">
        <v>407</v>
      </c>
      <c r="B19" s="1" t="s">
        <v>441</v>
      </c>
      <c r="C19" s="221" t="str">
        <f t="shared" si="0"/>
        <v>Q4b</v>
      </c>
      <c r="D19" s="221">
        <f t="shared" si="1"/>
        <v>110</v>
      </c>
      <c r="E19" s="221" t="str">
        <f t="shared" si="2"/>
        <v>Q4b</v>
      </c>
      <c r="F19" s="221">
        <f t="shared" si="3"/>
        <v>0</v>
      </c>
      <c r="G19" s="221" t="str">
        <f t="shared" si="4"/>
        <v>Q4b</v>
      </c>
      <c r="H19" s="221">
        <f t="shared" si="5"/>
        <v>0</v>
      </c>
      <c r="I19" s="221" t="str">
        <f t="shared" si="6"/>
        <v>Q4b</v>
      </c>
      <c r="J19" s="221">
        <f t="shared" si="7"/>
        <v>1</v>
      </c>
    </row>
    <row r="20" spans="1:10" ht="25.5">
      <c r="A20" s="221" t="s">
        <v>408</v>
      </c>
      <c r="B20" s="1" t="s">
        <v>96</v>
      </c>
      <c r="C20" s="221" t="str">
        <f t="shared" si="0"/>
        <v>Q5</v>
      </c>
      <c r="D20" s="221">
        <f t="shared" si="1"/>
        <v>5</v>
      </c>
      <c r="E20" s="221" t="str">
        <f t="shared" si="2"/>
        <v>Q5</v>
      </c>
      <c r="F20" s="221">
        <f t="shared" si="3"/>
        <v>1</v>
      </c>
      <c r="G20" s="221" t="str">
        <f t="shared" si="4"/>
        <v>Q5</v>
      </c>
      <c r="H20" s="221">
        <f t="shared" si="5"/>
        <v>1</v>
      </c>
      <c r="I20" s="221" t="str">
        <f t="shared" si="6"/>
        <v>Q5</v>
      </c>
      <c r="J20" s="221">
        <f t="shared" si="7"/>
        <v>0</v>
      </c>
    </row>
    <row r="21" spans="1:10">
      <c r="A21" s="221" t="s">
        <v>409</v>
      </c>
      <c r="B21" s="1" t="s">
        <v>443</v>
      </c>
      <c r="C21" s="221" t="str">
        <f t="shared" si="0"/>
        <v>Q5b</v>
      </c>
      <c r="D21" s="221">
        <f t="shared" si="1"/>
        <v>110</v>
      </c>
      <c r="E21" s="221" t="str">
        <f t="shared" si="2"/>
        <v>Q5b</v>
      </c>
      <c r="F21" s="221">
        <f t="shared" si="3"/>
        <v>0</v>
      </c>
      <c r="G21" s="221" t="str">
        <f t="shared" si="4"/>
        <v>Q5b</v>
      </c>
      <c r="H21" s="221">
        <f t="shared" si="5"/>
        <v>0</v>
      </c>
      <c r="I21" s="221" t="str">
        <f t="shared" si="6"/>
        <v>Q5b</v>
      </c>
      <c r="J21" s="221">
        <f t="shared" si="7"/>
        <v>1</v>
      </c>
    </row>
    <row r="22" spans="1:10" ht="25.5">
      <c r="A22" s="221" t="s">
        <v>410</v>
      </c>
      <c r="B22" s="1" t="s">
        <v>99</v>
      </c>
      <c r="C22" s="221" t="str">
        <f t="shared" si="0"/>
        <v>Q6</v>
      </c>
      <c r="D22" s="221">
        <f t="shared" si="1"/>
        <v>5</v>
      </c>
      <c r="E22" s="221" t="str">
        <f t="shared" si="2"/>
        <v>Q6</v>
      </c>
      <c r="F22" s="221">
        <f t="shared" si="3"/>
        <v>1</v>
      </c>
      <c r="G22" s="221" t="str">
        <f t="shared" si="4"/>
        <v>Q6</v>
      </c>
      <c r="H22" s="221">
        <f t="shared" si="5"/>
        <v>1</v>
      </c>
      <c r="I22" s="221" t="str">
        <f t="shared" si="6"/>
        <v>Q6</v>
      </c>
      <c r="J22" s="221">
        <f t="shared" si="7"/>
        <v>0</v>
      </c>
    </row>
    <row r="23" spans="1:10">
      <c r="A23" s="221" t="s">
        <v>411</v>
      </c>
      <c r="B23" s="1" t="s">
        <v>443</v>
      </c>
      <c r="C23" s="221" t="str">
        <f t="shared" si="0"/>
        <v>Q6b</v>
      </c>
      <c r="D23" s="221">
        <f t="shared" si="1"/>
        <v>110</v>
      </c>
      <c r="E23" s="221" t="str">
        <f t="shared" si="2"/>
        <v>Q6b</v>
      </c>
      <c r="F23" s="221">
        <f t="shared" si="3"/>
        <v>0</v>
      </c>
      <c r="G23" s="221" t="str">
        <f t="shared" si="4"/>
        <v>Q6b</v>
      </c>
      <c r="H23" s="221">
        <f t="shared" si="5"/>
        <v>0</v>
      </c>
      <c r="I23" s="221" t="str">
        <f t="shared" si="6"/>
        <v>Q6b</v>
      </c>
      <c r="J23" s="221">
        <f t="shared" si="7"/>
        <v>1</v>
      </c>
    </row>
    <row r="24" spans="1:10" ht="25.5">
      <c r="A24" s="221" t="s">
        <v>412</v>
      </c>
      <c r="B24" s="1" t="s">
        <v>444</v>
      </c>
      <c r="C24" s="221" t="str">
        <f t="shared" si="0"/>
        <v>Q7</v>
      </c>
      <c r="D24" s="221">
        <f t="shared" si="1"/>
        <v>5</v>
      </c>
      <c r="E24" s="221" t="str">
        <f t="shared" si="2"/>
        <v>Q7</v>
      </c>
      <c r="F24" s="221">
        <f t="shared" si="3"/>
        <v>1</v>
      </c>
      <c r="G24" s="221" t="str">
        <f t="shared" si="4"/>
        <v>Q7</v>
      </c>
      <c r="H24" s="221">
        <f t="shared" si="5"/>
        <v>1</v>
      </c>
      <c r="I24" s="221" t="str">
        <f t="shared" si="6"/>
        <v>Q7</v>
      </c>
      <c r="J24" s="221">
        <f t="shared" si="7"/>
        <v>0</v>
      </c>
    </row>
    <row r="25" spans="1:10" ht="25.5">
      <c r="A25" s="221" t="s">
        <v>413</v>
      </c>
      <c r="B25" s="1" t="s">
        <v>414</v>
      </c>
      <c r="C25" s="221" t="str">
        <f t="shared" si="0"/>
        <v>Q7b</v>
      </c>
      <c r="D25" s="221">
        <f t="shared" si="1"/>
        <v>110</v>
      </c>
      <c r="E25" s="221" t="str">
        <f t="shared" si="2"/>
        <v>Q7b</v>
      </c>
      <c r="F25" s="221">
        <f t="shared" si="3"/>
        <v>0</v>
      </c>
      <c r="G25" s="221" t="str">
        <f t="shared" si="4"/>
        <v>Q7b</v>
      </c>
      <c r="H25" s="221">
        <f t="shared" si="5"/>
        <v>0</v>
      </c>
      <c r="I25" s="221" t="str">
        <f t="shared" si="6"/>
        <v>Q7b</v>
      </c>
      <c r="J25" s="221">
        <f t="shared" si="7"/>
        <v>1</v>
      </c>
    </row>
    <row r="26" spans="1:10">
      <c r="A26" s="221" t="s">
        <v>415</v>
      </c>
      <c r="B26" s="1" t="s">
        <v>97</v>
      </c>
      <c r="C26" s="221" t="str">
        <f t="shared" si="0"/>
        <v>Q8</v>
      </c>
      <c r="D26" s="221">
        <f t="shared" si="1"/>
        <v>5</v>
      </c>
      <c r="E26" s="221" t="str">
        <f t="shared" si="2"/>
        <v>Q8</v>
      </c>
      <c r="F26" s="221">
        <f t="shared" si="3"/>
        <v>1</v>
      </c>
      <c r="G26" s="221" t="str">
        <f t="shared" si="4"/>
        <v>Q8</v>
      </c>
      <c r="H26" s="221">
        <f t="shared" si="5"/>
        <v>1</v>
      </c>
      <c r="I26" s="221" t="str">
        <f t="shared" si="6"/>
        <v>Q8</v>
      </c>
      <c r="J26" s="221">
        <f t="shared" si="7"/>
        <v>0</v>
      </c>
    </row>
    <row r="27" spans="1:10">
      <c r="A27" s="221" t="s">
        <v>416</v>
      </c>
      <c r="B27" s="1" t="s">
        <v>417</v>
      </c>
      <c r="C27" s="221" t="str">
        <f t="shared" si="0"/>
        <v>Q8b</v>
      </c>
      <c r="D27" s="221">
        <f t="shared" si="1"/>
        <v>110</v>
      </c>
      <c r="E27" s="221" t="str">
        <f t="shared" si="2"/>
        <v>Q8b</v>
      </c>
      <c r="F27" s="221">
        <f t="shared" si="3"/>
        <v>0</v>
      </c>
      <c r="G27" s="221" t="str">
        <f t="shared" si="4"/>
        <v>Q8b</v>
      </c>
      <c r="H27" s="221">
        <f t="shared" si="5"/>
        <v>0</v>
      </c>
      <c r="I27" s="221" t="str">
        <f t="shared" si="6"/>
        <v>Q8b</v>
      </c>
      <c r="J27" s="221">
        <f t="shared" si="7"/>
        <v>1</v>
      </c>
    </row>
    <row r="28" spans="1:10" ht="25.5">
      <c r="A28" s="221" t="s">
        <v>418</v>
      </c>
      <c r="B28" s="1" t="s">
        <v>98</v>
      </c>
      <c r="C28" s="221" t="str">
        <f t="shared" si="0"/>
        <v>Q9</v>
      </c>
      <c r="D28" s="221">
        <v>110</v>
      </c>
      <c r="E28" s="221" t="str">
        <f t="shared" si="2"/>
        <v>Q9</v>
      </c>
      <c r="F28" s="221">
        <v>0</v>
      </c>
      <c r="G28" s="221" t="str">
        <f t="shared" si="4"/>
        <v>Q9</v>
      </c>
      <c r="H28" s="221">
        <f t="shared" si="5"/>
        <v>1</v>
      </c>
      <c r="I28" s="221" t="str">
        <f t="shared" si="6"/>
        <v>Q9</v>
      </c>
      <c r="J28" s="221">
        <f t="shared" si="7"/>
        <v>0</v>
      </c>
    </row>
    <row r="29" spans="1:10" ht="25.5">
      <c r="A29" s="221" t="s">
        <v>394</v>
      </c>
      <c r="B29" s="1" t="s">
        <v>395</v>
      </c>
      <c r="C29" s="221" t="str">
        <f t="shared" si="0"/>
        <v>QSurveyPeriod</v>
      </c>
      <c r="D29" s="221">
        <f t="shared" si="1"/>
        <v>5</v>
      </c>
      <c r="E29" s="221" t="str">
        <f t="shared" si="2"/>
        <v>QSurveyPeriod</v>
      </c>
      <c r="F29" s="221">
        <f t="shared" si="3"/>
        <v>1</v>
      </c>
      <c r="G29" s="221" t="str">
        <f t="shared" si="4"/>
        <v>QSurveyPeriod</v>
      </c>
      <c r="H29" s="221">
        <f t="shared" si="5"/>
        <v>1</v>
      </c>
      <c r="I29" s="221" t="str">
        <f t="shared" si="6"/>
        <v>QSurveyPeriod</v>
      </c>
      <c r="J29" s="221">
        <f t="shared" si="7"/>
        <v>0</v>
      </c>
    </row>
    <row r="30" spans="1:10">
      <c r="A30" s="221" t="s">
        <v>396</v>
      </c>
      <c r="B30" s="1" t="s">
        <v>397</v>
      </c>
      <c r="C30" s="221" t="str">
        <f t="shared" si="0"/>
        <v>QYourName</v>
      </c>
      <c r="D30" s="221">
        <f t="shared" si="1"/>
        <v>5</v>
      </c>
      <c r="E30" s="221" t="str">
        <f t="shared" si="2"/>
        <v>QYourName</v>
      </c>
      <c r="F30" s="221">
        <f t="shared" si="3"/>
        <v>1</v>
      </c>
      <c r="G30" s="221" t="str">
        <f t="shared" si="4"/>
        <v>QYourName</v>
      </c>
      <c r="H30" s="221">
        <f t="shared" si="5"/>
        <v>1</v>
      </c>
      <c r="I30" s="221" t="str">
        <f t="shared" si="6"/>
        <v>QYourName</v>
      </c>
      <c r="J30" s="221">
        <f t="shared" si="7"/>
        <v>0</v>
      </c>
    </row>
  </sheetData>
  <sortState ref="A11:B30">
    <sortCondition ref="A11"/>
  </sortState>
  <hyperlinks>
    <hyperlink ref="A1" location="'Table of Contents'!A1" display="Table of Contents"/>
  </hyperlinks>
  <printOptions headings="1" gridLines="1"/>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worksheet>
</file>

<file path=xl/worksheets/sheet16.xml><?xml version="1.0" encoding="utf-8"?>
<worksheet xmlns="http://schemas.openxmlformats.org/spreadsheetml/2006/main" xmlns:r="http://schemas.openxmlformats.org/officeDocument/2006/relationships">
  <sheetPr codeName="Sheet12"/>
  <dimension ref="A1:X31"/>
  <sheetViews>
    <sheetView workbookViewId="0">
      <selection activeCell="F23" sqref="F23"/>
    </sheetView>
  </sheetViews>
  <sheetFormatPr defaultRowHeight="12.75"/>
  <cols>
    <col min="1" max="1" width="5.7109375" customWidth="1"/>
    <col min="2" max="3" width="25.7109375" customWidth="1"/>
    <col min="4" max="5" width="25.7109375" style="204"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2" width="110.7109375" style="1" customWidth="1"/>
    <col min="23" max="23" width="5.7109375" style="1" customWidth="1"/>
  </cols>
  <sheetData>
    <row r="1" spans="1:23">
      <c r="A1" s="5" t="s">
        <v>29</v>
      </c>
      <c r="E1" s="204" t="s">
        <v>391</v>
      </c>
      <c r="F1" s="1">
        <f t="shared" ref="F1:W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110</v>
      </c>
      <c r="W1" s="1">
        <f t="shared" ca="1" si="0"/>
        <v>5</v>
      </c>
    </row>
    <row r="2" spans="1:23">
      <c r="E2" s="204" t="s">
        <v>386</v>
      </c>
      <c r="F2" s="1">
        <f t="shared" ref="F2:W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0</v>
      </c>
      <c r="W2" s="1">
        <f t="shared" ca="1" si="1"/>
        <v>1</v>
      </c>
    </row>
    <row r="3" spans="1:23">
      <c r="E3" s="204" t="s">
        <v>392</v>
      </c>
      <c r="F3" s="1">
        <f t="shared" ref="F3:W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1</v>
      </c>
    </row>
    <row r="4" spans="1:23">
      <c r="B4" s="204" t="s">
        <v>421</v>
      </c>
      <c r="C4" s="204" t="s">
        <v>100</v>
      </c>
      <c r="E4" s="204" t="s">
        <v>432</v>
      </c>
      <c r="F4" s="1">
        <f t="shared" ref="F4:W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0</v>
      </c>
    </row>
    <row r="5" spans="1:23">
      <c r="B5" s="204" t="s">
        <v>422</v>
      </c>
      <c r="C5" t="str">
        <f>Survey_Period</f>
        <v>2007 H1</v>
      </c>
    </row>
    <row r="6" spans="1:23">
      <c r="B6" s="204" t="s">
        <v>423</v>
      </c>
      <c r="C6" t="str">
        <f>$C$4 &amp; " Questions"</f>
        <v>Partner Survey Questions</v>
      </c>
    </row>
    <row r="7" spans="1:23">
      <c r="B7" s="204" t="s">
        <v>32</v>
      </c>
      <c r="C7" t="str">
        <f>Questions_Location</f>
        <v>$B$4</v>
      </c>
    </row>
    <row r="8" spans="1:23">
      <c r="B8" s="204" t="s">
        <v>41</v>
      </c>
      <c r="C8" t="str">
        <f>Row_Width_Location</f>
        <v>$B$5</v>
      </c>
    </row>
    <row r="9" spans="1:23">
      <c r="B9" s="204" t="s">
        <v>58</v>
      </c>
      <c r="C9" t="str">
        <f>Statistics_Location</f>
        <v>$B$6</v>
      </c>
    </row>
    <row r="10" spans="1:23">
      <c r="B10" s="204" t="s">
        <v>59</v>
      </c>
      <c r="C10" t="str">
        <f>Primary_Questions_Location</f>
        <v>$B$7</v>
      </c>
    </row>
    <row r="11" spans="1:23">
      <c r="B11" s="204" t="s">
        <v>424</v>
      </c>
      <c r="C11" t="str">
        <f>FollowUp_Questions_Location</f>
        <v>$B$8</v>
      </c>
    </row>
    <row r="12" spans="1:23">
      <c r="B12" s="204" t="s">
        <v>28</v>
      </c>
      <c r="C12" t="str">
        <f>Team_Name</f>
        <v>Other</v>
      </c>
    </row>
    <row r="13" spans="1:23">
      <c r="B13" s="204" t="s">
        <v>425</v>
      </c>
      <c r="C13">
        <v>31</v>
      </c>
    </row>
    <row r="14" spans="1:23">
      <c r="B14" s="204" t="s">
        <v>426</v>
      </c>
      <c r="C14">
        <v>31</v>
      </c>
    </row>
    <row r="15" spans="1:23">
      <c r="B15" s="204" t="s">
        <v>427</v>
      </c>
      <c r="C15">
        <v>6</v>
      </c>
    </row>
    <row r="16" spans="1:23">
      <c r="B16" s="204" t="s">
        <v>428</v>
      </c>
      <c r="C16">
        <v>23</v>
      </c>
      <c r="D16" s="204">
        <v>5</v>
      </c>
      <c r="E16" s="204" t="s">
        <v>1</v>
      </c>
      <c r="F16" s="1" t="e">
        <f t="array" aca="1" ref="F16" ca="1">SUM(  IF($C$12 = "All IT",    IF(F$31:F$31 =$D16,       1,      0),    IF($D$31:$D$31 = $C$12,      IF(F$31:F$31 =$D16,         1,        0),    )  ))</f>
        <v>#N/A</v>
      </c>
      <c r="H16" s="1" t="e">
        <f t="array" aca="1" ref="H16" ca="1">SUM(  IF($C$12 = "All IT",    IF(H$31:H$31 =$D16,       1,      0),    IF($D$31:$D$31 = $C$12,      IF(H$31:H$31 =$D16,         1,        0),    )  ))</f>
        <v>#N/A</v>
      </c>
      <c r="J16" s="1" t="e">
        <f t="array" aca="1" ref="J16" ca="1">SUM(  IF($C$12 = "All IT",    IF(J$31:J$31 =$D16,       1,      0),    IF($D$31:$D$31 = $C$12,      IF(J$31:J$31 =$D16,         1,        0),    )  ))</f>
        <v>#N/A</v>
      </c>
      <c r="L16" s="1" t="e">
        <f t="array" aca="1" ref="L16" ca="1">SUM(  IF($C$12 = "All IT",    IF(L$31:L$31 =$D16,       1,      0),    IF($D$31:$D$31 = $C$12,      IF(L$31:L$31 =$D16,         1,        0),    )  ))</f>
        <v>#N/A</v>
      </c>
      <c r="N16" s="1" t="e">
        <f t="array" aca="1" ref="N16" ca="1">SUM(  IF($C$12 = "All IT",    IF(N$31:N$31 =$D16,       1,      0),    IF($D$31:$D$31 = $C$12,      IF(N$31:N$31 =$D16,         1,        0),    )  ))</f>
        <v>#N/A</v>
      </c>
      <c r="P16" s="1" t="e">
        <f t="array" aca="1" ref="P16" ca="1">SUM(  IF($C$12 = "All IT",    IF(P$31:P$31 =$D16,       1,      0),    IF($D$31:$D$31 = $C$12,      IF(P$31:P$31 =$D16,         1,        0),    )  ))</f>
        <v>#N/A</v>
      </c>
      <c r="R16" s="1" t="e">
        <f t="array" aca="1" ref="R16" ca="1">SUM(  IF($C$12 = "All IT",    IF(R$31:R$31 =$D16,       1,      0),    IF($D$31:$D$31 = $C$12,      IF(R$31:R$31 =$D16,         1,        0),    )  ))</f>
        <v>#N/A</v>
      </c>
      <c r="T16" s="1" t="e">
        <f t="array" aca="1" ref="T16" ca="1">SUM(  IF($C$12 = "All IT",    IF(T$31:T$31 =$D16,       1,      0),    IF($D$31:$D$31 = $C$12,      IF(T$31:T$31 =$D16,         1,        0),    )  ))</f>
        <v>#N/A</v>
      </c>
      <c r="W16" s="1" t="e">
        <f t="array" aca="1" ref="W16" ca="1">SUM(  IF($C$12 = "All IT",    IF(W$31:W$31 =$D16,       1,      0),    IF($D$31:$D$31 = $C$12,      IF(W$31:W$31 =$D16,         1,        0),    )  ))</f>
        <v>#N/A</v>
      </c>
    </row>
    <row r="17" spans="1:24">
      <c r="A17">
        <f ca="1">SUM($F$2:$W$2)</f>
        <v>9</v>
      </c>
      <c r="B17" s="204" t="s">
        <v>429</v>
      </c>
      <c r="C17">
        <f ca="1">A17</f>
        <v>9</v>
      </c>
      <c r="D17" s="204">
        <v>4</v>
      </c>
      <c r="E17" s="204" t="s">
        <v>2</v>
      </c>
      <c r="F17" s="1" t="e">
        <f t="array" aca="1" ref="F17" ca="1">SUM(  IF($C$12 = "All IT",    IF(F$31:F$31 =$D17,       1,      0),    IF($D$31:$D$31 = $C$12,      IF(F$31:F$31 =$D17,         1,        0),    )  ))</f>
        <v>#N/A</v>
      </c>
      <c r="H17" s="1" t="e">
        <f t="array" aca="1" ref="H17" ca="1">SUM(  IF($C$12 = "All IT",    IF(H$31:H$31 =$D17,       1,      0),    IF($D$31:$D$31 = $C$12,      IF(H$31:H$31 =$D17,         1,        0),    )  ))</f>
        <v>#N/A</v>
      </c>
      <c r="J17" s="1" t="e">
        <f t="array" aca="1" ref="J17" ca="1">SUM(  IF($C$12 = "All IT",    IF(J$31:J$31 =$D17,       1,      0),    IF($D$31:$D$31 = $C$12,      IF(J$31:J$31 =$D17,         1,        0),    )  ))</f>
        <v>#N/A</v>
      </c>
      <c r="L17" s="1" t="e">
        <f t="array" aca="1" ref="L17" ca="1">SUM(  IF($C$12 = "All IT",    IF(L$31:L$31 =$D17,       1,      0),    IF($D$31:$D$31 = $C$12,      IF(L$31:L$31 =$D17,         1,        0),    )  ))</f>
        <v>#N/A</v>
      </c>
      <c r="N17" s="1" t="e">
        <f t="array" aca="1" ref="N17" ca="1">SUM(  IF($C$12 = "All IT",    IF(N$31:N$31 =$D17,       1,      0),    IF($D$31:$D$31 = $C$12,      IF(N$31:N$31 =$D17,         1,        0),    )  ))</f>
        <v>#N/A</v>
      </c>
      <c r="P17" s="1" t="e">
        <f t="array" aca="1" ref="P17" ca="1">SUM(  IF($C$12 = "All IT",    IF(P$31:P$31 =$D17,       1,      0),    IF($D$31:$D$31 = $C$12,      IF(P$31:P$31 =$D17,         1,        0),    )  ))</f>
        <v>#N/A</v>
      </c>
      <c r="R17" s="1" t="e">
        <f t="array" aca="1" ref="R17" ca="1">SUM(  IF($C$12 = "All IT",    IF(R$31:R$31 =$D17,       1,      0),    IF($D$31:$D$31 = $C$12,      IF(R$31:R$31 =$D17,         1,        0),    )  ))</f>
        <v>#N/A</v>
      </c>
      <c r="T17" s="1" t="e">
        <f t="array" aca="1" ref="T17" ca="1">SUM(  IF($C$12 = "All IT",    IF(T$31:T$31 =$D17,       1,      0),    IF($D$31:$D$31 = $C$12,      IF(T$31:T$31 =$D17,         1,        0),    )  ))</f>
        <v>#N/A</v>
      </c>
      <c r="W17" s="1" t="e">
        <f t="array" aca="1" ref="W17" ca="1">SUM(  IF($C$12 = "All IT",    IF(W$31:W$31 =$D17,       1,      0),    IF($D$31:$D$31 = $C$12,      IF(W$31:W$31 =$D17,         1,        0),    )  ))</f>
        <v>#N/A</v>
      </c>
    </row>
    <row r="18" spans="1:24">
      <c r="A18">
        <f ca="1">SUM($F$3:$W$3)</f>
        <v>10</v>
      </c>
      <c r="B18" s="204" t="s">
        <v>430</v>
      </c>
      <c r="C18">
        <f ca="1">A18</f>
        <v>10</v>
      </c>
      <c r="D18" s="204">
        <v>3</v>
      </c>
      <c r="E18" s="204" t="s">
        <v>3</v>
      </c>
      <c r="F18" s="1" t="e">
        <f t="array" aca="1" ref="F18" ca="1">SUM(  IF($C$12 = "All IT",    IF(F$31:F$31 =$D18,       1,      0),    IF($D$31:$D$31 = $C$12,      IF(F$31:F$31 =$D18,         1,        0),    )  ))</f>
        <v>#N/A</v>
      </c>
      <c r="H18" s="1" t="e">
        <f t="array" aca="1" ref="H18" ca="1">SUM(  IF($C$12 = "All IT",    IF(H$31:H$31 =$D18,       1,      0),    IF($D$31:$D$31 = $C$12,      IF(H$31:H$31 =$D18,         1,        0),    )  ))</f>
        <v>#N/A</v>
      </c>
      <c r="J18" s="1" t="e">
        <f t="array" aca="1" ref="J18" ca="1">SUM(  IF($C$12 = "All IT",    IF(J$31:J$31 =$D18,       1,      0),    IF($D$31:$D$31 = $C$12,      IF(J$31:J$31 =$D18,         1,        0),    )  ))</f>
        <v>#N/A</v>
      </c>
      <c r="L18" s="1" t="e">
        <f t="array" aca="1" ref="L18" ca="1">SUM(  IF($C$12 = "All IT",    IF(L$31:L$31 =$D18,       1,      0),    IF($D$31:$D$31 = $C$12,      IF(L$31:L$31 =$D18,         1,        0),    )  ))</f>
        <v>#N/A</v>
      </c>
      <c r="N18" s="1" t="e">
        <f t="array" aca="1" ref="N18" ca="1">SUM(  IF($C$12 = "All IT",    IF(N$31:N$31 =$D18,       1,      0),    IF($D$31:$D$31 = $C$12,      IF(N$31:N$31 =$D18,         1,        0),    )  ))</f>
        <v>#N/A</v>
      </c>
      <c r="P18" s="1" t="e">
        <f t="array" aca="1" ref="P18" ca="1">SUM(  IF($C$12 = "All IT",    IF(P$31:P$31 =$D18,       1,      0),    IF($D$31:$D$31 = $C$12,      IF(P$31:P$31 =$D18,         1,        0),    )  ))</f>
        <v>#N/A</v>
      </c>
      <c r="R18" s="1" t="e">
        <f t="array" aca="1" ref="R18" ca="1">SUM(  IF($C$12 = "All IT",    IF(R$31:R$31 =$D18,       1,      0),    IF($D$31:$D$31 = $C$12,      IF(R$31:R$31 =$D18,         1,        0),    )  ))</f>
        <v>#N/A</v>
      </c>
      <c r="T18" s="1" t="e">
        <f t="array" aca="1" ref="T18" ca="1">SUM(  IF($C$12 = "All IT",    IF(T$31:T$31 =$D18,       1,      0),    IF($D$31:$D$31 = $C$12,      IF(T$31:T$31 =$D18,         1,        0),    )  ))</f>
        <v>#N/A</v>
      </c>
      <c r="W18" s="1" t="e">
        <f t="array" aca="1" ref="W18" ca="1">SUM(  IF($C$12 = "All IT",    IF(W$31:W$31 =$D18,       1,      0),    IF($D$31:$D$31 = $C$12,      IF(W$31:W$31 =$D18,         1,        0),    )  ))</f>
        <v>#N/A</v>
      </c>
    </row>
    <row r="19" spans="1:24">
      <c r="D19" s="204">
        <v>2</v>
      </c>
      <c r="E19" s="204" t="s">
        <v>4</v>
      </c>
      <c r="F19" s="1" t="e">
        <f t="array" aca="1" ref="F19" ca="1">SUM(  IF($C$12 = "All IT",    IF(F$31:F$31 =$D19,       1,      0),    IF($D$31:$D$31 = $C$12,      IF(F$31:F$31 =$D19,         1,        0),    )  ))</f>
        <v>#N/A</v>
      </c>
      <c r="H19" s="1" t="e">
        <f t="array" aca="1" ref="H19" ca="1">SUM(  IF($C$12 = "All IT",    IF(H$31:H$31 =$D19,       1,      0),    IF($D$31:$D$31 = $C$12,      IF(H$31:H$31 =$D19,         1,        0),    )  ))</f>
        <v>#N/A</v>
      </c>
      <c r="J19" s="1" t="e">
        <f t="array" aca="1" ref="J19" ca="1">SUM(  IF($C$12 = "All IT",    IF(J$31:J$31 =$D19,       1,      0),    IF($D$31:$D$31 = $C$12,      IF(J$31:J$31 =$D19,         1,        0),    )  ))</f>
        <v>#N/A</v>
      </c>
      <c r="L19" s="1" t="e">
        <f t="array" aca="1" ref="L19" ca="1">SUM(  IF($C$12 = "All IT",    IF(L$31:L$31 =$D19,       1,      0),    IF($D$31:$D$31 = $C$12,      IF(L$31:L$31 =$D19,         1,        0),    )  ))</f>
        <v>#N/A</v>
      </c>
      <c r="N19" s="1" t="e">
        <f t="array" aca="1" ref="N19" ca="1">SUM(  IF($C$12 = "All IT",    IF(N$31:N$31 =$D19,       1,      0),    IF($D$31:$D$31 = $C$12,      IF(N$31:N$31 =$D19,         1,        0),    )  ))</f>
        <v>#N/A</v>
      </c>
      <c r="P19" s="1" t="e">
        <f t="array" aca="1" ref="P19" ca="1">SUM(  IF($C$12 = "All IT",    IF(P$31:P$31 =$D19,       1,      0),    IF($D$31:$D$31 = $C$12,      IF(P$31:P$31 =$D19,         1,        0),    )  ))</f>
        <v>#N/A</v>
      </c>
      <c r="R19" s="1" t="e">
        <f t="array" aca="1" ref="R19" ca="1">SUM(  IF($C$12 = "All IT",    IF(R$31:R$31 =$D19,       1,      0),    IF($D$31:$D$31 = $C$12,      IF(R$31:R$31 =$D19,         1,        0),    )  ))</f>
        <v>#N/A</v>
      </c>
      <c r="T19" s="1" t="e">
        <f t="array" aca="1" ref="T19" ca="1">SUM(  IF($C$12 = "All IT",    IF(T$31:T$31 =$D19,       1,      0),    IF($D$31:$D$31 = $C$12,      IF(T$31:T$31 =$D19,         1,        0),    )  ))</f>
        <v>#N/A</v>
      </c>
      <c r="W19" s="1" t="e">
        <f t="array" aca="1" ref="W19" ca="1">SUM(  IF($C$12 = "All IT",    IF(W$31:W$31 =$D19,       1,      0),    IF($D$31:$D$31 = $C$12,      IF(W$31:W$31 =$D19,         1,        0),    )  ))</f>
        <v>#N/A</v>
      </c>
    </row>
    <row r="20" spans="1:24">
      <c r="D20" s="204">
        <v>1</v>
      </c>
      <c r="E20" s="204" t="s">
        <v>433</v>
      </c>
      <c r="F20" s="1" t="e">
        <f t="array" aca="1" ref="F20" ca="1">SUM(  IF($C$12 = "All IT",    IF(F$31:F$31 =$D20,       1,      0),    IF($D$31:$D$31 = $C$12,      IF(F$31:F$31 =$D20,         1,        0),    )  ))</f>
        <v>#N/A</v>
      </c>
      <c r="H20" s="1" t="e">
        <f t="array" aca="1" ref="H20" ca="1">SUM(  IF($C$12 = "All IT",    IF(H$31:H$31 =$D20,       1,      0),    IF($D$31:$D$31 = $C$12,      IF(H$31:H$31 =$D20,         1,        0),    )  ))</f>
        <v>#N/A</v>
      </c>
      <c r="J20" s="1" t="e">
        <f t="array" aca="1" ref="J20" ca="1">SUM(  IF($C$12 = "All IT",    IF(J$31:J$31 =$D20,       1,      0),    IF($D$31:$D$31 = $C$12,      IF(J$31:J$31 =$D20,         1,        0),    )  ))</f>
        <v>#N/A</v>
      </c>
      <c r="L20" s="1" t="e">
        <f t="array" aca="1" ref="L20" ca="1">SUM(  IF($C$12 = "All IT",    IF(L$31:L$31 =$D20,       1,      0),    IF($D$31:$D$31 = $C$12,      IF(L$31:L$31 =$D20,         1,        0),    )  ))</f>
        <v>#N/A</v>
      </c>
      <c r="N20" s="1" t="e">
        <f t="array" aca="1" ref="N20" ca="1">SUM(  IF($C$12 = "All IT",    IF(N$31:N$31 =$D20,       1,      0),    IF($D$31:$D$31 = $C$12,      IF(N$31:N$31 =$D20,         1,        0),    )  ))</f>
        <v>#N/A</v>
      </c>
      <c r="P20" s="1" t="e">
        <f t="array" aca="1" ref="P20" ca="1">SUM(  IF($C$12 = "All IT",    IF(P$31:P$31 =$D20,       1,      0),    IF($D$31:$D$31 = $C$12,      IF(P$31:P$31 =$D20,         1,        0),    )  ))</f>
        <v>#N/A</v>
      </c>
      <c r="R20" s="1" t="e">
        <f t="array" aca="1" ref="R20" ca="1">SUM(  IF($C$12 = "All IT",    IF(R$31:R$31 =$D20,       1,      0),    IF($D$31:$D$31 = $C$12,      IF(R$31:R$31 =$D20,         1,        0),    )  ))</f>
        <v>#N/A</v>
      </c>
      <c r="T20" s="1" t="e">
        <f t="array" aca="1" ref="T20" ca="1">SUM(  IF($C$12 = "All IT",    IF(T$31:T$31 =$D20,       1,      0),    IF($D$31:$D$31 = $C$12,      IF(T$31:T$31 =$D20,         1,        0),    )  ))</f>
        <v>#N/A</v>
      </c>
      <c r="W20" s="1" t="e">
        <f t="array" aca="1" ref="W20" ca="1">SUM(  IF($C$12 = "All IT",    IF(W$31:W$31 =$D20,       1,      0),    IF($D$31:$D$31 = $C$12,      IF(W$31:W$31 =$D20,         1,        0),    )  ))</f>
        <v>#N/A</v>
      </c>
    </row>
    <row r="21" spans="1:24">
      <c r="D21" s="204">
        <v>6</v>
      </c>
      <c r="E21" s="204" t="s">
        <v>6</v>
      </c>
      <c r="F21" s="1" t="e">
        <f t="array" aca="1" ref="F21" ca="1">SUM(  IF($C$12 = "All IT",    IF(F$31:F$31 =$D21,       1,      0),    IF($D$31:$D$31 = $C$12,      IF(F$31:F$31 =$D21,         1,        0),    )  ))</f>
        <v>#N/A</v>
      </c>
      <c r="H21" s="1" t="e">
        <f t="array" aca="1" ref="H21" ca="1">SUM(  IF($C$12 = "All IT",    IF(H$31:H$31 =$D21,       1,      0),    IF($D$31:$D$31 = $C$12,      IF(H$31:H$31 =$D21,         1,        0),    )  ))</f>
        <v>#N/A</v>
      </c>
      <c r="J21" s="1" t="e">
        <f t="array" aca="1" ref="J21" ca="1">SUM(  IF($C$12 = "All IT",    IF(J$31:J$31 =$D21,       1,      0),    IF($D$31:$D$31 = $C$12,      IF(J$31:J$31 =$D21,         1,        0),    )  ))</f>
        <v>#N/A</v>
      </c>
      <c r="L21" s="1" t="e">
        <f t="array" aca="1" ref="L21" ca="1">SUM(  IF($C$12 = "All IT",    IF(L$31:L$31 =$D21,       1,      0),    IF($D$31:$D$31 = $C$12,      IF(L$31:L$31 =$D21,         1,        0),    )  ))</f>
        <v>#N/A</v>
      </c>
      <c r="N21" s="1" t="e">
        <f t="array" aca="1" ref="N21" ca="1">SUM(  IF($C$12 = "All IT",    IF(N$31:N$31 =$D21,       1,      0),    IF($D$31:$D$31 = $C$12,      IF(N$31:N$31 =$D21,         1,        0),    )  ))</f>
        <v>#N/A</v>
      </c>
      <c r="P21" s="1" t="e">
        <f t="array" aca="1" ref="P21" ca="1">SUM(  IF($C$12 = "All IT",    IF(P$31:P$31 =$D21,       1,      0),    IF($D$31:$D$31 = $C$12,      IF(P$31:P$31 =$D21,         1,        0),    )  ))</f>
        <v>#N/A</v>
      </c>
      <c r="R21" s="1" t="e">
        <f t="array" aca="1" ref="R21" ca="1">SUM(  IF($C$12 = "All IT",    IF(R$31:R$31 =$D21,       1,      0),    IF($D$31:$D$31 = $C$12,      IF(R$31:R$31 =$D21,         1,        0),    )  ))</f>
        <v>#N/A</v>
      </c>
      <c r="T21" s="1" t="e">
        <f t="array" aca="1" ref="T21" ca="1">SUM(  IF($C$12 = "All IT",    IF(T$31:T$31 =$D21,       1,      0),    IF($D$31:$D$31 = $C$12,      IF(T$31:T$31 =$D21,         1,        0),    )  ))</f>
        <v>#N/A</v>
      </c>
      <c r="W21" s="1" t="e">
        <f t="array" aca="1" ref="W21" ca="1">SUM(  IF($C$12 = "All IT",    IF(W$31:W$31 =$D21,       1,      0),    IF($D$31:$D$31 = $C$12,      IF(W$31:W$31 =$D21,         1,        0),    )  ))</f>
        <v>#N/A</v>
      </c>
    </row>
    <row r="22" spans="1:24">
      <c r="D22" s="204">
        <v>0</v>
      </c>
      <c r="E22" s="204" t="s">
        <v>19</v>
      </c>
      <c r="F22" s="1" t="e">
        <f t="array" aca="1" ref="F22" ca="1">SUM(  IF($C$12 = "All IT",    IF(F$31:F$31 =$D22,       1,      0),    IF($D$31:$D$31 = $C$12,      IF(F$31:F$31 =$D22,         1,        0),    )  ))</f>
        <v>#N/A</v>
      </c>
      <c r="H22" s="1" t="e">
        <f t="array" aca="1" ref="H22" ca="1">SUM(  IF($C$12 = "All IT",    IF(H$31:H$31 =$D22,       1,      0),    IF($D$31:$D$31 = $C$12,      IF(H$31:H$31 =$D22,         1,        0),    )  ))</f>
        <v>#N/A</v>
      </c>
      <c r="J22" s="1" t="e">
        <f t="array" aca="1" ref="J22" ca="1">SUM(  IF($C$12 = "All IT",    IF(J$31:J$31 =$D22,       1,      0),    IF($D$31:$D$31 = $C$12,      IF(J$31:J$31 =$D22,         1,        0),    )  ))</f>
        <v>#N/A</v>
      </c>
      <c r="L22" s="1" t="e">
        <f t="array" aca="1" ref="L22" ca="1">SUM(  IF($C$12 = "All IT",    IF(L$31:L$31 =$D22,       1,      0),    IF($D$31:$D$31 = $C$12,      IF(L$31:L$31 =$D22,         1,        0),    )  ))</f>
        <v>#N/A</v>
      </c>
      <c r="N22" s="1" t="e">
        <f t="array" aca="1" ref="N22" ca="1">SUM(  IF($C$12 = "All IT",    IF(N$31:N$31 =$D22,       1,      0),    IF($D$31:$D$31 = $C$12,      IF(N$31:N$31 =$D22,         1,        0),    )  ))</f>
        <v>#N/A</v>
      </c>
      <c r="P22" s="1" t="e">
        <f t="array" aca="1" ref="P22" ca="1">SUM(  IF($C$12 = "All IT",    IF(P$31:P$31 =$D22,       1,      0),    IF($D$31:$D$31 = $C$12,      IF(P$31:P$31 =$D22,         1,        0),    )  ))</f>
        <v>#N/A</v>
      </c>
      <c r="R22" s="1" t="e">
        <f t="array" aca="1" ref="R22" ca="1">SUM(  IF($C$12 = "All IT",    IF(R$31:R$31 =$D22,       1,      0),    IF($D$31:$D$31 = $C$12,      IF(R$31:R$31 =$D22,         1,        0),    )  ))</f>
        <v>#N/A</v>
      </c>
      <c r="T22" s="1" t="e">
        <f t="array" aca="1" ref="T22" ca="1">SUM(  IF($C$12 = "All IT",    IF(T$31:T$31 =$D22,       1,      0),    IF($D$31:$D$31 = $C$12,      IF(T$31:T$31 =$D22,         1,        0),    )  ))</f>
        <v>#N/A</v>
      </c>
      <c r="W22" s="1" t="e">
        <f t="array" aca="1" ref="W22" ca="1">SUM(  IF($C$12 = "All IT",    IF(W$31:W$31 =$D22,       1,      0),    IF($D$31:$D$31 = $C$12,      IF(W$31:W$31 =$D22,         1,        0),    )  ))</f>
        <v>#N/A</v>
      </c>
    </row>
    <row r="23" spans="1:24">
      <c r="B23" s="204" t="s">
        <v>431</v>
      </c>
      <c r="C23" t="e">
        <f t="array" aca="1" ref="C23" ca="1">IF($C$12="All IT",$C$14-$C$13+1,SUM(IF(INDIRECT("R"&amp;$C$13&amp;"C4:R"&amp;$C$14&amp;"C4",FALSE) = $C$12,1,0)))</f>
        <v>#N/A</v>
      </c>
      <c r="F23" s="1" t="e">
        <f ca="1">SUM(F16:F22)</f>
        <v>#N/A</v>
      </c>
      <c r="H23" s="1" t="e">
        <f ca="1">SUM(F16:F22)</f>
        <v>#N/A</v>
      </c>
      <c r="J23" s="1" t="e">
        <f ca="1">SUM(F16:F22)</f>
        <v>#N/A</v>
      </c>
      <c r="L23" s="1" t="e">
        <f ca="1">SUM(F16:F22)</f>
        <v>#N/A</v>
      </c>
      <c r="N23" s="1" t="e">
        <f ca="1">SUM(F16:F22)</f>
        <v>#N/A</v>
      </c>
      <c r="P23" s="1" t="e">
        <f ca="1">SUM(F16:F22)</f>
        <v>#N/A</v>
      </c>
      <c r="R23" s="1" t="e">
        <f ca="1">SUM(F16:F22)</f>
        <v>#N/A</v>
      </c>
      <c r="T23" s="1" t="e">
        <f ca="1">SUM(F16:F22)</f>
        <v>#N/A</v>
      </c>
      <c r="W23" s="1" t="e">
        <f ca="1">SUM(F16:F22)</f>
        <v>#N/A</v>
      </c>
    </row>
    <row r="24" spans="1:24" ht="25.5">
      <c r="B24" s="644" t="s">
        <v>448</v>
      </c>
      <c r="C24" s="223" t="str">
        <f>IFERROR(AVERAGE($F24, $H24, $J24, $L24, $N24, $P24, $R24, $T24, $W24), "No Data")</f>
        <v>No Data</v>
      </c>
      <c r="E24" s="204" t="s">
        <v>434</v>
      </c>
      <c r="F24" s="224" t="str">
        <f t="array" ref="F24">IFERROR(AVERAGE(   IF(F$31:F$31 &lt; 6,       F$31:F$31,       ""    )), "No Data")</f>
        <v>No Data</v>
      </c>
      <c r="H24" s="224" t="str">
        <f t="array" ref="H24">IFERROR(AVERAGE(   IF(H$31:H$31 &lt; 6,       H$31:H$31,       ""    )), "No Data")</f>
        <v>No Data</v>
      </c>
      <c r="J24" s="224" t="str">
        <f t="array" ref="J24">IFERROR(AVERAGE(   IF(J$31:J$31 &lt; 6,       J$31:J$31,       ""    )), "No Data")</f>
        <v>No Data</v>
      </c>
      <c r="L24" s="224" t="str">
        <f t="array" ref="L24">IFERROR(AVERAGE(   IF(L$31:L$31 &lt; 6,       L$31:L$31,       ""    )), "No Data")</f>
        <v>No Data</v>
      </c>
      <c r="N24" s="224" t="str">
        <f t="array" ref="N24">IFERROR(AVERAGE(   IF(N$31:N$31 &lt; 6,       N$31:N$31,       ""    )), "No Data")</f>
        <v>No Data</v>
      </c>
      <c r="P24" s="224" t="str">
        <f t="array" ref="P24">IFERROR(AVERAGE(   IF(P$31:P$31 &lt; 6,       P$31:P$31,       ""    )), "No Data")</f>
        <v>No Data</v>
      </c>
      <c r="R24" s="224" t="str">
        <f t="array" ref="R24">IFERROR(AVERAGE(   IF(R$31:R$31 &lt; 6,       R$31:R$31,       ""    )), "No Data")</f>
        <v>No Data</v>
      </c>
      <c r="T24" s="224" t="str">
        <f t="array" ref="T24">IFERROR(AVERAGE(   IF(T$31:T$31 &lt; 6,       T$31:T$31,       ""    )), "No Data")</f>
        <v>No Data</v>
      </c>
      <c r="W24" s="224" t="str">
        <f t="array" ref="W24">IFERROR(AVERAGE(   IF(W$31:W$31 &lt; 6,       W$31:W$31,       ""    )), "No Data")</f>
        <v>No Data</v>
      </c>
    </row>
    <row r="25" spans="1:24" ht="25.5">
      <c r="B25" s="644" t="s">
        <v>449</v>
      </c>
      <c r="C25" s="223" t="str">
        <f ca="1">IFERROR(AVERAGE($F25, $H25, $J25, $L25, $N25, $P25, $R25, $T25, $W25), "No Data")</f>
        <v>No Data</v>
      </c>
      <c r="D25" s="223"/>
      <c r="E25" s="204" t="s">
        <v>435</v>
      </c>
      <c r="F25" s="224" t="str">
        <f t="array" aca="1" ref="F25" ca="1">IFERROR(STDEVP(  IF($C$12 = "All IT",    IF(F$31:F$31 &lt; 6,       F$31:F$31,       ""    ),    IF($C$12 = $D$31:$D$31,      IF(F$31:F$31 &lt; 6,         F$31:F$31,         ""      )    )  )), "No Data")</f>
        <v>No Data</v>
      </c>
      <c r="H25" s="224" t="str">
        <f t="array" aca="1" ref="H25" ca="1">IFERROR(STDEVP(  IF($C$12 = "All IT",    IF(H$31:H$31 &lt; 6,       H$31:H$31,       ""    ),    IF($C$12 = $D$31:$D$31,      IF(H$31:H$31 &lt; 6,         H$31:H$31,         ""      )    )  )), "No Data")</f>
        <v>No Data</v>
      </c>
      <c r="J25" s="224" t="str">
        <f t="array" aca="1" ref="J25" ca="1">IFERROR(STDEVP(  IF($C$12 = "All IT",    IF(J$31:J$31 &lt; 6,       J$31:J$31,       ""    ),    IF($C$12 = $D$31:$D$31,      IF(J$31:J$31 &lt; 6,         J$31:J$31,         ""      )    )  )), "No Data")</f>
        <v>No Data</v>
      </c>
      <c r="L25" s="224" t="str">
        <f t="array" aca="1" ref="L25" ca="1">IFERROR(STDEVP(  IF($C$12 = "All IT",    IF(L$31:L$31 &lt; 6,       L$31:L$31,       ""    ),    IF($C$12 = $D$31:$D$31,      IF(L$31:L$31 &lt; 6,         L$31:L$31,         ""      )    )  )), "No Data")</f>
        <v>No Data</v>
      </c>
      <c r="N25" s="224" t="str">
        <f t="array" aca="1" ref="N25" ca="1">IFERROR(STDEVP(  IF($C$12 = "All IT",    IF(N$31:N$31 &lt; 6,       N$31:N$31,       ""    ),    IF($C$12 = $D$31:$D$31,      IF(N$31:N$31 &lt; 6,         N$31:N$31,         ""      )    )  )), "No Data")</f>
        <v>No Data</v>
      </c>
      <c r="P25" s="224" t="str">
        <f t="array" aca="1" ref="P25" ca="1">IFERROR(STDEVP(  IF($C$12 = "All IT",    IF(P$31:P$31 &lt; 6,       P$31:P$31,       ""    ),    IF($C$12 = $D$31:$D$31,      IF(P$31:P$31 &lt; 6,         P$31:P$31,         ""      )    )  )), "No Data")</f>
        <v>No Data</v>
      </c>
      <c r="R25" s="224" t="str">
        <f t="array" aca="1" ref="R25" ca="1">IFERROR(STDEVP(  IF($C$12 = "All IT",    IF(R$31:R$31 &lt; 6,       R$31:R$31,       ""    ),    IF($C$12 = $D$31:$D$31,      IF(R$31:R$31 &lt; 6,         R$31:R$31,         ""      )    )  )), "No Data")</f>
        <v>No Data</v>
      </c>
      <c r="T25" s="224" t="str">
        <f t="array" aca="1" ref="T25" ca="1">IFERROR(STDEVP(  IF($C$12 = "All IT",    IF(T$31:T$31 &lt; 6,       T$31:T$31,       ""    ),    IF($C$12 = $D$31:$D$31,      IF(T$31:T$31 &lt; 6,         T$31:T$31,         ""      )    )  )), "No Data")</f>
        <v>No Data</v>
      </c>
      <c r="W25" s="224" t="str">
        <f t="array" aca="1" ref="W25" ca="1">IFERROR(STDEVP(  IF($C$12 = "All IT",    IF(W$31:W$31 &lt; 6,       W$31:W$31,       ""    ),    IF($C$12 = $D$31:$D$31,      IF(W$31:W$31 &lt; 6,         W$31:W$31,         ""      )    )  )), "No Data")</f>
        <v>No Data</v>
      </c>
    </row>
    <row r="26" spans="1:24" ht="25.5">
      <c r="B26" s="644" t="s">
        <v>450</v>
      </c>
      <c r="C26" s="223" t="str">
        <f ca="1">IFERROR(AVERAGE($F26, $H26, $J26, $L26, $N26, $P26, $R26, $T26, $W26), "No Data")</f>
        <v>No Data</v>
      </c>
      <c r="D26" s="223"/>
      <c r="E26" s="204" t="s">
        <v>436</v>
      </c>
      <c r="F26" s="224" t="str">
        <f t="array" aca="1" ref="F26" ca="1">IFERROR(AVERAGE(  IF($C$12 = "All IT",    IF(F$31:F$31 &lt; 6,       F$31:F$31,       ""    ),    IF($C$12 = $D$31:$D$31,      IF(F$31:F$31 &lt; 6,         F$31:F$31,         ""      )    )  )), "No Data")</f>
        <v>No Data</v>
      </c>
      <c r="H26" s="224" t="str">
        <f t="array" aca="1" ref="H26" ca="1">IFERROR(AVERAGE(  IF($C$12 = "All IT",    IF(H$31:H$31 &lt; 6,       H$31:H$31,       ""    ),    IF($C$12 = $D$31:$D$31,      IF(H$31:H$31 &lt; 6,         H$31:H$31,         ""      )    )  )), "No Data")</f>
        <v>No Data</v>
      </c>
      <c r="J26" s="224" t="str">
        <f t="array" aca="1" ref="J26" ca="1">IFERROR(AVERAGE(  IF($C$12 = "All IT",    IF(J$31:J$31 &lt; 6,       J$31:J$31,       ""    ),    IF($C$12 = $D$31:$D$31,      IF(J$31:J$31 &lt; 6,         J$31:J$31,         ""      )    )  )), "No Data")</f>
        <v>No Data</v>
      </c>
      <c r="L26" s="224" t="str">
        <f t="array" aca="1" ref="L26" ca="1">IFERROR(AVERAGE(  IF($C$12 = "All IT",    IF(L$31:L$31 &lt; 6,       L$31:L$31,       ""    ),    IF($C$12 = $D$31:$D$31,      IF(L$31:L$31 &lt; 6,         L$31:L$31,         ""      )    )  )), "No Data")</f>
        <v>No Data</v>
      </c>
      <c r="N26" s="224" t="str">
        <f t="array" aca="1" ref="N26" ca="1">IFERROR(AVERAGE(  IF($C$12 = "All IT",    IF(N$31:N$31 &lt; 6,       N$31:N$31,       ""    ),    IF($C$12 = $D$31:$D$31,      IF(N$31:N$31 &lt; 6,         N$31:N$31,         ""      )    )  )), "No Data")</f>
        <v>No Data</v>
      </c>
      <c r="P26" s="224" t="str">
        <f t="array" aca="1" ref="P26" ca="1">IFERROR(AVERAGE(  IF($C$12 = "All IT",    IF(P$31:P$31 &lt; 6,       P$31:P$31,       ""    ),    IF($C$12 = $D$31:$D$31,      IF(P$31:P$31 &lt; 6,         P$31:P$31,         ""      )    )  )), "No Data")</f>
        <v>No Data</v>
      </c>
      <c r="R26" s="224" t="str">
        <f t="array" aca="1" ref="R26" ca="1">IFERROR(AVERAGE(  IF($C$12 = "All IT",    IF(R$31:R$31 &lt; 6,       R$31:R$31,       ""    ),    IF($C$12 = $D$31:$D$31,      IF(R$31:R$31 &lt; 6,         R$31:R$31,         ""      )    )  )), "No Data")</f>
        <v>No Data</v>
      </c>
      <c r="T26" s="224" t="str">
        <f t="array" aca="1" ref="T26" ca="1">IFERROR(AVERAGE(  IF($C$12 = "All IT",    IF(T$31:T$31 &lt; 6,       T$31:T$31,       ""    ),    IF($C$12 = $D$31:$D$31,      IF(T$31:T$31 &lt; 6,         T$31:T$31,         ""      )    )  )), "No Data")</f>
        <v>No Data</v>
      </c>
      <c r="W26" s="224" t="str">
        <f t="array" aca="1" ref="W26" ca="1">IFERROR(AVERAGE(  IF($C$12 = "All IT",    IF(W$31:W$31 &lt; 6,       W$31:W$31,       ""    ),    IF($C$12 = $D$31:$D$31,      IF(W$31:W$31 &lt; 6,         W$31:W$31,         ""      )    )  )), "No Data")</f>
        <v>No Data</v>
      </c>
    </row>
    <row r="27" spans="1:24">
      <c r="E27" s="204" t="s">
        <v>437</v>
      </c>
    </row>
    <row r="28" spans="1:24">
      <c r="E28" s="204" t="s">
        <v>438</v>
      </c>
      <c r="F28" s="763" t="str">
        <f ca="1">LOOKUP(F$30, INDIRECT("'" &amp; $C$6 &amp; "'!" &amp; INDIRECT("'" &amp; $C$6 &amp; "'!" &amp; $C$7)))</f>
        <v>IT helps support my organization and enables my team to more efficiently service PL customers.</v>
      </c>
      <c r="G28" s="763"/>
      <c r="H28" s="763" t="str">
        <f ca="1">LOOKUP(H$30, INDIRECT("'" &amp; $C$6 &amp; "'!" &amp; INDIRECT("'" &amp; $C$6 &amp; "'!" &amp; $C$7)))</f>
        <v>I understand the allocation of IT resources for my area and the projects I am sponsoring.</v>
      </c>
      <c r="I28" s="763"/>
      <c r="J28" s="763" t="str">
        <f ca="1">LOOKUP(J$30, INDIRECT("'" &amp; $C$6 &amp; "'!" &amp; INDIRECT("'" &amp; $C$6 &amp; "'!" &amp; $C$7)))</f>
        <v>I have the influence I need on IT resource allocation.</v>
      </c>
      <c r="K28" s="763"/>
      <c r="L28" s="763" t="str">
        <f ca="1">LOOKUP(L$30, INDIRECT("'" &amp; $C$6 &amp; "'!" &amp; INDIRECT("'" &amp; $C$6 &amp; "'!" &amp; $C$7)))</f>
        <v>I feel the options presented for getting work done (e.g., Staffing, Budget, Scope, Timing, Use of New Technologies) enable me to make decisions.</v>
      </c>
      <c r="M28" s="763"/>
      <c r="N28" s="763" t="str">
        <f ca="1">LOOKUP(N$30, INDIRECT("'" &amp; $C$6 &amp; "'!" &amp; INDIRECT("'" &amp; $C$6 &amp; "'!" &amp; $C$7)))</f>
        <v>IT communicates adequate, clear, timely, and useful information to me.</v>
      </c>
      <c r="O28" s="763"/>
      <c r="P28" s="763" t="str">
        <f ca="1">LOOKUP(P$30, INDIRECT("'" &amp; $C$6 &amp; "'!" &amp; INDIRECT("'" &amp; $C$6 &amp; "'!" &amp; $C$7)))</f>
        <v>I am satisfied with IT staff's support of production applications.</v>
      </c>
      <c r="Q28" s="763"/>
      <c r="R28" s="763" t="str">
        <f ca="1">LOOKUP(R$30, INDIRECT("'" &amp; $C$6 &amp; "'!" &amp; INDIRECT("'" &amp; $C$6 &amp; "'!" &amp; $C$7)))</f>
        <v>Overall, IT is managing their work well (people, issues, resourceful, good work management).</v>
      </c>
      <c r="S28" s="763"/>
      <c r="T28" s="763" t="str">
        <f ca="1">LOOKUP(T$30, INDIRECT("'" &amp; $C$6 &amp; "'!" &amp; INDIRECT("'" &amp; $C$6 &amp; "'!" &amp; $C$7)))</f>
        <v>Overall, I am satisfied when I work with IT.</v>
      </c>
      <c r="U28" s="763"/>
      <c r="V28" s="1" t="str">
        <f ca="1">LOOKUP(V$30, INDIRECT("'" &amp; $C$6 &amp; "'!" &amp; INDIRECT("'" &amp; $C$6 &amp; "'!" &amp; $C$7)))</f>
        <v>Please describe any other expectations of IT that you would like to express.</v>
      </c>
      <c r="W28" s="763" t="str">
        <f ca="1">LOOKUP(W$30, INDIRECT("'" &amp; $C$6 &amp; "'!" &amp; INDIRECT("'" &amp; $C$6 &amp; "'!" &amp; $C$7)))</f>
        <v>Please provide any Additional Comments you have:</v>
      </c>
      <c r="X28" s="763"/>
    </row>
    <row r="29" spans="1:24">
      <c r="E29" s="204" t="s">
        <v>439</v>
      </c>
      <c r="G29" s="1" t="str">
        <f ca="1">LOOKUP(G$30, INDIRECT("'" &amp; $C$6 &amp; "'!" &amp; INDIRECT("'" &amp; $C$6 &amp; "'!" &amp; $C$7)))</f>
        <v>Please describe:</v>
      </c>
      <c r="I29" s="1" t="str">
        <f ca="1">LOOKUP(I$30, INDIRECT("'" &amp; $C$6 &amp; "'!" &amp; INDIRECT("'" &amp; $C$6 &amp; "'!" &amp; $C$7)))</f>
        <v>If you disagree, please describe what would help you:</v>
      </c>
      <c r="K29" s="1" t="str">
        <f ca="1">LOOKUP(K$30, INDIRECT("'" &amp; $C$6 &amp; "'!" &amp; INDIRECT("'" &amp; $C$6 &amp; "'!" &amp; $C$7)))</f>
        <v>If not, please describe:</v>
      </c>
      <c r="M29" s="1" t="str">
        <f ca="1">LOOKUP(M$30, INDIRECT("'" &amp; $C$6 &amp; "'!" &amp; INDIRECT("'" &amp; $C$6 &amp; "'!" &amp; $C$7)))</f>
        <v>If you disagree, please describe what would help you:</v>
      </c>
      <c r="O29" s="1" t="str">
        <f ca="1">LOOKUP(O$30, INDIRECT("'" &amp; $C$6 &amp; "'!" &amp; INDIRECT("'" &amp; $C$6 &amp; "'!" &amp; $C$7)))</f>
        <v>If not, please explain:</v>
      </c>
      <c r="Q29" s="1" t="str">
        <f ca="1">LOOKUP(Q$30, INDIRECT("'" &amp; $C$6 &amp; "'!" &amp; INDIRECT("'" &amp; $C$6 &amp; "'!" &amp; $C$7)))</f>
        <v>If not, please explain:</v>
      </c>
      <c r="S29" s="1" t="str">
        <f ca="1">LOOKUP(S$30, INDIRECT("'" &amp; $C$6 &amp; "'!" &amp; INDIRECT("'" &amp; $C$6 &amp; "'!" &amp; $C$7)))</f>
        <v>If you disagree, please describe what you would like to see changed:</v>
      </c>
      <c r="U29" s="1" t="str">
        <f ca="1">LOOKUP(U$30, INDIRECT("'" &amp; $C$6 &amp; "'!" &amp; INDIRECT("'" &amp; $C$6 &amp; "'!" &amp; $C$7)))</f>
        <v>Please provide any comments:</v>
      </c>
    </row>
    <row r="30" spans="1:24">
      <c r="A30" s="204" t="s">
        <v>420</v>
      </c>
      <c r="B30" s="204" t="s">
        <v>394</v>
      </c>
      <c r="C30" s="204" t="s">
        <v>396</v>
      </c>
      <c r="D30" s="204" t="s">
        <v>447</v>
      </c>
      <c r="E30" s="204" t="s">
        <v>446</v>
      </c>
      <c r="F30" s="1" t="s">
        <v>398</v>
      </c>
      <c r="G30" s="1" t="s">
        <v>399</v>
      </c>
      <c r="H30" s="1" t="s">
        <v>401</v>
      </c>
      <c r="I30" s="1" t="s">
        <v>402</v>
      </c>
      <c r="J30" s="1" t="s">
        <v>403</v>
      </c>
      <c r="K30" s="1" t="s">
        <v>404</v>
      </c>
      <c r="L30" s="1" t="s">
        <v>406</v>
      </c>
      <c r="M30" s="1" t="s">
        <v>407</v>
      </c>
      <c r="N30" s="1" t="s">
        <v>408</v>
      </c>
      <c r="O30" s="1" t="s">
        <v>409</v>
      </c>
      <c r="P30" s="1" t="s">
        <v>410</v>
      </c>
      <c r="Q30" s="1" t="s">
        <v>411</v>
      </c>
      <c r="R30" s="1" t="s">
        <v>412</v>
      </c>
      <c r="S30" s="1" t="s">
        <v>413</v>
      </c>
      <c r="T30" s="1" t="s">
        <v>415</v>
      </c>
      <c r="U30" s="1" t="s">
        <v>416</v>
      </c>
      <c r="V30" s="1" t="s">
        <v>418</v>
      </c>
      <c r="W30" s="1" t="s">
        <v>419</v>
      </c>
    </row>
    <row r="31" spans="1:24">
      <c r="D31" s="204" t="e">
        <f ca="1">LOOKUP(E31,INDIRECT(Team_Name_Lookup))</f>
        <v>#N/A</v>
      </c>
    </row>
  </sheetData>
  <mergeCells count="9">
    <mergeCell ref="R28:S28"/>
    <mergeCell ref="T28:U28"/>
    <mergeCell ref="W28:X28"/>
    <mergeCell ref="F28:G28"/>
    <mergeCell ref="H28:I28"/>
    <mergeCell ref="J28:K28"/>
    <mergeCell ref="L28:M28"/>
    <mergeCell ref="N28:O28"/>
    <mergeCell ref="P28:Q28"/>
  </mergeCells>
  <hyperlinks>
    <hyperlink ref="A1" location="'Table of Contents'!A1" display="Table of Contents"/>
  </hyperlinks>
  <printOptions headings="1" gridLines="1"/>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tableParts count="1">
    <tablePart r:id="rId3"/>
  </tableParts>
</worksheet>
</file>

<file path=xl/worksheets/sheet17.xml><?xml version="1.0" encoding="utf-8"?>
<worksheet xmlns="http://schemas.openxmlformats.org/spreadsheetml/2006/main" xmlns:r="http://schemas.openxmlformats.org/officeDocument/2006/relationships">
  <sheetPr codeName="Sheet13"/>
  <dimension ref="A1:J43"/>
  <sheetViews>
    <sheetView workbookViewId="0">
      <pane xSplit="2" ySplit="10" topLeftCell="C11" activePane="bottomRight" state="frozen"/>
      <selection pane="topRight" activeCell="C1" sqref="C1"/>
      <selection pane="bottomLeft" activeCell="A11" sqref="A11"/>
      <selection pane="bottomRight" activeCell="B26" sqref="B26"/>
    </sheetView>
  </sheetViews>
  <sheetFormatPr defaultRowHeight="12.75"/>
  <cols>
    <col min="1" max="1" width="15.7109375" style="221" customWidth="1"/>
    <col min="2" max="2" width="50.7109375" style="1" customWidth="1"/>
    <col min="3" max="10" width="5.7109375" style="221" customWidth="1"/>
  </cols>
  <sheetData>
    <row r="1" spans="1:10">
      <c r="A1" s="5" t="s">
        <v>29</v>
      </c>
    </row>
    <row r="4" spans="1:10">
      <c r="A4" s="221" t="s">
        <v>384</v>
      </c>
      <c r="B4" s="1" t="str">
        <f>ADDRESS(11,1,,TRUE) &amp; ":" &amp; ADDRESS(43,2,TRUE)</f>
        <v>$A$11:$B$43</v>
      </c>
    </row>
    <row r="5" spans="1:10">
      <c r="A5" s="221" t="s">
        <v>385</v>
      </c>
      <c r="B5" s="1" t="str">
        <f>ADDRESS(11,3,,TRUE) &amp; ":" &amp; ADDRESS(43,4,TRUE)</f>
        <v>$C$11:$D$43</v>
      </c>
    </row>
    <row r="6" spans="1:10">
      <c r="A6" s="221" t="s">
        <v>386</v>
      </c>
      <c r="B6" s="1" t="str">
        <f>ADDRESS(11,5,,TRUE) &amp; ":" &amp; ADDRESS(43,6,TRUE)</f>
        <v>$E$11:$F$43</v>
      </c>
    </row>
    <row r="7" spans="1:10">
      <c r="A7" s="221" t="s">
        <v>387</v>
      </c>
      <c r="B7" s="1" t="str">
        <f>ADDRESS(11,7,,TRUE) &amp; ":" &amp; ADDRESS(43,8,TRUE)</f>
        <v>$G$11:$H$43</v>
      </c>
    </row>
    <row r="8" spans="1:10">
      <c r="A8" s="221" t="s">
        <v>388</v>
      </c>
      <c r="B8" s="1" t="str">
        <f>ADDRESS(11,9,,TRUE) &amp; ":" &amp; ADDRESS(43,10,TRUE)</f>
        <v>$I$11:$J$43</v>
      </c>
    </row>
    <row r="10" spans="1:10" ht="45.75">
      <c r="A10" s="220" t="s">
        <v>389</v>
      </c>
      <c r="B10" s="220" t="s">
        <v>390</v>
      </c>
      <c r="C10" s="222" t="s">
        <v>389</v>
      </c>
      <c r="D10" s="222" t="s">
        <v>391</v>
      </c>
      <c r="E10" s="222" t="s">
        <v>389</v>
      </c>
      <c r="F10" s="222" t="s">
        <v>386</v>
      </c>
      <c r="G10" s="222" t="s">
        <v>389</v>
      </c>
      <c r="H10" s="222" t="s">
        <v>392</v>
      </c>
      <c r="I10" s="222" t="s">
        <v>389</v>
      </c>
      <c r="J10" s="222" t="s">
        <v>393</v>
      </c>
    </row>
    <row r="11" spans="1:10" ht="25.5">
      <c r="A11" s="221" t="s">
        <v>398</v>
      </c>
      <c r="B11" s="1" t="s">
        <v>452</v>
      </c>
      <c r="C11" s="221" t="str">
        <f t="shared" ref="C11:C43" si="0">A11</f>
        <v>Q1</v>
      </c>
      <c r="D11" s="221">
        <f t="shared" ref="D11:D43" si="1">IF(ISERR(FIND("b",A11)),5,110)</f>
        <v>5</v>
      </c>
      <c r="E11" s="221" t="str">
        <f t="shared" ref="E11:E43" si="2">A11</f>
        <v>Q1</v>
      </c>
      <c r="F11" s="221">
        <f t="shared" ref="F11:F43" si="3">IF(ISERR(FIND("b",A11)),1,0)</f>
        <v>1</v>
      </c>
      <c r="G11" s="221" t="str">
        <f t="shared" ref="G11:G43" si="4">A11</f>
        <v>Q1</v>
      </c>
      <c r="H11" s="221">
        <f t="shared" ref="H11:H43" si="5">IF(ISERR(FIND("b",A11)),1,0)</f>
        <v>1</v>
      </c>
      <c r="I11" s="221" t="str">
        <f t="shared" ref="I11:I43" si="6">A11</f>
        <v>Q1</v>
      </c>
      <c r="J11" s="221">
        <f t="shared" ref="J11:J43" si="7">IF(H11,0,1)</f>
        <v>0</v>
      </c>
    </row>
    <row r="12" spans="1:10" ht="38.25">
      <c r="A12" s="221" t="s">
        <v>419</v>
      </c>
      <c r="B12" s="1" t="s">
        <v>460</v>
      </c>
      <c r="C12" s="221" t="str">
        <f t="shared" si="0"/>
        <v>Q10</v>
      </c>
      <c r="D12" s="221">
        <f t="shared" si="1"/>
        <v>5</v>
      </c>
      <c r="E12" s="221" t="str">
        <f t="shared" si="2"/>
        <v>Q10</v>
      </c>
      <c r="F12" s="221">
        <f t="shared" si="3"/>
        <v>1</v>
      </c>
      <c r="G12" s="221" t="str">
        <f t="shared" si="4"/>
        <v>Q10</v>
      </c>
      <c r="H12" s="221">
        <f t="shared" si="5"/>
        <v>1</v>
      </c>
      <c r="I12" s="221" t="str">
        <f t="shared" si="6"/>
        <v>Q10</v>
      </c>
      <c r="J12" s="221">
        <f t="shared" si="7"/>
        <v>0</v>
      </c>
    </row>
    <row r="13" spans="1:10" ht="25.5">
      <c r="A13" s="221" t="s">
        <v>461</v>
      </c>
      <c r="B13" s="1" t="s">
        <v>414</v>
      </c>
      <c r="C13" s="221" t="str">
        <f t="shared" si="0"/>
        <v>Q10b</v>
      </c>
      <c r="D13" s="221">
        <f t="shared" si="1"/>
        <v>110</v>
      </c>
      <c r="E13" s="221" t="str">
        <f t="shared" si="2"/>
        <v>Q10b</v>
      </c>
      <c r="F13" s="221">
        <f t="shared" si="3"/>
        <v>0</v>
      </c>
      <c r="G13" s="221" t="str">
        <f t="shared" si="4"/>
        <v>Q10b</v>
      </c>
      <c r="H13" s="221">
        <f t="shared" si="5"/>
        <v>0</v>
      </c>
      <c r="I13" s="221" t="str">
        <f t="shared" si="6"/>
        <v>Q10b</v>
      </c>
      <c r="J13" s="221">
        <f t="shared" si="7"/>
        <v>1</v>
      </c>
    </row>
    <row r="14" spans="1:10" ht="25.5">
      <c r="A14" s="221" t="s">
        <v>462</v>
      </c>
      <c r="B14" s="1" t="s">
        <v>463</v>
      </c>
      <c r="C14" s="221" t="str">
        <f t="shared" si="0"/>
        <v>Q11</v>
      </c>
      <c r="D14" s="221">
        <f t="shared" si="1"/>
        <v>5</v>
      </c>
      <c r="E14" s="221" t="str">
        <f t="shared" si="2"/>
        <v>Q11</v>
      </c>
      <c r="F14" s="221">
        <f t="shared" si="3"/>
        <v>1</v>
      </c>
      <c r="G14" s="221" t="str">
        <f t="shared" si="4"/>
        <v>Q11</v>
      </c>
      <c r="H14" s="221">
        <f t="shared" si="5"/>
        <v>1</v>
      </c>
      <c r="I14" s="221" t="str">
        <f t="shared" si="6"/>
        <v>Q11</v>
      </c>
      <c r="J14" s="221">
        <f t="shared" si="7"/>
        <v>0</v>
      </c>
    </row>
    <row r="15" spans="1:10">
      <c r="A15" s="221" t="s">
        <v>464</v>
      </c>
      <c r="B15" s="1" t="s">
        <v>459</v>
      </c>
      <c r="C15" s="221" t="str">
        <f t="shared" si="0"/>
        <v>Q11b</v>
      </c>
      <c r="D15" s="221">
        <f t="shared" si="1"/>
        <v>110</v>
      </c>
      <c r="E15" s="221" t="str">
        <f t="shared" si="2"/>
        <v>Q11b</v>
      </c>
      <c r="F15" s="221">
        <f t="shared" si="3"/>
        <v>0</v>
      </c>
      <c r="G15" s="221" t="str">
        <f t="shared" si="4"/>
        <v>Q11b</v>
      </c>
      <c r="H15" s="221">
        <f t="shared" si="5"/>
        <v>0</v>
      </c>
      <c r="I15" s="221" t="str">
        <f t="shared" si="6"/>
        <v>Q11b</v>
      </c>
      <c r="J15" s="221">
        <f t="shared" si="7"/>
        <v>1</v>
      </c>
    </row>
    <row r="16" spans="1:10" ht="25.5">
      <c r="A16" s="221" t="s">
        <v>465</v>
      </c>
      <c r="B16" s="1" t="s">
        <v>466</v>
      </c>
      <c r="C16" s="221" t="str">
        <f t="shared" si="0"/>
        <v>Q12</v>
      </c>
      <c r="D16" s="221">
        <f t="shared" si="1"/>
        <v>5</v>
      </c>
      <c r="E16" s="221" t="str">
        <f t="shared" si="2"/>
        <v>Q12</v>
      </c>
      <c r="F16" s="221">
        <f t="shared" si="3"/>
        <v>1</v>
      </c>
      <c r="G16" s="221" t="str">
        <f t="shared" si="4"/>
        <v>Q12</v>
      </c>
      <c r="H16" s="221">
        <f t="shared" si="5"/>
        <v>1</v>
      </c>
      <c r="I16" s="221" t="str">
        <f t="shared" si="6"/>
        <v>Q12</v>
      </c>
      <c r="J16" s="221">
        <f t="shared" si="7"/>
        <v>0</v>
      </c>
    </row>
    <row r="17" spans="1:10">
      <c r="A17" s="221" t="s">
        <v>467</v>
      </c>
      <c r="B17" s="1" t="s">
        <v>459</v>
      </c>
      <c r="C17" s="221" t="str">
        <f t="shared" si="0"/>
        <v>Q12b</v>
      </c>
      <c r="D17" s="221">
        <f t="shared" si="1"/>
        <v>110</v>
      </c>
      <c r="E17" s="221" t="str">
        <f t="shared" si="2"/>
        <v>Q12b</v>
      </c>
      <c r="F17" s="221">
        <f t="shared" si="3"/>
        <v>0</v>
      </c>
      <c r="G17" s="221" t="str">
        <f t="shared" si="4"/>
        <v>Q12b</v>
      </c>
      <c r="H17" s="221">
        <f t="shared" si="5"/>
        <v>0</v>
      </c>
      <c r="I17" s="221" t="str">
        <f t="shared" si="6"/>
        <v>Q12b</v>
      </c>
      <c r="J17" s="221">
        <f t="shared" si="7"/>
        <v>1</v>
      </c>
    </row>
    <row r="18" spans="1:10" ht="25.5">
      <c r="A18" s="221" t="s">
        <v>468</v>
      </c>
      <c r="B18" s="1" t="s">
        <v>93</v>
      </c>
      <c r="C18" s="221" t="str">
        <f t="shared" si="0"/>
        <v>Q13</v>
      </c>
      <c r="D18" s="221">
        <f t="shared" si="1"/>
        <v>5</v>
      </c>
      <c r="E18" s="221" t="str">
        <f t="shared" si="2"/>
        <v>Q13</v>
      </c>
      <c r="F18" s="221">
        <f t="shared" si="3"/>
        <v>1</v>
      </c>
      <c r="G18" s="221" t="str">
        <f t="shared" si="4"/>
        <v>Q13</v>
      </c>
      <c r="H18" s="221">
        <f t="shared" si="5"/>
        <v>1</v>
      </c>
      <c r="I18" s="221" t="str">
        <f t="shared" si="6"/>
        <v>Q13</v>
      </c>
      <c r="J18" s="221">
        <f t="shared" si="7"/>
        <v>0</v>
      </c>
    </row>
    <row r="19" spans="1:10">
      <c r="A19" s="221" t="s">
        <v>469</v>
      </c>
      <c r="B19" s="1" t="s">
        <v>400</v>
      </c>
      <c r="C19" s="221" t="str">
        <f t="shared" si="0"/>
        <v>Q13b</v>
      </c>
      <c r="D19" s="221">
        <f t="shared" si="1"/>
        <v>110</v>
      </c>
      <c r="E19" s="221" t="str">
        <f t="shared" si="2"/>
        <v>Q13b</v>
      </c>
      <c r="F19" s="221">
        <f t="shared" si="3"/>
        <v>0</v>
      </c>
      <c r="G19" s="221" t="str">
        <f t="shared" si="4"/>
        <v>Q13b</v>
      </c>
      <c r="H19" s="221">
        <f t="shared" si="5"/>
        <v>0</v>
      </c>
      <c r="I19" s="221" t="str">
        <f t="shared" si="6"/>
        <v>Q13b</v>
      </c>
      <c r="J19" s="221">
        <f t="shared" si="7"/>
        <v>1</v>
      </c>
    </row>
    <row r="20" spans="1:10" ht="25.5">
      <c r="A20" s="221" t="s">
        <v>470</v>
      </c>
      <c r="B20" s="1" t="s">
        <v>91</v>
      </c>
      <c r="C20" s="221" t="str">
        <f t="shared" si="0"/>
        <v>Q14</v>
      </c>
      <c r="D20" s="221">
        <f t="shared" si="1"/>
        <v>5</v>
      </c>
      <c r="E20" s="221" t="str">
        <f t="shared" si="2"/>
        <v>Q14</v>
      </c>
      <c r="F20" s="221">
        <f t="shared" si="3"/>
        <v>1</v>
      </c>
      <c r="G20" s="221" t="str">
        <f t="shared" si="4"/>
        <v>Q14</v>
      </c>
      <c r="H20" s="221">
        <f t="shared" si="5"/>
        <v>1</v>
      </c>
      <c r="I20" s="221" t="str">
        <f t="shared" si="6"/>
        <v>Q14</v>
      </c>
      <c r="J20" s="221">
        <f t="shared" si="7"/>
        <v>0</v>
      </c>
    </row>
    <row r="21" spans="1:10">
      <c r="A21" s="221" t="s">
        <v>471</v>
      </c>
      <c r="B21" s="1" t="s">
        <v>459</v>
      </c>
      <c r="C21" s="221" t="str">
        <f t="shared" si="0"/>
        <v>Q14b</v>
      </c>
      <c r="D21" s="221">
        <f t="shared" si="1"/>
        <v>110</v>
      </c>
      <c r="E21" s="221" t="str">
        <f t="shared" si="2"/>
        <v>Q14b</v>
      </c>
      <c r="F21" s="221">
        <f t="shared" si="3"/>
        <v>0</v>
      </c>
      <c r="G21" s="221" t="str">
        <f t="shared" si="4"/>
        <v>Q14b</v>
      </c>
      <c r="H21" s="221">
        <f t="shared" si="5"/>
        <v>0</v>
      </c>
      <c r="I21" s="221" t="str">
        <f t="shared" si="6"/>
        <v>Q14b</v>
      </c>
      <c r="J21" s="221">
        <f t="shared" si="7"/>
        <v>1</v>
      </c>
    </row>
    <row r="22" spans="1:10" ht="25.5">
      <c r="A22" s="221" t="s">
        <v>472</v>
      </c>
      <c r="B22" s="1" t="s">
        <v>473</v>
      </c>
      <c r="C22" s="221" t="str">
        <f t="shared" si="0"/>
        <v>Q15</v>
      </c>
      <c r="D22" s="221">
        <v>110</v>
      </c>
      <c r="E22" s="221" t="str">
        <f t="shared" si="2"/>
        <v>Q15</v>
      </c>
      <c r="F22" s="221">
        <v>0</v>
      </c>
      <c r="G22" s="221" t="str">
        <f t="shared" si="4"/>
        <v>Q15</v>
      </c>
      <c r="H22" s="221">
        <f t="shared" si="5"/>
        <v>1</v>
      </c>
      <c r="I22" s="221" t="str">
        <f t="shared" si="6"/>
        <v>Q15</v>
      </c>
      <c r="J22" s="221">
        <f t="shared" si="7"/>
        <v>0</v>
      </c>
    </row>
    <row r="23" spans="1:10">
      <c r="A23" s="221" t="s">
        <v>474</v>
      </c>
      <c r="B23" s="1" t="s">
        <v>475</v>
      </c>
      <c r="C23" s="221" t="str">
        <f t="shared" si="0"/>
        <v>Q16</v>
      </c>
      <c r="D23" s="221">
        <v>110</v>
      </c>
      <c r="E23" s="221" t="str">
        <f t="shared" si="2"/>
        <v>Q16</v>
      </c>
      <c r="F23" s="221">
        <v>0</v>
      </c>
      <c r="G23" s="221" t="str">
        <f t="shared" si="4"/>
        <v>Q16</v>
      </c>
      <c r="H23" s="221">
        <f t="shared" si="5"/>
        <v>1</v>
      </c>
      <c r="I23" s="221" t="str">
        <f t="shared" si="6"/>
        <v>Q16</v>
      </c>
      <c r="J23" s="221">
        <f t="shared" si="7"/>
        <v>0</v>
      </c>
    </row>
    <row r="24" spans="1:10">
      <c r="A24" s="221" t="s">
        <v>399</v>
      </c>
      <c r="B24" s="1" t="s">
        <v>453</v>
      </c>
      <c r="C24" s="221" t="str">
        <f t="shared" si="0"/>
        <v>Q1b</v>
      </c>
      <c r="D24" s="221">
        <f t="shared" si="1"/>
        <v>110</v>
      </c>
      <c r="E24" s="221" t="str">
        <f t="shared" si="2"/>
        <v>Q1b</v>
      </c>
      <c r="F24" s="221">
        <f t="shared" si="3"/>
        <v>0</v>
      </c>
      <c r="G24" s="221" t="str">
        <f t="shared" si="4"/>
        <v>Q1b</v>
      </c>
      <c r="H24" s="221">
        <f t="shared" si="5"/>
        <v>0</v>
      </c>
      <c r="I24" s="221" t="str">
        <f t="shared" si="6"/>
        <v>Q1b</v>
      </c>
      <c r="J24" s="221">
        <f t="shared" si="7"/>
        <v>1</v>
      </c>
    </row>
    <row r="25" spans="1:10" ht="38.25">
      <c r="A25" s="221" t="s">
        <v>401</v>
      </c>
      <c r="B25" s="1" t="s">
        <v>85</v>
      </c>
      <c r="C25" s="221" t="str">
        <f t="shared" si="0"/>
        <v>Q2</v>
      </c>
      <c r="D25" s="221">
        <f t="shared" si="1"/>
        <v>5</v>
      </c>
      <c r="E25" s="221" t="str">
        <f t="shared" si="2"/>
        <v>Q2</v>
      </c>
      <c r="F25" s="221">
        <f t="shared" si="3"/>
        <v>1</v>
      </c>
      <c r="G25" s="221" t="str">
        <f t="shared" si="4"/>
        <v>Q2</v>
      </c>
      <c r="H25" s="221">
        <f t="shared" si="5"/>
        <v>1</v>
      </c>
      <c r="I25" s="221" t="str">
        <f t="shared" si="6"/>
        <v>Q2</v>
      </c>
      <c r="J25" s="221">
        <f t="shared" si="7"/>
        <v>0</v>
      </c>
    </row>
    <row r="26" spans="1:10" ht="25.5">
      <c r="A26" s="221" t="s">
        <v>402</v>
      </c>
      <c r="B26" s="1" t="s">
        <v>523</v>
      </c>
      <c r="C26" s="221" t="str">
        <f t="shared" si="0"/>
        <v>Q2b</v>
      </c>
      <c r="D26" s="221">
        <f t="shared" si="1"/>
        <v>110</v>
      </c>
      <c r="E26" s="221" t="str">
        <f t="shared" si="2"/>
        <v>Q2b</v>
      </c>
      <c r="F26" s="221">
        <f t="shared" si="3"/>
        <v>0</v>
      </c>
      <c r="G26" s="221" t="str">
        <f t="shared" si="4"/>
        <v>Q2b</v>
      </c>
      <c r="H26" s="221">
        <f t="shared" si="5"/>
        <v>0</v>
      </c>
      <c r="I26" s="221" t="str">
        <f t="shared" si="6"/>
        <v>Q2b</v>
      </c>
      <c r="J26" s="221">
        <f t="shared" si="7"/>
        <v>1</v>
      </c>
    </row>
    <row r="27" spans="1:10" ht="25.5">
      <c r="A27" s="221" t="s">
        <v>403</v>
      </c>
      <c r="B27" s="1" t="s">
        <v>454</v>
      </c>
      <c r="C27" s="221" t="str">
        <f t="shared" si="0"/>
        <v>Q3</v>
      </c>
      <c r="D27" s="221">
        <f t="shared" si="1"/>
        <v>5</v>
      </c>
      <c r="E27" s="221" t="str">
        <f t="shared" si="2"/>
        <v>Q3</v>
      </c>
      <c r="F27" s="221">
        <f t="shared" si="3"/>
        <v>1</v>
      </c>
      <c r="G27" s="221" t="str">
        <f t="shared" si="4"/>
        <v>Q3</v>
      </c>
      <c r="H27" s="221">
        <f t="shared" si="5"/>
        <v>1</v>
      </c>
      <c r="I27" s="221" t="str">
        <f t="shared" si="6"/>
        <v>Q3</v>
      </c>
      <c r="J27" s="221">
        <f t="shared" si="7"/>
        <v>0</v>
      </c>
    </row>
    <row r="28" spans="1:10">
      <c r="A28" s="221" t="s">
        <v>404</v>
      </c>
      <c r="B28" s="1" t="s">
        <v>455</v>
      </c>
      <c r="C28" s="221" t="str">
        <f t="shared" si="0"/>
        <v>Q3b</v>
      </c>
      <c r="D28" s="221">
        <f t="shared" si="1"/>
        <v>110</v>
      </c>
      <c r="E28" s="221" t="str">
        <f t="shared" si="2"/>
        <v>Q3b</v>
      </c>
      <c r="F28" s="221">
        <f t="shared" si="3"/>
        <v>0</v>
      </c>
      <c r="G28" s="221" t="str">
        <f t="shared" si="4"/>
        <v>Q3b</v>
      </c>
      <c r="H28" s="221">
        <f t="shared" si="5"/>
        <v>0</v>
      </c>
      <c r="I28" s="221" t="str">
        <f t="shared" si="6"/>
        <v>Q3b</v>
      </c>
      <c r="J28" s="221">
        <f t="shared" si="7"/>
        <v>1</v>
      </c>
    </row>
    <row r="29" spans="1:10" ht="25.5">
      <c r="A29" s="221" t="s">
        <v>406</v>
      </c>
      <c r="B29" s="1" t="s">
        <v>86</v>
      </c>
      <c r="C29" s="221" t="str">
        <f t="shared" si="0"/>
        <v>Q4</v>
      </c>
      <c r="D29" s="221">
        <f t="shared" si="1"/>
        <v>5</v>
      </c>
      <c r="E29" s="221" t="str">
        <f t="shared" si="2"/>
        <v>Q4</v>
      </c>
      <c r="F29" s="221">
        <f t="shared" si="3"/>
        <v>1</v>
      </c>
      <c r="G29" s="221" t="str">
        <f t="shared" si="4"/>
        <v>Q4</v>
      </c>
      <c r="H29" s="221">
        <f t="shared" si="5"/>
        <v>1</v>
      </c>
      <c r="I29" s="221" t="str">
        <f t="shared" si="6"/>
        <v>Q4</v>
      </c>
      <c r="J29" s="221">
        <f t="shared" si="7"/>
        <v>0</v>
      </c>
    </row>
    <row r="30" spans="1:10" ht="25.5">
      <c r="A30" s="221" t="s">
        <v>407</v>
      </c>
      <c r="B30" s="1" t="s">
        <v>414</v>
      </c>
      <c r="C30" s="221" t="str">
        <f t="shared" si="0"/>
        <v>Q4b</v>
      </c>
      <c r="D30" s="221">
        <f t="shared" si="1"/>
        <v>110</v>
      </c>
      <c r="E30" s="221" t="str">
        <f t="shared" si="2"/>
        <v>Q4b</v>
      </c>
      <c r="F30" s="221">
        <f t="shared" si="3"/>
        <v>0</v>
      </c>
      <c r="G30" s="221" t="str">
        <f t="shared" si="4"/>
        <v>Q4b</v>
      </c>
      <c r="H30" s="221">
        <f t="shared" si="5"/>
        <v>0</v>
      </c>
      <c r="I30" s="221" t="str">
        <f t="shared" si="6"/>
        <v>Q4b</v>
      </c>
      <c r="J30" s="221">
        <f t="shared" si="7"/>
        <v>1</v>
      </c>
    </row>
    <row r="31" spans="1:10" ht="25.5">
      <c r="A31" s="221" t="s">
        <v>408</v>
      </c>
      <c r="B31" s="1" t="s">
        <v>87</v>
      </c>
      <c r="C31" s="221" t="str">
        <f t="shared" si="0"/>
        <v>Q5</v>
      </c>
      <c r="D31" s="221">
        <f t="shared" si="1"/>
        <v>5</v>
      </c>
      <c r="E31" s="221" t="str">
        <f t="shared" si="2"/>
        <v>Q5</v>
      </c>
      <c r="F31" s="221">
        <f t="shared" si="3"/>
        <v>1</v>
      </c>
      <c r="G31" s="221" t="str">
        <f t="shared" si="4"/>
        <v>Q5</v>
      </c>
      <c r="H31" s="221">
        <f t="shared" si="5"/>
        <v>1</v>
      </c>
      <c r="I31" s="221" t="str">
        <f t="shared" si="6"/>
        <v>Q5</v>
      </c>
      <c r="J31" s="221">
        <f t="shared" si="7"/>
        <v>0</v>
      </c>
    </row>
    <row r="32" spans="1:10">
      <c r="A32" s="221" t="s">
        <v>409</v>
      </c>
      <c r="B32" s="1" t="s">
        <v>417</v>
      </c>
      <c r="C32" s="221" t="str">
        <f t="shared" si="0"/>
        <v>Q5b</v>
      </c>
      <c r="D32" s="221">
        <f t="shared" si="1"/>
        <v>110</v>
      </c>
      <c r="E32" s="221" t="str">
        <f t="shared" si="2"/>
        <v>Q5b</v>
      </c>
      <c r="F32" s="221">
        <f t="shared" si="3"/>
        <v>0</v>
      </c>
      <c r="G32" s="221" t="str">
        <f t="shared" si="4"/>
        <v>Q5b</v>
      </c>
      <c r="H32" s="221">
        <f t="shared" si="5"/>
        <v>0</v>
      </c>
      <c r="I32" s="221" t="str">
        <f t="shared" si="6"/>
        <v>Q5b</v>
      </c>
      <c r="J32" s="221">
        <f t="shared" si="7"/>
        <v>1</v>
      </c>
    </row>
    <row r="33" spans="1:10" ht="25.5">
      <c r="A33" s="221" t="s">
        <v>410</v>
      </c>
      <c r="B33" s="1" t="s">
        <v>88</v>
      </c>
      <c r="C33" s="221" t="str">
        <f t="shared" si="0"/>
        <v>Q6</v>
      </c>
      <c r="D33" s="221">
        <f t="shared" si="1"/>
        <v>5</v>
      </c>
      <c r="E33" s="221" t="str">
        <f t="shared" si="2"/>
        <v>Q6</v>
      </c>
      <c r="F33" s="221">
        <f t="shared" si="3"/>
        <v>1</v>
      </c>
      <c r="G33" s="221" t="str">
        <f t="shared" si="4"/>
        <v>Q6</v>
      </c>
      <c r="H33" s="221">
        <f t="shared" si="5"/>
        <v>1</v>
      </c>
      <c r="I33" s="221" t="str">
        <f t="shared" si="6"/>
        <v>Q6</v>
      </c>
      <c r="J33" s="221">
        <f t="shared" si="7"/>
        <v>0</v>
      </c>
    </row>
    <row r="34" spans="1:10">
      <c r="A34" s="221" t="s">
        <v>411</v>
      </c>
      <c r="B34" s="1" t="s">
        <v>417</v>
      </c>
      <c r="C34" s="221" t="str">
        <f t="shared" si="0"/>
        <v>Q6b</v>
      </c>
      <c r="D34" s="221">
        <f t="shared" si="1"/>
        <v>110</v>
      </c>
      <c r="E34" s="221" t="str">
        <f t="shared" si="2"/>
        <v>Q6b</v>
      </c>
      <c r="F34" s="221">
        <f t="shared" si="3"/>
        <v>0</v>
      </c>
      <c r="G34" s="221" t="str">
        <f t="shared" si="4"/>
        <v>Q6b</v>
      </c>
      <c r="H34" s="221">
        <f t="shared" si="5"/>
        <v>0</v>
      </c>
      <c r="I34" s="221" t="str">
        <f t="shared" si="6"/>
        <v>Q6b</v>
      </c>
      <c r="J34" s="221">
        <f t="shared" si="7"/>
        <v>1</v>
      </c>
    </row>
    <row r="35" spans="1:10" ht="25.5">
      <c r="A35" s="221" t="s">
        <v>412</v>
      </c>
      <c r="B35" s="1" t="s">
        <v>89</v>
      </c>
      <c r="C35" s="221" t="str">
        <f t="shared" si="0"/>
        <v>Q7</v>
      </c>
      <c r="D35" s="221">
        <f t="shared" si="1"/>
        <v>5</v>
      </c>
      <c r="E35" s="221" t="str">
        <f t="shared" si="2"/>
        <v>Q7</v>
      </c>
      <c r="F35" s="221">
        <f t="shared" si="3"/>
        <v>1</v>
      </c>
      <c r="G35" s="221" t="str">
        <f t="shared" si="4"/>
        <v>Q7</v>
      </c>
      <c r="H35" s="221">
        <f t="shared" si="5"/>
        <v>1</v>
      </c>
      <c r="I35" s="221" t="str">
        <f t="shared" si="6"/>
        <v>Q7</v>
      </c>
      <c r="J35" s="221">
        <f t="shared" si="7"/>
        <v>0</v>
      </c>
    </row>
    <row r="36" spans="1:10">
      <c r="A36" s="221" t="s">
        <v>413</v>
      </c>
      <c r="B36" s="1" t="s">
        <v>417</v>
      </c>
      <c r="C36" s="221" t="str">
        <f t="shared" si="0"/>
        <v>Q7b</v>
      </c>
      <c r="D36" s="221">
        <f t="shared" si="1"/>
        <v>110</v>
      </c>
      <c r="E36" s="221" t="str">
        <f t="shared" si="2"/>
        <v>Q7b</v>
      </c>
      <c r="F36" s="221">
        <f t="shared" si="3"/>
        <v>0</v>
      </c>
      <c r="G36" s="221" t="str">
        <f t="shared" si="4"/>
        <v>Q7b</v>
      </c>
      <c r="H36" s="221">
        <f t="shared" si="5"/>
        <v>0</v>
      </c>
      <c r="I36" s="221" t="str">
        <f t="shared" si="6"/>
        <v>Q7b</v>
      </c>
      <c r="J36" s="221">
        <f t="shared" si="7"/>
        <v>1</v>
      </c>
    </row>
    <row r="37" spans="1:10" ht="25.5">
      <c r="A37" s="221" t="s">
        <v>415</v>
      </c>
      <c r="B37" s="1" t="s">
        <v>456</v>
      </c>
      <c r="C37" s="221" t="str">
        <f t="shared" si="0"/>
        <v>Q8</v>
      </c>
      <c r="D37" s="221">
        <f t="shared" si="1"/>
        <v>5</v>
      </c>
      <c r="E37" s="221" t="str">
        <f t="shared" si="2"/>
        <v>Q8</v>
      </c>
      <c r="F37" s="221">
        <f t="shared" si="3"/>
        <v>1</v>
      </c>
      <c r="G37" s="221" t="str">
        <f t="shared" si="4"/>
        <v>Q8</v>
      </c>
      <c r="H37" s="221">
        <f t="shared" si="5"/>
        <v>1</v>
      </c>
      <c r="I37" s="221" t="str">
        <f t="shared" si="6"/>
        <v>Q8</v>
      </c>
      <c r="J37" s="221">
        <f t="shared" si="7"/>
        <v>0</v>
      </c>
    </row>
    <row r="38" spans="1:10" ht="25.5">
      <c r="A38" s="221" t="s">
        <v>416</v>
      </c>
      <c r="B38" s="1" t="s">
        <v>457</v>
      </c>
      <c r="C38" s="221" t="str">
        <f t="shared" si="0"/>
        <v>Q8b</v>
      </c>
      <c r="D38" s="221">
        <f t="shared" si="1"/>
        <v>110</v>
      </c>
      <c r="E38" s="221" t="str">
        <f t="shared" si="2"/>
        <v>Q8b</v>
      </c>
      <c r="F38" s="221">
        <f t="shared" si="3"/>
        <v>0</v>
      </c>
      <c r="G38" s="221" t="str">
        <f t="shared" si="4"/>
        <v>Q8b</v>
      </c>
      <c r="H38" s="221">
        <f t="shared" si="5"/>
        <v>0</v>
      </c>
      <c r="I38" s="221" t="str">
        <f t="shared" si="6"/>
        <v>Q8b</v>
      </c>
      <c r="J38" s="221">
        <f t="shared" si="7"/>
        <v>1</v>
      </c>
    </row>
    <row r="39" spans="1:10" ht="38.25">
      <c r="A39" s="221" t="s">
        <v>418</v>
      </c>
      <c r="B39" s="1" t="s">
        <v>90</v>
      </c>
      <c r="C39" s="221" t="str">
        <f t="shared" si="0"/>
        <v>Q9</v>
      </c>
      <c r="D39" s="221">
        <f t="shared" si="1"/>
        <v>5</v>
      </c>
      <c r="E39" s="221" t="str">
        <f t="shared" si="2"/>
        <v>Q9</v>
      </c>
      <c r="F39" s="221">
        <f t="shared" si="3"/>
        <v>1</v>
      </c>
      <c r="G39" s="221" t="str">
        <f t="shared" si="4"/>
        <v>Q9</v>
      </c>
      <c r="H39" s="221">
        <f t="shared" si="5"/>
        <v>1</v>
      </c>
      <c r="I39" s="221" t="str">
        <f t="shared" si="6"/>
        <v>Q9</v>
      </c>
      <c r="J39" s="221">
        <f t="shared" si="7"/>
        <v>0</v>
      </c>
    </row>
    <row r="40" spans="1:10">
      <c r="A40" s="221" t="s">
        <v>458</v>
      </c>
      <c r="B40" s="1" t="s">
        <v>459</v>
      </c>
      <c r="C40" s="221" t="str">
        <f t="shared" si="0"/>
        <v>Q9b</v>
      </c>
      <c r="D40" s="221">
        <f t="shared" si="1"/>
        <v>110</v>
      </c>
      <c r="E40" s="221" t="str">
        <f t="shared" si="2"/>
        <v>Q9b</v>
      </c>
      <c r="F40" s="221">
        <f t="shared" si="3"/>
        <v>0</v>
      </c>
      <c r="G40" s="221" t="str">
        <f t="shared" si="4"/>
        <v>Q9b</v>
      </c>
      <c r="H40" s="221">
        <f t="shared" si="5"/>
        <v>0</v>
      </c>
      <c r="I40" s="221" t="str">
        <f t="shared" si="6"/>
        <v>Q9b</v>
      </c>
      <c r="J40" s="221">
        <f t="shared" si="7"/>
        <v>1</v>
      </c>
    </row>
    <row r="41" spans="1:10">
      <c r="A41" s="221" t="s">
        <v>451</v>
      </c>
      <c r="B41" s="1" t="s">
        <v>522</v>
      </c>
      <c r="C41" s="221" t="str">
        <f t="shared" si="0"/>
        <v>QITTeamName</v>
      </c>
      <c r="D41" s="221">
        <f t="shared" si="1"/>
        <v>5</v>
      </c>
      <c r="E41" s="221" t="str">
        <f t="shared" si="2"/>
        <v>QITTeamName</v>
      </c>
      <c r="F41" s="221">
        <f t="shared" si="3"/>
        <v>1</v>
      </c>
      <c r="G41" s="221" t="str">
        <f t="shared" si="4"/>
        <v>QITTeamName</v>
      </c>
      <c r="H41" s="221">
        <f t="shared" si="5"/>
        <v>1</v>
      </c>
      <c r="I41" s="221" t="str">
        <f t="shared" si="6"/>
        <v>QITTeamName</v>
      </c>
      <c r="J41" s="221">
        <f t="shared" si="7"/>
        <v>0</v>
      </c>
    </row>
    <row r="42" spans="1:10" ht="25.5">
      <c r="A42" s="221" t="s">
        <v>394</v>
      </c>
      <c r="B42" s="1" t="s">
        <v>395</v>
      </c>
      <c r="C42" s="221" t="str">
        <f t="shared" si="0"/>
        <v>QSurveyPeriod</v>
      </c>
      <c r="D42" s="221">
        <f t="shared" si="1"/>
        <v>5</v>
      </c>
      <c r="E42" s="221" t="str">
        <f t="shared" si="2"/>
        <v>QSurveyPeriod</v>
      </c>
      <c r="F42" s="221">
        <f t="shared" si="3"/>
        <v>1</v>
      </c>
      <c r="G42" s="221" t="str">
        <f t="shared" si="4"/>
        <v>QSurveyPeriod</v>
      </c>
      <c r="H42" s="221">
        <f t="shared" si="5"/>
        <v>1</v>
      </c>
      <c r="I42" s="221" t="str">
        <f t="shared" si="6"/>
        <v>QSurveyPeriod</v>
      </c>
      <c r="J42" s="221">
        <f t="shared" si="7"/>
        <v>0</v>
      </c>
    </row>
    <row r="43" spans="1:10">
      <c r="A43" s="221" t="s">
        <v>396</v>
      </c>
      <c r="B43" s="1" t="s">
        <v>397</v>
      </c>
      <c r="C43" s="221" t="str">
        <f t="shared" si="0"/>
        <v>QYourName</v>
      </c>
      <c r="D43" s="221">
        <f t="shared" si="1"/>
        <v>5</v>
      </c>
      <c r="E43" s="221" t="str">
        <f t="shared" si="2"/>
        <v>QYourName</v>
      </c>
      <c r="F43" s="221">
        <f t="shared" si="3"/>
        <v>1</v>
      </c>
      <c r="G43" s="221" t="str">
        <f t="shared" si="4"/>
        <v>QYourName</v>
      </c>
      <c r="H43" s="221">
        <f t="shared" si="5"/>
        <v>1</v>
      </c>
      <c r="I43" s="221" t="str">
        <f t="shared" si="6"/>
        <v>QYourName</v>
      </c>
      <c r="J43" s="221">
        <f t="shared" si="7"/>
        <v>0</v>
      </c>
    </row>
  </sheetData>
  <sortState ref="A11:B4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worksheet>
</file>

<file path=xl/worksheets/sheet18.xml><?xml version="1.0" encoding="utf-8"?>
<worksheet xmlns="http://schemas.openxmlformats.org/spreadsheetml/2006/main" xmlns:r="http://schemas.openxmlformats.org/officeDocument/2006/relationships">
  <sheetPr codeName="Sheet14"/>
  <dimension ref="A1:AI44"/>
  <sheetViews>
    <sheetView tabSelected="1" workbookViewId="0">
      <pane ySplit="30" topLeftCell="A31" activePane="bottomLeft" state="frozen"/>
      <selection pane="bottomLeft" activeCell="G24" sqref="G24"/>
    </sheetView>
  </sheetViews>
  <sheetFormatPr defaultRowHeight="12.75"/>
  <cols>
    <col min="1" max="1" width="5.7109375" customWidth="1"/>
    <col min="2" max="3" width="25.7109375" customWidth="1"/>
    <col min="4" max="4" width="25.7109375" style="301"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5" width="110.7109375" style="1" customWidth="1"/>
  </cols>
  <sheetData>
    <row r="1" spans="1:35">
      <c r="A1" s="5" t="s">
        <v>29</v>
      </c>
      <c r="E1" s="301" t="s">
        <v>391</v>
      </c>
      <c r="F1" s="1">
        <f t="shared" ref="F1:AI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110</v>
      </c>
      <c r="AI1" s="1">
        <f t="shared" ca="1" si="0"/>
        <v>110</v>
      </c>
    </row>
    <row r="2" spans="1:35">
      <c r="E2" s="301" t="s">
        <v>386</v>
      </c>
      <c r="F2" s="1">
        <f t="shared" ref="F2:AI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0</v>
      </c>
      <c r="AI2" s="1">
        <f t="shared" ca="1" si="1"/>
        <v>0</v>
      </c>
    </row>
    <row r="3" spans="1:35">
      <c r="E3" s="301" t="s">
        <v>392</v>
      </c>
      <c r="F3" s="1">
        <f t="shared" ref="F3:AI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1</v>
      </c>
    </row>
    <row r="4" spans="1:35">
      <c r="B4" s="301" t="s">
        <v>421</v>
      </c>
      <c r="C4" s="301" t="s">
        <v>92</v>
      </c>
      <c r="E4" s="301" t="s">
        <v>432</v>
      </c>
      <c r="F4" s="1">
        <f t="shared" ref="F4:AI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0</v>
      </c>
    </row>
    <row r="5" spans="1:35">
      <c r="B5" s="301" t="s">
        <v>422</v>
      </c>
      <c r="C5" t="str">
        <f>Survey_Period</f>
        <v>2007 H1</v>
      </c>
    </row>
    <row r="6" spans="1:35">
      <c r="B6" s="301" t="s">
        <v>423</v>
      </c>
      <c r="C6" t="str">
        <f>$C$4 &amp; " Questions"</f>
        <v>Business Survey Questions</v>
      </c>
    </row>
    <row r="7" spans="1:35">
      <c r="B7" s="301" t="s">
        <v>32</v>
      </c>
      <c r="C7" t="str">
        <f>Questions_Location</f>
        <v>$B$4</v>
      </c>
    </row>
    <row r="8" spans="1:35">
      <c r="B8" s="301" t="s">
        <v>41</v>
      </c>
      <c r="C8" t="str">
        <f>Row_Width_Location</f>
        <v>$B$5</v>
      </c>
    </row>
    <row r="9" spans="1:35">
      <c r="B9" s="301" t="s">
        <v>58</v>
      </c>
      <c r="C9" t="str">
        <f>Statistics_Location</f>
        <v>$B$6</v>
      </c>
    </row>
    <row r="10" spans="1:35">
      <c r="B10" s="301" t="s">
        <v>59</v>
      </c>
      <c r="C10" t="str">
        <f>Primary_Questions_Location</f>
        <v>$B$7</v>
      </c>
    </row>
    <row r="11" spans="1:35">
      <c r="B11" s="301" t="s">
        <v>424</v>
      </c>
      <c r="C11" t="str">
        <f>FollowUp_Questions_Location</f>
        <v>$B$8</v>
      </c>
    </row>
    <row r="12" spans="1:35">
      <c r="B12" s="301" t="s">
        <v>28</v>
      </c>
      <c r="C12" t="str">
        <f>Team_Name</f>
        <v>Other</v>
      </c>
    </row>
    <row r="13" spans="1:35">
      <c r="B13" s="301" t="s">
        <v>425</v>
      </c>
      <c r="C13">
        <v>31</v>
      </c>
    </row>
    <row r="14" spans="1:35">
      <c r="B14" s="301" t="s">
        <v>426</v>
      </c>
      <c r="C14">
        <v>44</v>
      </c>
    </row>
    <row r="15" spans="1:35">
      <c r="B15" s="301" t="s">
        <v>427</v>
      </c>
      <c r="C15">
        <v>6</v>
      </c>
    </row>
    <row r="16" spans="1:35">
      <c r="B16" s="301" t="s">
        <v>428</v>
      </c>
      <c r="C16">
        <v>35</v>
      </c>
      <c r="D16" s="301">
        <v>5</v>
      </c>
      <c r="E16" s="301" t="s">
        <v>1</v>
      </c>
      <c r="F16" s="1">
        <f t="array" aca="1" ref="F16" ca="1">SUM(  IF($C$12 = "All IT",    IF(F$31:F$44 =$D16,       1,      0),    IF($D$31:$D$44 = $C$12,      IF(F$31:F$44 =$D16,         1,        0),    )  ))</f>
        <v>0</v>
      </c>
      <c r="H16" s="1">
        <f t="array" aca="1" ref="H16" ca="1">SUM(  IF($C$12 = "All IT",    IF(H$31:H$44 =$D16,       1,      0),    IF($D$31:$D$44 = $C$12,      IF(H$31:H$44 =$D16,         1,        0),    )  ))</f>
        <v>0</v>
      </c>
      <c r="J16" s="1">
        <f t="array" aca="1" ref="J16" ca="1">SUM(  IF($C$12 = "All IT",    IF(J$31:J$44 =$D16,       1,      0),    IF($D$31:$D$44 = $C$12,      IF(J$31:J$44 =$D16,         1,        0),    )  ))</f>
        <v>0</v>
      </c>
      <c r="L16" s="1">
        <f t="array" aca="1" ref="L16" ca="1">SUM(  IF($C$12 = "All IT",    IF(L$31:L$44 =$D16,       1,      0),    IF($D$31:$D$44 = $C$12,      IF(L$31:L$44 =$D16,         1,        0),    )  ))</f>
        <v>0</v>
      </c>
      <c r="N16" s="1">
        <f t="array" aca="1" ref="N16" ca="1">SUM(  IF($C$12 = "All IT",    IF(N$31:N$44 =$D16,       1,      0),    IF($D$31:$D$44 = $C$12,      IF(N$31:N$44 =$D16,         1,        0),    )  ))</f>
        <v>0</v>
      </c>
      <c r="P16" s="1">
        <f t="array" aca="1" ref="P16" ca="1">SUM(  IF($C$12 = "All IT",    IF(P$31:P$44 =$D16,       1,      0),    IF($D$31:$D$44 = $C$12,      IF(P$31:P$44 =$D16,         1,        0),    )  ))</f>
        <v>0</v>
      </c>
      <c r="R16" s="1">
        <f t="array" aca="1" ref="R16" ca="1">SUM(  IF($C$12 = "All IT",    IF(R$31:R$44 =$D16,       1,      0),    IF($D$31:$D$44 = $C$12,      IF(R$31:R$44 =$D16,         1,        0),    )  ))</f>
        <v>0</v>
      </c>
      <c r="T16" s="1">
        <f t="array" aca="1" ref="T16" ca="1">SUM(  IF($C$12 = "All IT",    IF(T$31:T$44 =$D16,       1,      0),    IF($D$31:$D$44 = $C$12,      IF(T$31:T$44 =$D16,         1,        0),    )  ))</f>
        <v>0</v>
      </c>
      <c r="V16" s="1">
        <f t="array" aca="1" ref="V16" ca="1">SUM(  IF($C$12 = "All IT",    IF(V$31:V$44 =$D16,       1,      0),    IF($D$31:$D$44 = $C$12,      IF(V$31:V$44 =$D16,         1,        0),    )  ))</f>
        <v>0</v>
      </c>
      <c r="X16" s="1">
        <f t="array" aca="1" ref="X16" ca="1">SUM(  IF($C$12 = "All IT",    IF(X$31:X$44 =$D16,       1,      0),    IF($D$31:$D$44 = $C$12,      IF(X$31:X$44 =$D16,         1,        0),    )  ))</f>
        <v>0</v>
      </c>
      <c r="Z16" s="1">
        <f t="array" aca="1" ref="Z16" ca="1">SUM(  IF($C$12 = "All IT",    IF(Z$31:Z$44 =$D16,       1,      0),    IF($D$31:$D$44 = $C$12,      IF(Z$31:Z$44 =$D16,         1,        0),    )  ))</f>
        <v>0</v>
      </c>
      <c r="AB16" s="1">
        <f t="array" aca="1" ref="AB16" ca="1">SUM(  IF($C$12 = "All IT",    IF(AB$31:AB$44 =$D16,       1,      0),    IF($D$31:$D$44 = $C$12,      IF(AB$31:AB$44 =$D16,         1,        0),    )  ))</f>
        <v>0</v>
      </c>
      <c r="AD16" s="1">
        <f t="array" aca="1" ref="AD16" ca="1">SUM(  IF($C$12 = "All IT",    IF(AD$31:AD$44 =$D16,       1,      0),    IF($D$31:$D$44 = $C$12,      IF(AD$31:AD$44 =$D16,         1,        0),    )  ))</f>
        <v>0</v>
      </c>
      <c r="AF16" s="1">
        <f t="array" aca="1" ref="AF16" ca="1">SUM(  IF($C$12 = "All IT",    IF(AF$31:AF$44 =$D16,       1,      0),    IF($D$31:$D$44 = $C$12,      IF(AF$31:AF$44 =$D16,         1,        0),    )  ))</f>
        <v>0</v>
      </c>
    </row>
    <row r="17" spans="1:35">
      <c r="A17">
        <f ca="1">SUM($F$2:$AI$2)</f>
        <v>14</v>
      </c>
      <c r="B17" s="301" t="s">
        <v>429</v>
      </c>
      <c r="C17">
        <f ca="1">A17</f>
        <v>14</v>
      </c>
      <c r="D17" s="301">
        <v>4</v>
      </c>
      <c r="E17" s="301" t="s">
        <v>2</v>
      </c>
      <c r="F17" s="1">
        <f t="array" aca="1" ref="F17" ca="1">SUM(  IF($C$12 = "All IT",    IF(F$31:F$44 =$D17,       1,      0),    IF($D$31:$D$44 = $C$12,      IF(F$31:F$44 =$D17,         1,        0),    )  ))</f>
        <v>0</v>
      </c>
      <c r="H17" s="1">
        <f t="array" aca="1" ref="H17" ca="1">SUM(  IF($C$12 = "All IT",    IF(H$31:H$44 =$D17,       1,      0),    IF($D$31:$D$44 = $C$12,      IF(H$31:H$44 =$D17,         1,        0),    )  ))</f>
        <v>0</v>
      </c>
      <c r="J17" s="1">
        <f t="array" aca="1" ref="J17" ca="1">SUM(  IF($C$12 = "All IT",    IF(J$31:J$44 =$D17,       1,      0),    IF($D$31:$D$44 = $C$12,      IF(J$31:J$44 =$D17,         1,        0),    )  ))</f>
        <v>0</v>
      </c>
      <c r="L17" s="1">
        <f t="array" aca="1" ref="L17" ca="1">SUM(  IF($C$12 = "All IT",    IF(L$31:L$44 =$D17,       1,      0),    IF($D$31:$D$44 = $C$12,      IF(L$31:L$44 =$D17,         1,        0),    )  ))</f>
        <v>0</v>
      </c>
      <c r="N17" s="1">
        <f t="array" aca="1" ref="N17" ca="1">SUM(  IF($C$12 = "All IT",    IF(N$31:N$44 =$D17,       1,      0),    IF($D$31:$D$44 = $C$12,      IF(N$31:N$44 =$D17,         1,        0),    )  ))</f>
        <v>0</v>
      </c>
      <c r="P17" s="1">
        <f t="array" aca="1" ref="P17" ca="1">SUM(  IF($C$12 = "All IT",    IF(P$31:P$44 =$D17,       1,      0),    IF($D$31:$D$44 = $C$12,      IF(P$31:P$44 =$D17,         1,        0),    )  ))</f>
        <v>0</v>
      </c>
      <c r="R17" s="1">
        <f t="array" aca="1" ref="R17" ca="1">SUM(  IF($C$12 = "All IT",    IF(R$31:R$44 =$D17,       1,      0),    IF($D$31:$D$44 = $C$12,      IF(R$31:R$44 =$D17,         1,        0),    )  ))</f>
        <v>0</v>
      </c>
      <c r="T17" s="1">
        <f t="array" aca="1" ref="T17" ca="1">SUM(  IF($C$12 = "All IT",    IF(T$31:T$44 =$D17,       1,      0),    IF($D$31:$D$44 = $C$12,      IF(T$31:T$44 =$D17,         1,        0),    )  ))</f>
        <v>0</v>
      </c>
      <c r="V17" s="1">
        <f t="array" aca="1" ref="V17" ca="1">SUM(  IF($C$12 = "All IT",    IF(V$31:V$44 =$D17,       1,      0),    IF($D$31:$D$44 = $C$12,      IF(V$31:V$44 =$D17,         1,        0),    )  ))</f>
        <v>0</v>
      </c>
      <c r="X17" s="1">
        <f t="array" aca="1" ref="X17" ca="1">SUM(  IF($C$12 = "All IT",    IF(X$31:X$44 =$D17,       1,      0),    IF($D$31:$D$44 = $C$12,      IF(X$31:X$44 =$D17,         1,        0),    )  ))</f>
        <v>0</v>
      </c>
      <c r="Z17" s="1">
        <f t="array" aca="1" ref="Z17" ca="1">SUM(  IF($C$12 = "All IT",    IF(Z$31:Z$44 =$D17,       1,      0),    IF($D$31:$D$44 = $C$12,      IF(Z$31:Z$44 =$D17,         1,        0),    )  ))</f>
        <v>0</v>
      </c>
      <c r="AB17" s="1">
        <f t="array" aca="1" ref="AB17" ca="1">SUM(  IF($C$12 = "All IT",    IF(AB$31:AB$44 =$D17,       1,      0),    IF($D$31:$D$44 = $C$12,      IF(AB$31:AB$44 =$D17,         1,        0),    )  ))</f>
        <v>0</v>
      </c>
      <c r="AD17" s="1">
        <f t="array" aca="1" ref="AD17" ca="1">SUM(  IF($C$12 = "All IT",    IF(AD$31:AD$44 =$D17,       1,      0),    IF($D$31:$D$44 = $C$12,      IF(AD$31:AD$44 =$D17,         1,        0),    )  ))</f>
        <v>0</v>
      </c>
      <c r="AF17" s="1">
        <f t="array" aca="1" ref="AF17" ca="1">SUM(  IF($C$12 = "All IT",    IF(AF$31:AF$44 =$D17,       1,      0),    IF($D$31:$D$44 = $C$12,      IF(AF$31:AF$44 =$D17,         1,        0),    )  ))</f>
        <v>0</v>
      </c>
    </row>
    <row r="18" spans="1:35">
      <c r="A18">
        <f ca="1">SUM($F$3:$AI$3)</f>
        <v>16</v>
      </c>
      <c r="B18" s="301" t="s">
        <v>430</v>
      </c>
      <c r="C18">
        <f ca="1">A18</f>
        <v>16</v>
      </c>
      <c r="D18" s="301">
        <v>3</v>
      </c>
      <c r="E18" s="301" t="s">
        <v>3</v>
      </c>
      <c r="F18" s="1">
        <f t="array" aca="1" ref="F18" ca="1">SUM(  IF($C$12 = "All IT",    IF(F$31:F$44 =$D18,       1,      0),    IF($D$31:$D$44 = $C$12,      IF(F$31:F$44 =$D18,         1,        0),    )  ))</f>
        <v>0</v>
      </c>
      <c r="H18" s="1">
        <f t="array" aca="1" ref="H18" ca="1">SUM(  IF($C$12 = "All IT",    IF(H$31:H$44 =$D18,       1,      0),    IF($D$31:$D$44 = $C$12,      IF(H$31:H$44 =$D18,         1,        0),    )  ))</f>
        <v>0</v>
      </c>
      <c r="J18" s="1">
        <f t="array" aca="1" ref="J18" ca="1">SUM(  IF($C$12 = "All IT",    IF(J$31:J$44 =$D18,       1,      0),    IF($D$31:$D$44 = $C$12,      IF(J$31:J$44 =$D18,         1,        0),    )  ))</f>
        <v>0</v>
      </c>
      <c r="L18" s="1">
        <f t="array" aca="1" ref="L18" ca="1">SUM(  IF($C$12 = "All IT",    IF(L$31:L$44 =$D18,       1,      0),    IF($D$31:$D$44 = $C$12,      IF(L$31:L$44 =$D18,         1,        0),    )  ))</f>
        <v>0</v>
      </c>
      <c r="N18" s="1">
        <f t="array" aca="1" ref="N18" ca="1">SUM(  IF($C$12 = "All IT",    IF(N$31:N$44 =$D18,       1,      0),    IF($D$31:$D$44 = $C$12,      IF(N$31:N$44 =$D18,         1,        0),    )  ))</f>
        <v>0</v>
      </c>
      <c r="P18" s="1">
        <f t="array" aca="1" ref="P18" ca="1">SUM(  IF($C$12 = "All IT",    IF(P$31:P$44 =$D18,       1,      0),    IF($D$31:$D$44 = $C$12,      IF(P$31:P$44 =$D18,         1,        0),    )  ))</f>
        <v>0</v>
      </c>
      <c r="R18" s="1">
        <f t="array" aca="1" ref="R18" ca="1">SUM(  IF($C$12 = "All IT",    IF(R$31:R$44 =$D18,       1,      0),    IF($D$31:$D$44 = $C$12,      IF(R$31:R$44 =$D18,         1,        0),    )  ))</f>
        <v>0</v>
      </c>
      <c r="T18" s="1">
        <f t="array" aca="1" ref="T18" ca="1">SUM(  IF($C$12 = "All IT",    IF(T$31:T$44 =$D18,       1,      0),    IF($D$31:$D$44 = $C$12,      IF(T$31:T$44 =$D18,         1,        0),    )  ))</f>
        <v>0</v>
      </c>
      <c r="V18" s="1">
        <f t="array" aca="1" ref="V18" ca="1">SUM(  IF($C$12 = "All IT",    IF(V$31:V$44 =$D18,       1,      0),    IF($D$31:$D$44 = $C$12,      IF(V$31:V$44 =$D18,         1,        0),    )  ))</f>
        <v>0</v>
      </c>
      <c r="X18" s="1">
        <f t="array" aca="1" ref="X18" ca="1">SUM(  IF($C$12 = "All IT",    IF(X$31:X$44 =$D18,       1,      0),    IF($D$31:$D$44 = $C$12,      IF(X$31:X$44 =$D18,         1,        0),    )  ))</f>
        <v>0</v>
      </c>
      <c r="Z18" s="1">
        <f t="array" aca="1" ref="Z18" ca="1">SUM(  IF($C$12 = "All IT",    IF(Z$31:Z$44 =$D18,       1,      0),    IF($D$31:$D$44 = $C$12,      IF(Z$31:Z$44 =$D18,         1,        0),    )  ))</f>
        <v>0</v>
      </c>
      <c r="AB18" s="1">
        <f t="array" aca="1" ref="AB18" ca="1">SUM(  IF($C$12 = "All IT",    IF(AB$31:AB$44 =$D18,       1,      0),    IF($D$31:$D$44 = $C$12,      IF(AB$31:AB$44 =$D18,         1,        0),    )  ))</f>
        <v>0</v>
      </c>
      <c r="AD18" s="1">
        <f t="array" aca="1" ref="AD18" ca="1">SUM(  IF($C$12 = "All IT",    IF(AD$31:AD$44 =$D18,       1,      0),    IF($D$31:$D$44 = $C$12,      IF(AD$31:AD$44 =$D18,         1,        0),    )  ))</f>
        <v>0</v>
      </c>
      <c r="AF18" s="1">
        <f t="array" aca="1" ref="AF18" ca="1">SUM(  IF($C$12 = "All IT",    IF(AF$31:AF$44 =$D18,       1,      0),    IF($D$31:$D$44 = $C$12,      IF(AF$31:AF$44 =$D18,         1,        0),    )  ))</f>
        <v>0</v>
      </c>
    </row>
    <row r="19" spans="1:35">
      <c r="D19" s="301">
        <v>2</v>
      </c>
      <c r="E19" s="301" t="s">
        <v>4</v>
      </c>
      <c r="F19" s="1">
        <f t="array" aca="1" ref="F19" ca="1">SUM(  IF($C$12 = "All IT",    IF(F$31:F$44 =$D19,       1,      0),    IF($D$31:$D$44 = $C$12,      IF(F$31:F$44 =$D19,         1,        0),    )  ))</f>
        <v>0</v>
      </c>
      <c r="H19" s="1">
        <f t="array" aca="1" ref="H19" ca="1">SUM(  IF($C$12 = "All IT",    IF(H$31:H$44 =$D19,       1,      0),    IF($D$31:$D$44 = $C$12,      IF(H$31:H$44 =$D19,         1,        0),    )  ))</f>
        <v>0</v>
      </c>
      <c r="J19" s="1">
        <f t="array" aca="1" ref="J19" ca="1">SUM(  IF($C$12 = "All IT",    IF(J$31:J$44 =$D19,       1,      0),    IF($D$31:$D$44 = $C$12,      IF(J$31:J$44 =$D19,         1,        0),    )  ))</f>
        <v>0</v>
      </c>
      <c r="L19" s="1">
        <f t="array" aca="1" ref="L19" ca="1">SUM(  IF($C$12 = "All IT",    IF(L$31:L$44 =$D19,       1,      0),    IF($D$31:$D$44 = $C$12,      IF(L$31:L$44 =$D19,         1,        0),    )  ))</f>
        <v>0</v>
      </c>
      <c r="N19" s="1">
        <f t="array" aca="1" ref="N19" ca="1">SUM(  IF($C$12 = "All IT",    IF(N$31:N$44 =$D19,       1,      0),    IF($D$31:$D$44 = $C$12,      IF(N$31:N$44 =$D19,         1,        0),    )  ))</f>
        <v>0</v>
      </c>
      <c r="P19" s="1">
        <f t="array" aca="1" ref="P19" ca="1">SUM(  IF($C$12 = "All IT",    IF(P$31:P$44 =$D19,       1,      0),    IF($D$31:$D$44 = $C$12,      IF(P$31:P$44 =$D19,         1,        0),    )  ))</f>
        <v>0</v>
      </c>
      <c r="R19" s="1">
        <f t="array" aca="1" ref="R19" ca="1">SUM(  IF($C$12 = "All IT",    IF(R$31:R$44 =$D19,       1,      0),    IF($D$31:$D$44 = $C$12,      IF(R$31:R$44 =$D19,         1,        0),    )  ))</f>
        <v>0</v>
      </c>
      <c r="T19" s="1">
        <f t="array" aca="1" ref="T19" ca="1">SUM(  IF($C$12 = "All IT",    IF(T$31:T$44 =$D19,       1,      0),    IF($D$31:$D$44 = $C$12,      IF(T$31:T$44 =$D19,         1,        0),    )  ))</f>
        <v>0</v>
      </c>
      <c r="V19" s="1">
        <f t="array" aca="1" ref="V19" ca="1">SUM(  IF($C$12 = "All IT",    IF(V$31:V$44 =$D19,       1,      0),    IF($D$31:$D$44 = $C$12,      IF(V$31:V$44 =$D19,         1,        0),    )  ))</f>
        <v>0</v>
      </c>
      <c r="X19" s="1">
        <f t="array" aca="1" ref="X19" ca="1">SUM(  IF($C$12 = "All IT",    IF(X$31:X$44 =$D19,       1,      0),    IF($D$31:$D$44 = $C$12,      IF(X$31:X$44 =$D19,         1,        0),    )  ))</f>
        <v>0</v>
      </c>
      <c r="Z19" s="1">
        <f t="array" aca="1" ref="Z19" ca="1">SUM(  IF($C$12 = "All IT",    IF(Z$31:Z$44 =$D19,       1,      0),    IF($D$31:$D$44 = $C$12,      IF(Z$31:Z$44 =$D19,         1,        0),    )  ))</f>
        <v>0</v>
      </c>
      <c r="AB19" s="1">
        <f t="array" aca="1" ref="AB19" ca="1">SUM(  IF($C$12 = "All IT",    IF(AB$31:AB$44 =$D19,       1,      0),    IF($D$31:$D$44 = $C$12,      IF(AB$31:AB$44 =$D19,         1,        0),    )  ))</f>
        <v>0</v>
      </c>
      <c r="AD19" s="1">
        <f t="array" aca="1" ref="AD19" ca="1">SUM(  IF($C$12 = "All IT",    IF(AD$31:AD$44 =$D19,       1,      0),    IF($D$31:$D$44 = $C$12,      IF(AD$31:AD$44 =$D19,         1,        0),    )  ))</f>
        <v>0</v>
      </c>
      <c r="AF19" s="1">
        <f t="array" aca="1" ref="AF19" ca="1">SUM(  IF($C$12 = "All IT",    IF(AF$31:AF$44 =$D19,       1,      0),    IF($D$31:$D$44 = $C$12,      IF(AF$31:AF$44 =$D19,         1,        0),    )  ))</f>
        <v>0</v>
      </c>
    </row>
    <row r="20" spans="1:35">
      <c r="D20" s="301">
        <v>1</v>
      </c>
      <c r="E20" s="301" t="s">
        <v>433</v>
      </c>
      <c r="F20" s="1">
        <f t="array" aca="1" ref="F20" ca="1">SUM(  IF($C$12 = "All IT",    IF(F$31:F$44 =$D20,       1,      0),    IF($D$31:$D$44 = $C$12,      IF(F$31:F$44 =$D20,         1,        0),    )  ))</f>
        <v>0</v>
      </c>
      <c r="H20" s="1">
        <f t="array" aca="1" ref="H20" ca="1">SUM(  IF($C$12 = "All IT",    IF(H$31:H$44 =$D20,       1,      0),    IF($D$31:$D$44 = $C$12,      IF(H$31:H$44 =$D20,         1,        0),    )  ))</f>
        <v>0</v>
      </c>
      <c r="J20" s="1">
        <f t="array" aca="1" ref="J20" ca="1">SUM(  IF($C$12 = "All IT",    IF(J$31:J$44 =$D20,       1,      0),    IF($D$31:$D$44 = $C$12,      IF(J$31:J$44 =$D20,         1,        0),    )  ))</f>
        <v>0</v>
      </c>
      <c r="L20" s="1">
        <f t="array" aca="1" ref="L20" ca="1">SUM(  IF($C$12 = "All IT",    IF(L$31:L$44 =$D20,       1,      0),    IF($D$31:$D$44 = $C$12,      IF(L$31:L$44 =$D20,         1,        0),    )  ))</f>
        <v>0</v>
      </c>
      <c r="N20" s="1">
        <f t="array" aca="1" ref="N20" ca="1">SUM(  IF($C$12 = "All IT",    IF(N$31:N$44 =$D20,       1,      0),    IF($D$31:$D$44 = $C$12,      IF(N$31:N$44 =$D20,         1,        0),    )  ))</f>
        <v>0</v>
      </c>
      <c r="P20" s="1">
        <f t="array" aca="1" ref="P20" ca="1">SUM(  IF($C$12 = "All IT",    IF(P$31:P$44 =$D20,       1,      0),    IF($D$31:$D$44 = $C$12,      IF(P$31:P$44 =$D20,         1,        0),    )  ))</f>
        <v>0</v>
      </c>
      <c r="R20" s="1">
        <f t="array" aca="1" ref="R20" ca="1">SUM(  IF($C$12 = "All IT",    IF(R$31:R$44 =$D20,       1,      0),    IF($D$31:$D$44 = $C$12,      IF(R$31:R$44 =$D20,         1,        0),    )  ))</f>
        <v>0</v>
      </c>
      <c r="T20" s="1">
        <f t="array" aca="1" ref="T20" ca="1">SUM(  IF($C$12 = "All IT",    IF(T$31:T$44 =$D20,       1,      0),    IF($D$31:$D$44 = $C$12,      IF(T$31:T$44 =$D20,         1,        0),    )  ))</f>
        <v>0</v>
      </c>
      <c r="V20" s="1">
        <f t="array" aca="1" ref="V20" ca="1">SUM(  IF($C$12 = "All IT",    IF(V$31:V$44 =$D20,       1,      0),    IF($D$31:$D$44 = $C$12,      IF(V$31:V$44 =$D20,         1,        0),    )  ))</f>
        <v>0</v>
      </c>
      <c r="X20" s="1">
        <f t="array" aca="1" ref="X20" ca="1">SUM(  IF($C$12 = "All IT",    IF(X$31:X$44 =$D20,       1,      0),    IF($D$31:$D$44 = $C$12,      IF(X$31:X$44 =$D20,         1,        0),    )  ))</f>
        <v>0</v>
      </c>
      <c r="Z20" s="1">
        <f t="array" aca="1" ref="Z20" ca="1">SUM(  IF($C$12 = "All IT",    IF(Z$31:Z$44 =$D20,       1,      0),    IF($D$31:$D$44 = $C$12,      IF(Z$31:Z$44 =$D20,         1,        0),    )  ))</f>
        <v>0</v>
      </c>
      <c r="AB20" s="1">
        <f t="array" aca="1" ref="AB20" ca="1">SUM(  IF($C$12 = "All IT",    IF(AB$31:AB$44 =$D20,       1,      0),    IF($D$31:$D$44 = $C$12,      IF(AB$31:AB$44 =$D20,         1,        0),    )  ))</f>
        <v>0</v>
      </c>
      <c r="AD20" s="1">
        <f t="array" aca="1" ref="AD20" ca="1">SUM(  IF($C$12 = "All IT",    IF(AD$31:AD$44 =$D20,       1,      0),    IF($D$31:$D$44 = $C$12,      IF(AD$31:AD$44 =$D20,         1,        0),    )  ))</f>
        <v>0</v>
      </c>
      <c r="AF20" s="1">
        <f t="array" aca="1" ref="AF20" ca="1">SUM(  IF($C$12 = "All IT",    IF(AF$31:AF$44 =$D20,       1,      0),    IF($D$31:$D$44 = $C$12,      IF(AF$31:AF$44 =$D20,         1,        0),    )  ))</f>
        <v>0</v>
      </c>
    </row>
    <row r="21" spans="1:35">
      <c r="D21" s="301">
        <v>6</v>
      </c>
      <c r="E21" s="301" t="s">
        <v>6</v>
      </c>
      <c r="F21" s="1">
        <f t="array" aca="1" ref="F21" ca="1">SUM(  IF($C$12 = "All IT",    IF(F$31:F$44 =$D21,       1,      0),    IF($D$31:$D$44 = $C$12,      IF(F$31:F$44 =$D21,         1,        0),    )  ))</f>
        <v>0</v>
      </c>
      <c r="H21" s="1">
        <f t="array" aca="1" ref="H21" ca="1">SUM(  IF($C$12 = "All IT",    IF(H$31:H$44 =$D21,       1,      0),    IF($D$31:$D$44 = $C$12,      IF(H$31:H$44 =$D21,         1,        0),    )  ))</f>
        <v>0</v>
      </c>
      <c r="J21" s="1">
        <f t="array" aca="1" ref="J21" ca="1">SUM(  IF($C$12 = "All IT",    IF(J$31:J$44 =$D21,       1,      0),    IF($D$31:$D$44 = $C$12,      IF(J$31:J$44 =$D21,         1,        0),    )  ))</f>
        <v>0</v>
      </c>
      <c r="L21" s="1">
        <f t="array" aca="1" ref="L21" ca="1">SUM(  IF($C$12 = "All IT",    IF(L$31:L$44 =$D21,       1,      0),    IF($D$31:$D$44 = $C$12,      IF(L$31:L$44 =$D21,         1,        0),    )  ))</f>
        <v>0</v>
      </c>
      <c r="N21" s="1">
        <f t="array" aca="1" ref="N21" ca="1">SUM(  IF($C$12 = "All IT",    IF(N$31:N$44 =$D21,       1,      0),    IF($D$31:$D$44 = $C$12,      IF(N$31:N$44 =$D21,         1,        0),    )  ))</f>
        <v>0</v>
      </c>
      <c r="P21" s="1">
        <f t="array" aca="1" ref="P21" ca="1">SUM(  IF($C$12 = "All IT",    IF(P$31:P$44 =$D21,       1,      0),    IF($D$31:$D$44 = $C$12,      IF(P$31:P$44 =$D21,         1,        0),    )  ))</f>
        <v>0</v>
      </c>
      <c r="R21" s="1">
        <f t="array" aca="1" ref="R21" ca="1">SUM(  IF($C$12 = "All IT",    IF(R$31:R$44 =$D21,       1,      0),    IF($D$31:$D$44 = $C$12,      IF(R$31:R$44 =$D21,         1,        0),    )  ))</f>
        <v>0</v>
      </c>
      <c r="T21" s="1">
        <f t="array" aca="1" ref="T21" ca="1">SUM(  IF($C$12 = "All IT",    IF(T$31:T$44 =$D21,       1,      0),    IF($D$31:$D$44 = $C$12,      IF(T$31:T$44 =$D21,         1,        0),    )  ))</f>
        <v>0</v>
      </c>
      <c r="V21" s="1">
        <f t="array" aca="1" ref="V21" ca="1">SUM(  IF($C$12 = "All IT",    IF(V$31:V$44 =$D21,       1,      0),    IF($D$31:$D$44 = $C$12,      IF(V$31:V$44 =$D21,         1,        0),    )  ))</f>
        <v>0</v>
      </c>
      <c r="X21" s="1">
        <f t="array" aca="1" ref="X21" ca="1">SUM(  IF($C$12 = "All IT",    IF(X$31:X$44 =$D21,       1,      0),    IF($D$31:$D$44 = $C$12,      IF(X$31:X$44 =$D21,         1,        0),    )  ))</f>
        <v>0</v>
      </c>
      <c r="Z21" s="1">
        <f t="array" aca="1" ref="Z21" ca="1">SUM(  IF($C$12 = "All IT",    IF(Z$31:Z$44 =$D21,       1,      0),    IF($D$31:$D$44 = $C$12,      IF(Z$31:Z$44 =$D21,         1,        0),    )  ))</f>
        <v>0</v>
      </c>
      <c r="AB21" s="1">
        <f t="array" aca="1" ref="AB21" ca="1">SUM(  IF($C$12 = "All IT",    IF(AB$31:AB$44 =$D21,       1,      0),    IF($D$31:$D$44 = $C$12,      IF(AB$31:AB$44 =$D21,         1,        0),    )  ))</f>
        <v>0</v>
      </c>
      <c r="AD21" s="1">
        <f t="array" aca="1" ref="AD21" ca="1">SUM(  IF($C$12 = "All IT",    IF(AD$31:AD$44 =$D21,       1,      0),    IF($D$31:$D$44 = $C$12,      IF(AD$31:AD$44 =$D21,         1,        0),    )  ))</f>
        <v>0</v>
      </c>
      <c r="AF21" s="1">
        <f t="array" aca="1" ref="AF21" ca="1">SUM(  IF($C$12 = "All IT",    IF(AF$31:AF$44 =$D21,       1,      0),    IF($D$31:$D$44 = $C$12,      IF(AF$31:AF$44 =$D21,         1,        0),    )  ))</f>
        <v>0</v>
      </c>
    </row>
    <row r="22" spans="1:35">
      <c r="D22" s="301">
        <v>0</v>
      </c>
      <c r="E22" s="301" t="s">
        <v>19</v>
      </c>
      <c r="F22" s="1">
        <f t="array" aca="1" ref="F22" ca="1">SUM(  IF($C$12 = "All IT",    IF(F$31:F$44 =$D22,       1,      0),    IF($D$31:$D$44 = $C$12,      IF(F$31:F$44 =$D22,         1,        0),    )  ))</f>
        <v>0</v>
      </c>
      <c r="H22" s="1">
        <f t="array" aca="1" ref="H22" ca="1">SUM(  IF($C$12 = "All IT",    IF(H$31:H$44 =$D22,       1,      0),    IF($D$31:$D$44 = $C$12,      IF(H$31:H$44 =$D22,         1,        0),    )  ))</f>
        <v>0</v>
      </c>
      <c r="J22" s="1">
        <f t="array" aca="1" ref="J22" ca="1">SUM(  IF($C$12 = "All IT",    IF(J$31:J$44 =$D22,       1,      0),    IF($D$31:$D$44 = $C$12,      IF(J$31:J$44 =$D22,         1,        0),    )  ))</f>
        <v>0</v>
      </c>
      <c r="L22" s="1">
        <f t="array" aca="1" ref="L22" ca="1">SUM(  IF($C$12 = "All IT",    IF(L$31:L$44 =$D22,       1,      0),    IF($D$31:$D$44 = $C$12,      IF(L$31:L$44 =$D22,         1,        0),    )  ))</f>
        <v>0</v>
      </c>
      <c r="N22" s="1">
        <f t="array" aca="1" ref="N22" ca="1">SUM(  IF($C$12 = "All IT",    IF(N$31:N$44 =$D22,       1,      0),    IF($D$31:$D$44 = $C$12,      IF(N$31:N$44 =$D22,         1,        0),    )  ))</f>
        <v>0</v>
      </c>
      <c r="P22" s="1">
        <f t="array" aca="1" ref="P22" ca="1">SUM(  IF($C$12 = "All IT",    IF(P$31:P$44 =$D22,       1,      0),    IF($D$31:$D$44 = $C$12,      IF(P$31:P$44 =$D22,         1,        0),    )  ))</f>
        <v>0</v>
      </c>
      <c r="R22" s="1">
        <f t="array" aca="1" ref="R22" ca="1">SUM(  IF($C$12 = "All IT",    IF(R$31:R$44 =$D22,       1,      0),    IF($D$31:$D$44 = $C$12,      IF(R$31:R$44 =$D22,         1,        0),    )  ))</f>
        <v>0</v>
      </c>
      <c r="T22" s="1">
        <f t="array" aca="1" ref="T22" ca="1">SUM(  IF($C$12 = "All IT",    IF(T$31:T$44 =$D22,       1,      0),    IF($D$31:$D$44 = $C$12,      IF(T$31:T$44 =$D22,         1,        0),    )  ))</f>
        <v>0</v>
      </c>
      <c r="V22" s="1">
        <f t="array" aca="1" ref="V22" ca="1">SUM(  IF($C$12 = "All IT",    IF(V$31:V$44 =$D22,       1,      0),    IF($D$31:$D$44 = $C$12,      IF(V$31:V$44 =$D22,         1,        0),    )  ))</f>
        <v>0</v>
      </c>
      <c r="X22" s="1">
        <f t="array" aca="1" ref="X22" ca="1">SUM(  IF($C$12 = "All IT",    IF(X$31:X$44 =$D22,       1,      0),    IF($D$31:$D$44 = $C$12,      IF(X$31:X$44 =$D22,         1,        0),    )  ))</f>
        <v>0</v>
      </c>
      <c r="Z22" s="1">
        <f t="array" aca="1" ref="Z22" ca="1">SUM(  IF($C$12 = "All IT",    IF(Z$31:Z$44 =$D22,       1,      0),    IF($D$31:$D$44 = $C$12,      IF(Z$31:Z$44 =$D22,         1,        0),    )  ))</f>
        <v>0</v>
      </c>
      <c r="AB22" s="1">
        <f t="array" aca="1" ref="AB22" ca="1">SUM(  IF($C$12 = "All IT",    IF(AB$31:AB$44 =$D22,       1,      0),    IF($D$31:$D$44 = $C$12,      IF(AB$31:AB$44 =$D22,         1,        0),    )  ))</f>
        <v>0</v>
      </c>
      <c r="AD22" s="1">
        <f t="array" aca="1" ref="AD22" ca="1">SUM(  IF($C$12 = "All IT",    IF(AD$31:AD$44 =$D22,       1,      0),    IF($D$31:$D$44 = $C$12,      IF(AD$31:AD$44 =$D22,         1,        0),    )  ))</f>
        <v>0</v>
      </c>
      <c r="AF22" s="1">
        <f t="array" aca="1" ref="AF22" ca="1">SUM(  IF($C$12 = "All IT",    IF(AF$31:AF$44 =$D22,       1,      0),    IF($D$31:$D$44 = $C$12,      IF(AF$31:AF$44 =$D22,         1,        0),    )  ))</f>
        <v>0</v>
      </c>
    </row>
    <row r="23" spans="1:35">
      <c r="B23" s="301" t="s">
        <v>431</v>
      </c>
      <c r="C23">
        <f t="array" aca="1" ref="C23" ca="1">IF($C$12="All IT",$C$14-$C$13+1,SUM(IF(INDIRECT("R"&amp;$C$13&amp;"C4:R"&amp;$C$14&amp;"C4",FALSE) = $C$12,1,0)))</f>
        <v>0</v>
      </c>
      <c r="F23" s="1">
        <f ca="1">SUM(F16:F22)</f>
        <v>0</v>
      </c>
      <c r="H23" s="1">
        <f ca="1">SUM(F16:F22)</f>
        <v>0</v>
      </c>
      <c r="J23" s="1">
        <f ca="1">SUM(F16:F22)</f>
        <v>0</v>
      </c>
      <c r="L23" s="1">
        <f ca="1">SUM(F16:F22)</f>
        <v>0</v>
      </c>
      <c r="N23" s="1">
        <f ca="1">SUM(F16:F22)</f>
        <v>0</v>
      </c>
      <c r="P23" s="1">
        <f ca="1">SUM(F16:F22)</f>
        <v>0</v>
      </c>
      <c r="R23" s="1">
        <f ca="1">SUM(F16:F22)</f>
        <v>0</v>
      </c>
      <c r="T23" s="1">
        <f ca="1">SUM(F16:F22)</f>
        <v>0</v>
      </c>
      <c r="V23" s="1">
        <f ca="1">SUM(F16:F22)</f>
        <v>0</v>
      </c>
      <c r="X23" s="1">
        <f ca="1">SUM(F16:F22)</f>
        <v>0</v>
      </c>
      <c r="Z23" s="1">
        <f ca="1">SUM(F16:F22)</f>
        <v>0</v>
      </c>
      <c r="AB23" s="1">
        <f ca="1">SUM(F16:F22)</f>
        <v>0</v>
      </c>
      <c r="AD23" s="1">
        <f ca="1">SUM(F16:F22)</f>
        <v>0</v>
      </c>
      <c r="AF23" s="1">
        <f ca="1">SUM(F16:F22)</f>
        <v>0</v>
      </c>
    </row>
    <row r="24" spans="1:35">
      <c r="B24" s="583" t="s">
        <v>448</v>
      </c>
      <c r="C24" s="223">
        <f>IFERROR(AVERAGE($F24, $H24, $J24, $L24, $N24, $P24, $R24, $T24, $V24, $X24, $Z24, $AB24, $AD24, $AF24), "No Data")</f>
        <v>4.1801412872841448</v>
      </c>
      <c r="E24" s="301" t="s">
        <v>434</v>
      </c>
      <c r="F24" s="224">
        <f t="array" ref="F24">IFERROR(AVERAGE(   IF(F$31:F$44 &lt; 6,       F$31:F$44,       ""    )), "No Data")</f>
        <v>4.5</v>
      </c>
      <c r="H24" s="224">
        <f t="array" ref="H24">IFERROR(AVERAGE(   IF(H$31:H$44 &lt; 6,       H$31:H$44,       ""    )), "No Data")</f>
        <v>4.3076923076923075</v>
      </c>
      <c r="J24" s="224">
        <f t="array" ref="J24">IFERROR(AVERAGE(   IF(J$31:J$44 &lt; 6,       J$31:J$44,       ""    )), "No Data")</f>
        <v>4.2857142857142856</v>
      </c>
      <c r="L24" s="224">
        <f t="array" ref="L24">IFERROR(AVERAGE(   IF(L$31:L$44 &lt; 6,       L$31:L$44,       ""    )), "No Data")</f>
        <v>3.7857142857142856</v>
      </c>
      <c r="N24" s="224">
        <f t="array" ref="N24">IFERROR(AVERAGE(   IF(N$31:N$44 &lt; 6,       N$31:N$44,       ""    )), "No Data")</f>
        <v>4</v>
      </c>
      <c r="P24" s="224">
        <f t="array" ref="P24">IFERROR(AVERAGE(   IF(P$31:P$44 &lt; 6,       P$31:P$44,       ""    )), "No Data")</f>
        <v>3.7857142857142856</v>
      </c>
      <c r="R24" s="224">
        <f t="array" ref="R24">IFERROR(AVERAGE(   IF(R$31:R$44 &lt; 6,       R$31:R$44,       ""    )), "No Data")</f>
        <v>4.2857142857142856</v>
      </c>
      <c r="T24" s="224">
        <f t="array" ref="T24">IFERROR(AVERAGE(   IF(T$31:T$44 &lt; 6,       T$31:T$44,       ""    )), "No Data")</f>
        <v>4.2142857142857144</v>
      </c>
      <c r="V24" s="224">
        <f t="array" ref="V24">IFERROR(AVERAGE(   IF(V$31:V$44 &lt; 6,       V$31:V$44,       ""    )), "No Data")</f>
        <v>4.5</v>
      </c>
      <c r="X24" s="224">
        <f t="array" ref="X24">IFERROR(AVERAGE(   IF(X$31:X$44 &lt; 6,       X$31:X$44,       ""    )), "No Data")</f>
        <v>4.2857142857142856</v>
      </c>
      <c r="Z24" s="224">
        <f t="array" ref="Z24">IFERROR(AVERAGE(   IF(Z$31:Z$44 &lt; 6,       Z$31:Z$44,       ""    )), "No Data")</f>
        <v>4.1428571428571432</v>
      </c>
      <c r="AB24" s="224">
        <f t="array" ref="AB24">IFERROR(AVERAGE(   IF(AB$31:AB$44 &lt; 6,       AB$31:AB$44,       ""    )), "No Data")</f>
        <v>4</v>
      </c>
      <c r="AD24" s="224">
        <f t="array" ref="AD24">IFERROR(AVERAGE(   IF(AD$31:AD$44 &lt; 6,       AD$31:AD$44,       ""    )), "No Data")</f>
        <v>4.2142857142857144</v>
      </c>
      <c r="AF24" s="224">
        <f t="array" ref="AF24">IFERROR(AVERAGE(   IF(AF$31:AF$44 &lt; 6,       AF$31:AF$44,       ""    )), "No Data")</f>
        <v>4.2142857142857144</v>
      </c>
    </row>
    <row r="25" spans="1:35" ht="25.5">
      <c r="B25" s="583" t="s">
        <v>449</v>
      </c>
      <c r="C25" s="223" t="str">
        <f ca="1">IFERROR(AVERAGE($F25, $H25, $J25, $L25, $N25, $P25, $R25, $T25, $V25, $X25, $Z25, $AB25, $AD25, $AF25), "No Data")</f>
        <v>No Data</v>
      </c>
      <c r="D25" s="223"/>
      <c r="E25" s="301" t="s">
        <v>435</v>
      </c>
      <c r="F25" s="224" t="str">
        <f t="array" aca="1" ref="F25" ca="1">IFERROR(STDEVP(  IF($C$12 = "All IT",    IF(F$31:F$44 &lt; 6,       F$31:F$44,       ""    ),    IF($C$12 = $D$31:$D$44,      IF(F$31:F$44 &lt; 6,         F$31:F$44,         ""      )    )  )), "No Data")</f>
        <v>No Data</v>
      </c>
      <c r="H25" s="224" t="str">
        <f t="array" aca="1" ref="H25" ca="1">IFERROR(STDEVP(  IF($C$12 = "All IT",    IF(H$31:H$44 &lt; 6,       H$31:H$44,       ""    ),    IF($C$12 = $D$31:$D$44,      IF(H$31:H$44 &lt; 6,         H$31:H$44,         ""      )    )  )), "No Data")</f>
        <v>No Data</v>
      </c>
      <c r="J25" s="224" t="str">
        <f t="array" aca="1" ref="J25" ca="1">IFERROR(STDEVP(  IF($C$12 = "All IT",    IF(J$31:J$44 &lt; 6,       J$31:J$44,       ""    ),    IF($C$12 = $D$31:$D$44,      IF(J$31:J$44 &lt; 6,         J$31:J$44,         ""      )    )  )), "No Data")</f>
        <v>No Data</v>
      </c>
      <c r="L25" s="224" t="str">
        <f t="array" aca="1" ref="L25" ca="1">IFERROR(STDEVP(  IF($C$12 = "All IT",    IF(L$31:L$44 &lt; 6,       L$31:L$44,       ""    ),    IF($C$12 = $D$31:$D$44,      IF(L$31:L$44 &lt; 6,         L$31:L$44,         ""      )    )  )), "No Data")</f>
        <v>No Data</v>
      </c>
      <c r="N25" s="224" t="str">
        <f t="array" aca="1" ref="N25" ca="1">IFERROR(STDEVP(  IF($C$12 = "All IT",    IF(N$31:N$44 &lt; 6,       N$31:N$44,       ""    ),    IF($C$12 = $D$31:$D$44,      IF(N$31:N$44 &lt; 6,         N$31:N$44,         ""      )    )  )), "No Data")</f>
        <v>No Data</v>
      </c>
      <c r="P25" s="224" t="str">
        <f t="array" aca="1" ref="P25" ca="1">IFERROR(STDEVP(  IF($C$12 = "All IT",    IF(P$31:P$44 &lt; 6,       P$31:P$44,       ""    ),    IF($C$12 = $D$31:$D$44,      IF(P$31:P$44 &lt; 6,         P$31:P$44,         ""      )    )  )), "No Data")</f>
        <v>No Data</v>
      </c>
      <c r="R25" s="224" t="str">
        <f t="array" aca="1" ref="R25" ca="1">IFERROR(STDEVP(  IF($C$12 = "All IT",    IF(R$31:R$44 &lt; 6,       R$31:R$44,       ""    ),    IF($C$12 = $D$31:$D$44,      IF(R$31:R$44 &lt; 6,         R$31:R$44,         ""      )    )  )), "No Data")</f>
        <v>No Data</v>
      </c>
      <c r="T25" s="224" t="str">
        <f t="array" aca="1" ref="T25" ca="1">IFERROR(STDEVP(  IF($C$12 = "All IT",    IF(T$31:T$44 &lt; 6,       T$31:T$44,       ""    ),    IF($C$12 = $D$31:$D$44,      IF(T$31:T$44 &lt; 6,         T$31:T$44,         ""      )    )  )), "No Data")</f>
        <v>No Data</v>
      </c>
      <c r="V25" s="224" t="str">
        <f t="array" aca="1" ref="V25" ca="1">IFERROR(STDEVP(  IF($C$12 = "All IT",    IF(V$31:V$44 &lt; 6,       V$31:V$44,       ""    ),    IF($C$12 = $D$31:$D$44,      IF(V$31:V$44 &lt; 6,         V$31:V$44,         ""      )    )  )), "No Data")</f>
        <v>No Data</v>
      </c>
      <c r="X25" s="224" t="str">
        <f t="array" aca="1" ref="X25" ca="1">IFERROR(STDEVP(  IF($C$12 = "All IT",    IF(X$31:X$44 &lt; 6,       X$31:X$44,       ""    ),    IF($C$12 = $D$31:$D$44,      IF(X$31:X$44 &lt; 6,         X$31:X$44,         ""      )    )  )), "No Data")</f>
        <v>No Data</v>
      </c>
      <c r="Z25" s="224" t="str">
        <f t="array" aca="1" ref="Z25" ca="1">IFERROR(STDEVP(  IF($C$12 = "All IT",    IF(Z$31:Z$44 &lt; 6,       Z$31:Z$44,       ""    ),    IF($C$12 = $D$31:$D$44,      IF(Z$31:Z$44 &lt; 6,         Z$31:Z$44,         ""      )    )  )), "No Data")</f>
        <v>No Data</v>
      </c>
      <c r="AB25" s="224" t="str">
        <f t="array" aca="1" ref="AB25" ca="1">IFERROR(STDEVP(  IF($C$12 = "All IT",    IF(AB$31:AB$44 &lt; 6,       AB$31:AB$44,       ""    ),    IF($C$12 = $D$31:$D$44,      IF(AB$31:AB$44 &lt; 6,         AB$31:AB$44,         ""      )    )  )), "No Data")</f>
        <v>No Data</v>
      </c>
      <c r="AD25" s="224" t="str">
        <f t="array" aca="1" ref="AD25" ca="1">IFERROR(STDEVP(  IF($C$12 = "All IT",    IF(AD$31:AD$44 &lt; 6,       AD$31:AD$44,       ""    ),    IF($C$12 = $D$31:$D$44,      IF(AD$31:AD$44 &lt; 6,         AD$31:AD$44,         ""      )    )  )), "No Data")</f>
        <v>No Data</v>
      </c>
      <c r="AF25" s="224" t="str">
        <f t="array" aca="1" ref="AF25" ca="1">IFERROR(STDEVP(  IF($C$12 = "All IT",    IF(AF$31:AF$44 &lt; 6,       AF$31:AF$44,       ""    ),    IF($C$12 = $D$31:$D$44,      IF(AF$31:AF$44 &lt; 6,         AF$31:AF$44,         ""      )    )  )), "No Data")</f>
        <v>No Data</v>
      </c>
    </row>
    <row r="26" spans="1:35" ht="25.5">
      <c r="B26" s="583" t="s">
        <v>450</v>
      </c>
      <c r="C26" s="223" t="str">
        <f ca="1">IFERROR(AVERAGE($F26, $H26, $J26, $L26, $N26, $P26, $R26, $T26, $V26, $X26, $Z26, $AB26, $AD26, $AF26), "No Data")</f>
        <v>No Data</v>
      </c>
      <c r="D26" s="223"/>
      <c r="E26" s="301" t="s">
        <v>436</v>
      </c>
      <c r="F26" s="224" t="str">
        <f t="array" aca="1" ref="F26" ca="1">IFERROR(AVERAGE(  IF($C$12 = "All IT",    IF(F$31:F$44 &lt; 6,       F$31:F$44,       ""    ),    IF($C$12 = $D$31:$D$44,      IF(F$31:F$44 &lt; 6,         F$31:F$44,         ""      )    )  )), "No Data")</f>
        <v>No Data</v>
      </c>
      <c r="H26" s="224" t="str">
        <f t="array" aca="1" ref="H26" ca="1">IFERROR(AVERAGE(  IF($C$12 = "All IT",    IF(H$31:H$44 &lt; 6,       H$31:H$44,       ""    ),    IF($C$12 = $D$31:$D$44,      IF(H$31:H$44 &lt; 6,         H$31:H$44,         ""      )    )  )), "No Data")</f>
        <v>No Data</v>
      </c>
      <c r="J26" s="224" t="str">
        <f t="array" aca="1" ref="J26" ca="1">IFERROR(AVERAGE(  IF($C$12 = "All IT",    IF(J$31:J$44 &lt; 6,       J$31:J$44,       ""    ),    IF($C$12 = $D$31:$D$44,      IF(J$31:J$44 &lt; 6,         J$31:J$44,         ""      )    )  )), "No Data")</f>
        <v>No Data</v>
      </c>
      <c r="L26" s="224" t="str">
        <f t="array" aca="1" ref="L26" ca="1">IFERROR(AVERAGE(  IF($C$12 = "All IT",    IF(L$31:L$44 &lt; 6,       L$31:L$44,       ""    ),    IF($C$12 = $D$31:$D$44,      IF(L$31:L$44 &lt; 6,         L$31:L$44,         ""      )    )  )), "No Data")</f>
        <v>No Data</v>
      </c>
      <c r="N26" s="224" t="str">
        <f t="array" aca="1" ref="N26" ca="1">IFERROR(AVERAGE(  IF($C$12 = "All IT",    IF(N$31:N$44 &lt; 6,       N$31:N$44,       ""    ),    IF($C$12 = $D$31:$D$44,      IF(N$31:N$44 &lt; 6,         N$31:N$44,         ""      )    )  )), "No Data")</f>
        <v>No Data</v>
      </c>
      <c r="P26" s="224" t="str">
        <f t="array" aca="1" ref="P26" ca="1">IFERROR(AVERAGE(  IF($C$12 = "All IT",    IF(P$31:P$44 &lt; 6,       P$31:P$44,       ""    ),    IF($C$12 = $D$31:$D$44,      IF(P$31:P$44 &lt; 6,         P$31:P$44,         ""      )    )  )), "No Data")</f>
        <v>No Data</v>
      </c>
      <c r="R26" s="224" t="str">
        <f t="array" aca="1" ref="R26" ca="1">IFERROR(AVERAGE(  IF($C$12 = "All IT",    IF(R$31:R$44 &lt; 6,       R$31:R$44,       ""    ),    IF($C$12 = $D$31:$D$44,      IF(R$31:R$44 &lt; 6,         R$31:R$44,         ""      )    )  )), "No Data")</f>
        <v>No Data</v>
      </c>
      <c r="T26" s="224" t="str">
        <f t="array" aca="1" ref="T26" ca="1">IFERROR(AVERAGE(  IF($C$12 = "All IT",    IF(T$31:T$44 &lt; 6,       T$31:T$44,       ""    ),    IF($C$12 = $D$31:$D$44,      IF(T$31:T$44 &lt; 6,         T$31:T$44,         ""      )    )  )), "No Data")</f>
        <v>No Data</v>
      </c>
      <c r="V26" s="224" t="str">
        <f t="array" aca="1" ref="V26" ca="1">IFERROR(AVERAGE(  IF($C$12 = "All IT",    IF(V$31:V$44 &lt; 6,       V$31:V$44,       ""    ),    IF($C$12 = $D$31:$D$44,      IF(V$31:V$44 &lt; 6,         V$31:V$44,         ""      )    )  )), "No Data")</f>
        <v>No Data</v>
      </c>
      <c r="X26" s="224" t="str">
        <f t="array" aca="1" ref="X26" ca="1">IFERROR(AVERAGE(  IF($C$12 = "All IT",    IF(X$31:X$44 &lt; 6,       X$31:X$44,       ""    ),    IF($C$12 = $D$31:$D$44,      IF(X$31:X$44 &lt; 6,         X$31:X$44,         ""      )    )  )), "No Data")</f>
        <v>No Data</v>
      </c>
      <c r="Z26" s="224" t="str">
        <f t="array" aca="1" ref="Z26" ca="1">IFERROR(AVERAGE(  IF($C$12 = "All IT",    IF(Z$31:Z$44 &lt; 6,       Z$31:Z$44,       ""    ),    IF($C$12 = $D$31:$D$44,      IF(Z$31:Z$44 &lt; 6,         Z$31:Z$44,         ""      )    )  )), "No Data")</f>
        <v>No Data</v>
      </c>
      <c r="AB26" s="224" t="str">
        <f t="array" aca="1" ref="AB26" ca="1">IFERROR(AVERAGE(  IF($C$12 = "All IT",    IF(AB$31:AB$44 &lt; 6,       AB$31:AB$44,       ""    ),    IF($C$12 = $D$31:$D$44,      IF(AB$31:AB$44 &lt; 6,         AB$31:AB$44,         ""      )    )  )), "No Data")</f>
        <v>No Data</v>
      </c>
      <c r="AD26" s="224" t="str">
        <f t="array" aca="1" ref="AD26" ca="1">IFERROR(AVERAGE(  IF($C$12 = "All IT",    IF(AD$31:AD$44 &lt; 6,       AD$31:AD$44,       ""    ),    IF($C$12 = $D$31:$D$44,      IF(AD$31:AD$44 &lt; 6,         AD$31:AD$44,         ""      )    )  )), "No Data")</f>
        <v>No Data</v>
      </c>
      <c r="AF26" s="224" t="str">
        <f t="array" aca="1" ref="AF26" ca="1">IFERROR(AVERAGE(  IF($C$12 = "All IT",    IF(AF$31:AF$44 &lt; 6,       AF$31:AF$44,       ""    ),    IF($C$12 = $D$31:$D$44,      IF(AF$31:AF$44 &lt; 6,         AF$31:AF$44,         ""      )    )  )), "No Data")</f>
        <v>No Data</v>
      </c>
    </row>
    <row r="27" spans="1:35">
      <c r="E27" s="301" t="s">
        <v>437</v>
      </c>
    </row>
    <row r="28" spans="1:35">
      <c r="E28" s="301" t="s">
        <v>438</v>
      </c>
      <c r="F28" s="763" t="str">
        <f ca="1">LOOKUP(F$30, INDIRECT("'" &amp; $C$6 &amp; "'!" &amp; INDIRECT("'" &amp; $C$6 &amp; "'!" &amp; $C$7)))</f>
        <v>IT took appropriate time to understand my problem or need before solving or meeting it.</v>
      </c>
      <c r="G28" s="763"/>
      <c r="H28" s="763" t="str">
        <f ca="1">LOOKUP(H$30, INDIRECT("'" &amp; $C$6 &amp; "'!" &amp; INDIRECT("'" &amp; $C$6 &amp; "'!" &amp; $C$7)))</f>
        <v>I had adequate opportunity to review the work effort at the end of Analyze and Design stage, and was given an opportunity to accept, change, or reject it.</v>
      </c>
      <c r="I28" s="763"/>
      <c r="J28" s="763" t="str">
        <f ca="1">LOOKUP(J$30, INDIRECT("'" &amp; $C$6 &amp; "'!" &amp; INDIRECT("'" &amp; $C$6 &amp; "'!" &amp; $C$7)))</f>
        <v>The quality of the solutions delivered by IT met my expectations.</v>
      </c>
      <c r="K28" s="763"/>
      <c r="L28" s="763" t="str">
        <f ca="1">LOOKUP(L$30, INDIRECT("'" &amp; $C$6 &amp; "'!" &amp; INDIRECT("'" &amp; $C$6 &amp; "'!" &amp; $C$7)))</f>
        <v>Overall, I feel the LDM processes are effective in helping IT to deliver solutions.</v>
      </c>
      <c r="M28" s="763"/>
      <c r="N28" s="763" t="str">
        <f ca="1">LOOKUP(N$30, INDIRECT("'" &amp; $C$6 &amp; "'!" &amp; INDIRECT("'" &amp; $C$6 &amp; "'!" &amp; $C$7)))</f>
        <v>Overall, I feel IT effectively used the LDM processes to deliver solutions.</v>
      </c>
      <c r="O28" s="763"/>
      <c r="P28" s="763" t="str">
        <f ca="1">LOOKUP(P$30, INDIRECT("'" &amp; $C$6 &amp; "'!" &amp; INDIRECT("'" &amp; $C$6 &amp; "'!" &amp; $C$7)))</f>
        <v>I am satisfied with the speed and efficiency that issues were resolved by IT.</v>
      </c>
      <c r="Q28" s="763"/>
      <c r="R28" s="763" t="str">
        <f ca="1">LOOKUP(R$30, INDIRECT("'" &amp; $C$6 &amp; "'!" &amp; INDIRECT("'" &amp; $C$6 &amp; "'!" &amp; $C$7)))</f>
        <v>I am satisfied with the speed and efficiency that outages (times when production is down) were resolved.</v>
      </c>
      <c r="S28" s="763"/>
      <c r="T28" s="763" t="str">
        <f ca="1">LOOKUP(T$30, INDIRECT("'" &amp; $C$6 &amp; "'!" &amp; INDIRECT("'" &amp; $C$6 &amp; "'!" &amp; $C$7)))</f>
        <v>IT performed adequate research and performed effective and timely follow up when requested.</v>
      </c>
      <c r="U28" s="763"/>
      <c r="V28" s="763" t="str">
        <f ca="1">LOOKUP(V$30, INDIRECT("'" &amp; $C$6 &amp; "'!" &amp; INDIRECT("'" &amp; $C$6 &amp; "'!" &amp; $C$7)))</f>
        <v>IT staff provided support in a professional and courteous manner and considered input and suggestions from others.</v>
      </c>
      <c r="W28" s="763"/>
      <c r="X28" s="763" t="str">
        <f ca="1">LOOKUP(X$30, INDIRECT("'" &amp; $C$6 &amp; "'!" &amp; INDIRECT("'" &amp; $C$6 &amp; "'!" &amp; $C$7)))</f>
        <v>IT staff members are knowledgeable about my business and the applications I depend on, and they understood the impact issues can have on my business.</v>
      </c>
      <c r="Y28" s="763"/>
      <c r="Z28" s="763" t="str">
        <f ca="1">LOOKUP(Z$30, INDIRECT("'" &amp; $C$6 &amp; "'!" &amp; INDIRECT("'" &amp; $C$6 &amp; "'!" &amp; $C$7)))</f>
        <v>Overall, IT communicated adequate, clear, timely and useful information to me.</v>
      </c>
      <c r="AA28" s="763"/>
      <c r="AB28" s="763" t="str">
        <f ca="1">LOOKUP(AB$30, INDIRECT("'" &amp; $C$6 &amp; "'!" &amp; INDIRECT("'" &amp; $C$6 &amp; "'!" &amp; $C$7)))</f>
        <v>Overall, IT did a good job managing their resources and ensuring follow-through on commitments.</v>
      </c>
      <c r="AC28" s="763"/>
      <c r="AD28" s="763" t="str">
        <f ca="1">LOOKUP(AD$30, INDIRECT("'" &amp; $C$6 &amp; "'!" &amp; INDIRECT("'" &amp; $C$6 &amp; "'!" &amp; $C$7)))</f>
        <v>Overall, I am satisfied with IT staff's support of production applications.</v>
      </c>
      <c r="AE28" s="763"/>
      <c r="AF28" s="763" t="str">
        <f ca="1">LOOKUP(AF$30, INDIRECT("'" &amp; $C$6 &amp; "'!" &amp; INDIRECT("'" &amp; $C$6 &amp; "'!" &amp; $C$7)))</f>
        <v>IT properly managed deployments, including deployments that were dependent on other App Team deployments.</v>
      </c>
      <c r="AG28" s="763"/>
      <c r="AH28" s="1" t="str">
        <f ca="1">LOOKUP(AH$30, INDIRECT("'" &amp; $C$6 &amp; "'!" &amp; INDIRECT("'" &amp; $C$6 &amp; "'!" &amp; $C$7)))</f>
        <v>Please describe any other expectations of IT that you would like to express:</v>
      </c>
      <c r="AI28" s="1" t="str">
        <f ca="1">LOOKUP(AI$30, INDIRECT("'" &amp; $C$6 &amp; "'!" &amp; INDIRECT("'" &amp; $C$6 &amp; "'!" &amp; $C$7)))</f>
        <v>Please provide any additional comments you have:</v>
      </c>
    </row>
    <row r="29" spans="1:35">
      <c r="E29" s="301" t="s">
        <v>439</v>
      </c>
      <c r="G29" s="1" t="str">
        <f ca="1">LOOKUP(G$30, INDIRECT("'" &amp; $C$6 &amp; "'!" &amp; INDIRECT("'" &amp; $C$6 &amp; "'!" &amp; $C$7)))</f>
        <v>Did you have any other expectations:</v>
      </c>
      <c r="I29" s="1" t="str">
        <f ca="1">LOOKUP(I$30, INDIRECT("'" &amp; $C$6 &amp; "'!" &amp; INDIRECT("'" &amp; $C$6 &amp; "'!" &amp; $C$7)))</f>
        <v>If you disagree, please describe what you would've liked to have happen:</v>
      </c>
      <c r="K29" s="1" t="str">
        <f ca="1">LOOKUP(K$30, INDIRECT("'" &amp; $C$6 &amp; "'!" &amp; INDIRECT("'" &amp; $C$6 &amp; "'!" &amp; $C$7)))</f>
        <v>If you disagree, please describe what you expected:</v>
      </c>
      <c r="M29" s="1" t="str">
        <f ca="1">LOOKUP(M$30, INDIRECT("'" &amp; $C$6 &amp; "'!" &amp; INDIRECT("'" &amp; $C$6 &amp; "'!" &amp; $C$7)))</f>
        <v>If you disagree, please describe what you would like to see changed:</v>
      </c>
      <c r="O29" s="1" t="str">
        <f ca="1">LOOKUP(O$30, INDIRECT("'" &amp; $C$6 &amp; "'!" &amp; INDIRECT("'" &amp; $C$6 &amp; "'!" &amp; $C$7)))</f>
        <v>Please provide any comments:</v>
      </c>
      <c r="Q29" s="1" t="str">
        <f ca="1">LOOKUP(Q$30, INDIRECT("'" &amp; $C$6 &amp; "'!" &amp; INDIRECT("'" &amp; $C$6 &amp; "'!" &amp; $C$7)))</f>
        <v>Please provide any comments:</v>
      </c>
      <c r="S29" s="1" t="str">
        <f ca="1">LOOKUP(S$30, INDIRECT("'" &amp; $C$6 &amp; "'!" &amp; INDIRECT("'" &amp; $C$6 &amp; "'!" &amp; $C$7)))</f>
        <v>Please provide any comments:</v>
      </c>
      <c r="U29" s="1" t="str">
        <f ca="1">LOOKUP(U$30, INDIRECT("'" &amp; $C$6 &amp; "'!" &amp; INDIRECT("'" &amp; $C$6 &amp; "'!" &amp; $C$7)))</f>
        <v>If you disagree, please describe what you would have liked to have happen:</v>
      </c>
      <c r="W29" s="1" t="str">
        <f ca="1">LOOKUP(W$30, INDIRECT("'" &amp; $C$6 &amp; "'!" &amp; INDIRECT("'" &amp; $C$6 &amp; "'!" &amp; $C$7)))</f>
        <v>If you disagree, please describe:</v>
      </c>
      <c r="Y29" s="1" t="str">
        <f ca="1">LOOKUP(Y$30, INDIRECT("'" &amp; $C$6 &amp; "'!" &amp; INDIRECT("'" &amp; $C$6 &amp; "'!" &amp; $C$7)))</f>
        <v>If you disagree, please describe what you would like to see changed:</v>
      </c>
      <c r="AA29" s="1" t="str">
        <f ca="1">LOOKUP(AA$30, INDIRECT("'" &amp; $C$6 &amp; "'!" &amp; INDIRECT("'" &amp; $C$6 &amp; "'!" &amp; $C$7)))</f>
        <v>If you disagree, please describe:</v>
      </c>
      <c r="AC29" s="1" t="str">
        <f ca="1">LOOKUP(AC$30, INDIRECT("'" &amp; $C$6 &amp; "'!" &amp; INDIRECT("'" &amp; $C$6 &amp; "'!" &amp; $C$7)))</f>
        <v>If you disagree, please describe:</v>
      </c>
      <c r="AE29" s="1" t="str">
        <f ca="1">LOOKUP(AE$30, INDIRECT("'" &amp; $C$6 &amp; "'!" &amp; INDIRECT("'" &amp; $C$6 &amp; "'!" &amp; $C$7)))</f>
        <v>Please describe:</v>
      </c>
      <c r="AG29" s="1" t="str">
        <f ca="1">LOOKUP(AG$30, INDIRECT("'" &amp; $C$6 &amp; "'!" &amp; INDIRECT("'" &amp; $C$6 &amp; "'!" &amp; $C$7)))</f>
        <v>If you disagree, please describe:</v>
      </c>
    </row>
    <row r="30" spans="1:35">
      <c r="A30" s="301" t="s">
        <v>420</v>
      </c>
      <c r="B30" s="301" t="s">
        <v>394</v>
      </c>
      <c r="C30" s="301" t="s">
        <v>396</v>
      </c>
      <c r="D30" s="301" t="s">
        <v>28</v>
      </c>
      <c r="E30" s="301" t="s">
        <v>451</v>
      </c>
      <c r="F30" s="1" t="s">
        <v>398</v>
      </c>
      <c r="G30" s="1" t="s">
        <v>399</v>
      </c>
      <c r="H30" s="1" t="s">
        <v>401</v>
      </c>
      <c r="I30" s="1" t="s">
        <v>402</v>
      </c>
      <c r="J30" s="1" t="s">
        <v>403</v>
      </c>
      <c r="K30" s="1" t="s">
        <v>404</v>
      </c>
      <c r="L30" s="1" t="s">
        <v>406</v>
      </c>
      <c r="M30" s="1" t="s">
        <v>407</v>
      </c>
      <c r="N30" s="1" t="s">
        <v>408</v>
      </c>
      <c r="O30" s="1" t="s">
        <v>409</v>
      </c>
      <c r="P30" s="1" t="s">
        <v>410</v>
      </c>
      <c r="Q30" s="1" t="s">
        <v>411</v>
      </c>
      <c r="R30" s="1" t="s">
        <v>412</v>
      </c>
      <c r="S30" s="1" t="s">
        <v>413</v>
      </c>
      <c r="T30" s="1" t="s">
        <v>415</v>
      </c>
      <c r="U30" s="1" t="s">
        <v>416</v>
      </c>
      <c r="V30" s="1" t="s">
        <v>418</v>
      </c>
      <c r="W30" s="1" t="s">
        <v>458</v>
      </c>
      <c r="X30" s="1" t="s">
        <v>419</v>
      </c>
      <c r="Y30" s="1" t="s">
        <v>461</v>
      </c>
      <c r="Z30" s="1" t="s">
        <v>462</v>
      </c>
      <c r="AA30" s="1" t="s">
        <v>464</v>
      </c>
      <c r="AB30" s="1" t="s">
        <v>465</v>
      </c>
      <c r="AC30" s="1" t="s">
        <v>467</v>
      </c>
      <c r="AD30" s="1" t="s">
        <v>468</v>
      </c>
      <c r="AE30" s="1" t="s">
        <v>469</v>
      </c>
      <c r="AF30" s="1" t="s">
        <v>470</v>
      </c>
      <c r="AG30" s="1" t="s">
        <v>471</v>
      </c>
      <c r="AH30" s="1" t="s">
        <v>472</v>
      </c>
      <c r="AI30" s="1" t="s">
        <v>474</v>
      </c>
    </row>
    <row r="31" spans="1:35">
      <c r="A31" s="10">
        <v>1</v>
      </c>
      <c r="B31" s="10">
        <v>1</v>
      </c>
      <c r="C31" s="10" t="s">
        <v>480</v>
      </c>
      <c r="D31" s="10" t="str">
        <f t="shared" ref="D31:D44" ca="1" si="4">LOOKUP(E31,INDIRECT(Team_Name_Lookup))</f>
        <v>Producer Admin</v>
      </c>
      <c r="E31" s="10">
        <v>5</v>
      </c>
      <c r="F31" s="11">
        <v>4</v>
      </c>
      <c r="G31" s="11" t="s">
        <v>654</v>
      </c>
      <c r="H31" s="11">
        <v>6</v>
      </c>
      <c r="I31" s="11"/>
      <c r="J31" s="11">
        <v>4</v>
      </c>
      <c r="K31" s="11"/>
      <c r="L31" s="11">
        <v>4</v>
      </c>
      <c r="M31" s="11"/>
      <c r="N31" s="11">
        <v>6</v>
      </c>
      <c r="O31" s="11"/>
      <c r="P31" s="11">
        <v>3</v>
      </c>
      <c r="Q31" s="11"/>
      <c r="R31" s="11">
        <v>4</v>
      </c>
      <c r="S31" s="11"/>
      <c r="T31" s="11">
        <v>4</v>
      </c>
      <c r="U31" s="11"/>
      <c r="V31" s="11">
        <v>5</v>
      </c>
      <c r="W31" s="11"/>
      <c r="X31" s="11">
        <v>4</v>
      </c>
      <c r="Y31" s="11"/>
      <c r="Z31" s="11">
        <v>4</v>
      </c>
      <c r="AA31" s="11"/>
      <c r="AB31" s="11">
        <v>4</v>
      </c>
      <c r="AC31" s="11"/>
      <c r="AD31" s="11">
        <v>4</v>
      </c>
      <c r="AE31" s="11"/>
      <c r="AF31" s="11">
        <v>4</v>
      </c>
      <c r="AG31" s="11"/>
      <c r="AH31" s="11"/>
      <c r="AI31" s="11"/>
    </row>
    <row r="32" spans="1:35">
      <c r="A32" s="301">
        <v>2</v>
      </c>
      <c r="B32" s="301">
        <v>1</v>
      </c>
      <c r="C32" s="301" t="s">
        <v>655</v>
      </c>
      <c r="D32" s="301" t="str">
        <f t="shared" ca="1" si="4"/>
        <v>Sales</v>
      </c>
      <c r="E32" s="301">
        <v>8</v>
      </c>
      <c r="F32" s="1">
        <v>5</v>
      </c>
      <c r="H32" s="1">
        <v>5</v>
      </c>
      <c r="J32" s="1">
        <v>5</v>
      </c>
      <c r="L32" s="1">
        <v>5</v>
      </c>
      <c r="N32" s="1">
        <v>5</v>
      </c>
      <c r="P32" s="1">
        <v>5</v>
      </c>
      <c r="R32" s="1">
        <v>5</v>
      </c>
      <c r="T32" s="1">
        <v>5</v>
      </c>
      <c r="V32" s="1">
        <v>5</v>
      </c>
      <c r="X32" s="1">
        <v>5</v>
      </c>
      <c r="Z32" s="1">
        <v>5</v>
      </c>
      <c r="AB32" s="1">
        <v>5</v>
      </c>
      <c r="AD32" s="1">
        <v>5</v>
      </c>
      <c r="AF32" s="1">
        <v>5</v>
      </c>
    </row>
    <row r="33" spans="1:35" ht="25.5">
      <c r="A33" s="301">
        <v>3</v>
      </c>
      <c r="B33" s="301">
        <v>1</v>
      </c>
      <c r="C33" s="301" t="s">
        <v>479</v>
      </c>
      <c r="D33" s="301" t="str">
        <f t="shared" ca="1" si="4"/>
        <v>New Business Workflow</v>
      </c>
      <c r="E33" s="301">
        <v>4</v>
      </c>
      <c r="F33" s="1">
        <v>5</v>
      </c>
      <c r="G33" s="1" t="s">
        <v>656</v>
      </c>
      <c r="H33" s="1">
        <v>5</v>
      </c>
      <c r="J33" s="1">
        <v>5</v>
      </c>
      <c r="L33" s="1">
        <v>2</v>
      </c>
      <c r="M33" s="1" t="s">
        <v>657</v>
      </c>
      <c r="N33" s="1">
        <v>4</v>
      </c>
      <c r="O33" s="1" t="s">
        <v>658</v>
      </c>
      <c r="P33" s="1">
        <v>2</v>
      </c>
      <c r="Q33" s="1" t="s">
        <v>659</v>
      </c>
      <c r="R33" s="1">
        <v>4</v>
      </c>
      <c r="T33" s="1">
        <v>5</v>
      </c>
      <c r="V33" s="1">
        <v>5</v>
      </c>
      <c r="X33" s="1">
        <v>4</v>
      </c>
      <c r="Y33" s="1" t="s">
        <v>660</v>
      </c>
      <c r="Z33" s="1">
        <v>4</v>
      </c>
      <c r="AB33" s="1">
        <v>4</v>
      </c>
      <c r="AC33" s="1" t="s">
        <v>661</v>
      </c>
      <c r="AD33" s="1">
        <v>4</v>
      </c>
      <c r="AF33" s="1">
        <v>5</v>
      </c>
      <c r="AH33" s="1" t="s">
        <v>662</v>
      </c>
      <c r="AI33" s="1" t="s">
        <v>663</v>
      </c>
    </row>
    <row r="34" spans="1:35">
      <c r="A34" s="301">
        <v>4</v>
      </c>
      <c r="B34" s="301">
        <v>1</v>
      </c>
      <c r="C34" s="301" t="s">
        <v>478</v>
      </c>
      <c r="D34" s="301" t="str">
        <f t="shared" ca="1" si="4"/>
        <v>New Business Workflow</v>
      </c>
      <c r="E34" s="301">
        <v>4</v>
      </c>
      <c r="F34" s="1">
        <v>4</v>
      </c>
      <c r="G34" s="1" t="s">
        <v>664</v>
      </c>
      <c r="H34" s="1">
        <v>4</v>
      </c>
      <c r="I34" s="1" t="s">
        <v>664</v>
      </c>
      <c r="J34" s="1">
        <v>3</v>
      </c>
      <c r="L34" s="1">
        <v>2</v>
      </c>
      <c r="M34" s="1" t="s">
        <v>665</v>
      </c>
      <c r="N34" s="1">
        <v>3</v>
      </c>
      <c r="O34" s="1" t="s">
        <v>664</v>
      </c>
      <c r="P34" s="1">
        <v>3</v>
      </c>
      <c r="Q34" s="1" t="s">
        <v>666</v>
      </c>
      <c r="R34" s="1">
        <v>4</v>
      </c>
      <c r="S34" s="1" t="s">
        <v>664</v>
      </c>
      <c r="T34" s="1">
        <v>3</v>
      </c>
      <c r="U34" s="1" t="s">
        <v>664</v>
      </c>
      <c r="V34" s="1">
        <v>5</v>
      </c>
      <c r="W34" s="1" t="s">
        <v>664</v>
      </c>
      <c r="X34" s="1">
        <v>5</v>
      </c>
      <c r="Y34" s="1" t="s">
        <v>664</v>
      </c>
      <c r="Z34" s="1">
        <v>4</v>
      </c>
      <c r="AA34" s="1" t="s">
        <v>664</v>
      </c>
      <c r="AB34" s="1">
        <v>3</v>
      </c>
      <c r="AC34" s="1" t="s">
        <v>664</v>
      </c>
      <c r="AD34" s="1">
        <v>4</v>
      </c>
      <c r="AE34" s="1" t="s">
        <v>664</v>
      </c>
      <c r="AF34" s="1">
        <v>4</v>
      </c>
      <c r="AG34" s="1" t="s">
        <v>664</v>
      </c>
      <c r="AH34" s="1" t="s">
        <v>664</v>
      </c>
      <c r="AI34" s="1" t="s">
        <v>664</v>
      </c>
    </row>
    <row r="35" spans="1:35">
      <c r="A35" s="301">
        <v>5</v>
      </c>
      <c r="B35" s="301">
        <v>1</v>
      </c>
      <c r="C35" s="301" t="s">
        <v>477</v>
      </c>
      <c r="D35" s="301" t="str">
        <f t="shared" ca="1" si="4"/>
        <v>Producer CRM</v>
      </c>
      <c r="E35" s="301">
        <v>6</v>
      </c>
      <c r="F35" s="1">
        <v>5</v>
      </c>
      <c r="H35" s="1">
        <v>4</v>
      </c>
      <c r="J35" s="1">
        <v>4</v>
      </c>
      <c r="L35" s="1">
        <v>4</v>
      </c>
      <c r="N35" s="1">
        <v>4</v>
      </c>
      <c r="P35" s="1">
        <v>4</v>
      </c>
      <c r="R35" s="1">
        <v>4</v>
      </c>
      <c r="T35" s="1">
        <v>4</v>
      </c>
      <c r="V35" s="1">
        <v>4</v>
      </c>
      <c r="X35" s="1">
        <v>5</v>
      </c>
      <c r="Z35" s="1">
        <v>4</v>
      </c>
      <c r="AB35" s="1">
        <v>4</v>
      </c>
      <c r="AD35" s="1">
        <v>4</v>
      </c>
      <c r="AF35" s="1">
        <v>5</v>
      </c>
    </row>
    <row r="36" spans="1:35">
      <c r="A36" s="301">
        <v>6</v>
      </c>
      <c r="B36" s="301">
        <v>1</v>
      </c>
      <c r="C36" s="301" t="s">
        <v>477</v>
      </c>
      <c r="D36" s="301" t="str">
        <f t="shared" ca="1" si="4"/>
        <v>Technology Services</v>
      </c>
      <c r="E36" s="301">
        <v>11</v>
      </c>
      <c r="F36" s="1">
        <v>4</v>
      </c>
      <c r="H36" s="1">
        <v>4</v>
      </c>
      <c r="J36" s="1">
        <v>4</v>
      </c>
      <c r="L36" s="1">
        <v>4</v>
      </c>
      <c r="N36" s="1">
        <v>4</v>
      </c>
      <c r="P36" s="1">
        <v>4</v>
      </c>
      <c r="R36" s="1">
        <v>4</v>
      </c>
      <c r="T36" s="1">
        <v>4</v>
      </c>
      <c r="V36" s="1">
        <v>4</v>
      </c>
      <c r="X36" s="1">
        <v>4</v>
      </c>
      <c r="Z36" s="1">
        <v>3</v>
      </c>
      <c r="AB36" s="1">
        <v>3</v>
      </c>
      <c r="AD36" s="1">
        <v>4</v>
      </c>
      <c r="AF36" s="1">
        <v>3</v>
      </c>
    </row>
    <row r="37" spans="1:35">
      <c r="A37" s="301">
        <v>7</v>
      </c>
      <c r="B37" s="301">
        <v>1</v>
      </c>
      <c r="C37" s="301" t="s">
        <v>482</v>
      </c>
      <c r="D37" s="301" t="str">
        <f t="shared" ca="1" si="4"/>
        <v>Service</v>
      </c>
      <c r="E37" s="301">
        <v>9</v>
      </c>
      <c r="F37" s="1">
        <v>5</v>
      </c>
      <c r="H37" s="1">
        <v>5</v>
      </c>
      <c r="J37" s="1">
        <v>5</v>
      </c>
      <c r="L37" s="1">
        <v>5</v>
      </c>
      <c r="N37" s="1">
        <v>5</v>
      </c>
      <c r="P37" s="1">
        <v>5</v>
      </c>
      <c r="R37" s="1">
        <v>5</v>
      </c>
      <c r="T37" s="1">
        <v>5</v>
      </c>
      <c r="V37" s="1">
        <v>5</v>
      </c>
      <c r="X37" s="1">
        <v>5</v>
      </c>
      <c r="Z37" s="1">
        <v>5</v>
      </c>
      <c r="AB37" s="1">
        <v>5</v>
      </c>
      <c r="AD37" s="1">
        <v>5</v>
      </c>
      <c r="AF37" s="1">
        <v>5</v>
      </c>
      <c r="AI37" s="1" t="s">
        <v>667</v>
      </c>
    </row>
    <row r="38" spans="1:35">
      <c r="A38" s="301">
        <v>8</v>
      </c>
      <c r="B38" s="301">
        <v>1</v>
      </c>
      <c r="C38" s="301" t="s">
        <v>481</v>
      </c>
      <c r="D38" s="301" t="str">
        <f t="shared" ca="1" si="4"/>
        <v>New Business Workflow</v>
      </c>
      <c r="E38" s="301">
        <v>4</v>
      </c>
      <c r="F38" s="1">
        <v>4</v>
      </c>
      <c r="H38" s="1">
        <v>3</v>
      </c>
      <c r="J38" s="1">
        <v>4</v>
      </c>
      <c r="L38" s="1">
        <v>4</v>
      </c>
      <c r="N38" s="1">
        <v>4</v>
      </c>
      <c r="P38" s="1">
        <v>4</v>
      </c>
      <c r="R38" s="1">
        <v>4</v>
      </c>
      <c r="T38" s="1">
        <v>4</v>
      </c>
      <c r="V38" s="1">
        <v>4</v>
      </c>
      <c r="X38" s="1">
        <v>3</v>
      </c>
      <c r="Z38" s="1">
        <v>4</v>
      </c>
      <c r="AB38" s="1">
        <v>4</v>
      </c>
      <c r="AD38" s="1">
        <v>4</v>
      </c>
      <c r="AF38" s="1">
        <v>3</v>
      </c>
    </row>
    <row r="39" spans="1:35">
      <c r="A39" s="301">
        <v>9</v>
      </c>
      <c r="B39" s="301">
        <v>1</v>
      </c>
      <c r="C39" s="301" t="s">
        <v>668</v>
      </c>
      <c r="D39" s="301" t="str">
        <f t="shared" ca="1" si="4"/>
        <v>New Business Workflow</v>
      </c>
      <c r="E39" s="301">
        <v>4</v>
      </c>
      <c r="F39" s="1">
        <v>4</v>
      </c>
      <c r="H39" s="1">
        <v>4</v>
      </c>
      <c r="J39" s="1">
        <v>4</v>
      </c>
      <c r="L39" s="1">
        <v>4</v>
      </c>
      <c r="N39" s="1">
        <v>4</v>
      </c>
      <c r="P39" s="1">
        <v>3</v>
      </c>
      <c r="R39" s="1">
        <v>4</v>
      </c>
      <c r="T39" s="1">
        <v>4</v>
      </c>
      <c r="V39" s="1">
        <v>4</v>
      </c>
      <c r="X39" s="1">
        <v>4</v>
      </c>
      <c r="Z39" s="1">
        <v>4</v>
      </c>
      <c r="AB39" s="1">
        <v>3</v>
      </c>
      <c r="AD39" s="1">
        <v>4</v>
      </c>
      <c r="AF39" s="1">
        <v>3</v>
      </c>
    </row>
    <row r="40" spans="1:35">
      <c r="A40" s="301">
        <v>10</v>
      </c>
      <c r="B40" s="301">
        <v>1</v>
      </c>
      <c r="C40" s="301" t="s">
        <v>483</v>
      </c>
      <c r="D40" s="301" t="str">
        <f t="shared" ca="1" si="4"/>
        <v>Producer Admin</v>
      </c>
      <c r="E40" s="301">
        <v>5</v>
      </c>
      <c r="F40" s="1">
        <v>5</v>
      </c>
      <c r="G40" s="1" t="s">
        <v>669</v>
      </c>
      <c r="H40" s="1">
        <v>4</v>
      </c>
      <c r="J40" s="1">
        <v>4</v>
      </c>
      <c r="L40" s="1">
        <v>4</v>
      </c>
      <c r="N40" s="1">
        <v>4</v>
      </c>
      <c r="P40" s="1">
        <v>4</v>
      </c>
      <c r="R40" s="1">
        <v>4</v>
      </c>
      <c r="T40" s="1">
        <v>4</v>
      </c>
      <c r="V40" s="1">
        <v>4</v>
      </c>
      <c r="X40" s="1">
        <v>4</v>
      </c>
      <c r="Z40" s="1">
        <v>4</v>
      </c>
      <c r="AB40" s="1">
        <v>4</v>
      </c>
      <c r="AD40" s="1">
        <v>4</v>
      </c>
      <c r="AF40" s="1">
        <v>4</v>
      </c>
    </row>
    <row r="41" spans="1:35" ht="51">
      <c r="A41" s="301">
        <v>11</v>
      </c>
      <c r="B41" s="301">
        <v>1</v>
      </c>
      <c r="C41" s="301" t="s">
        <v>670</v>
      </c>
      <c r="D41" s="301" t="str">
        <f t="shared" ca="1" si="4"/>
        <v>New Business Workflow</v>
      </c>
      <c r="E41" s="301">
        <v>4</v>
      </c>
      <c r="F41" s="1">
        <v>4</v>
      </c>
      <c r="H41" s="1">
        <v>4</v>
      </c>
      <c r="J41" s="1">
        <v>4</v>
      </c>
      <c r="L41" s="1">
        <v>3</v>
      </c>
      <c r="M41" s="1" t="s">
        <v>671</v>
      </c>
      <c r="N41" s="1">
        <v>3</v>
      </c>
      <c r="P41" s="1">
        <v>2</v>
      </c>
      <c r="Q41" s="1" t="s">
        <v>672</v>
      </c>
      <c r="R41" s="1">
        <v>4</v>
      </c>
      <c r="T41" s="1">
        <v>3</v>
      </c>
      <c r="V41" s="1">
        <v>4</v>
      </c>
      <c r="X41" s="1">
        <v>3</v>
      </c>
      <c r="Y41" s="1" t="s">
        <v>673</v>
      </c>
      <c r="Z41" s="1">
        <v>3</v>
      </c>
      <c r="AB41" s="1">
        <v>4</v>
      </c>
      <c r="AD41" s="1">
        <v>3</v>
      </c>
      <c r="AF41" s="1">
        <v>4</v>
      </c>
      <c r="AI41" s="1" t="s">
        <v>674</v>
      </c>
    </row>
    <row r="42" spans="1:35" ht="25.5">
      <c r="A42" s="301">
        <v>12</v>
      </c>
      <c r="B42" s="301">
        <v>1</v>
      </c>
      <c r="C42" s="301" t="s">
        <v>668</v>
      </c>
      <c r="D42" s="301" t="str">
        <f t="shared" ca="1" si="4"/>
        <v>Product Admin</v>
      </c>
      <c r="E42" s="301">
        <v>7</v>
      </c>
      <c r="F42" s="1">
        <v>4</v>
      </c>
      <c r="H42" s="1">
        <v>4</v>
      </c>
      <c r="J42" s="1">
        <v>4</v>
      </c>
      <c r="L42" s="1">
        <v>4</v>
      </c>
      <c r="N42" s="1">
        <v>4</v>
      </c>
      <c r="P42" s="1">
        <v>4</v>
      </c>
      <c r="R42" s="1">
        <v>4</v>
      </c>
      <c r="T42" s="1">
        <v>4</v>
      </c>
      <c r="V42" s="1">
        <v>4</v>
      </c>
      <c r="X42" s="1">
        <v>4</v>
      </c>
      <c r="Z42" s="1">
        <v>4</v>
      </c>
      <c r="AB42" s="1">
        <v>4</v>
      </c>
      <c r="AD42" s="1">
        <v>4</v>
      </c>
      <c r="AF42" s="1">
        <v>4</v>
      </c>
      <c r="AH42" s="1" t="s">
        <v>675</v>
      </c>
    </row>
    <row r="43" spans="1:35" ht="25.5">
      <c r="A43" s="301">
        <v>13</v>
      </c>
      <c r="B43" s="301">
        <v>1</v>
      </c>
      <c r="C43" s="301" t="s">
        <v>668</v>
      </c>
      <c r="D43" s="301" t="str">
        <f t="shared" ca="1" si="4"/>
        <v>Service</v>
      </c>
      <c r="E43" s="301">
        <v>9</v>
      </c>
      <c r="F43" s="1">
        <v>5</v>
      </c>
      <c r="H43" s="1">
        <v>5</v>
      </c>
      <c r="J43" s="1">
        <v>5</v>
      </c>
      <c r="L43" s="1">
        <v>4</v>
      </c>
      <c r="N43" s="1">
        <v>4</v>
      </c>
      <c r="P43" s="1">
        <v>5</v>
      </c>
      <c r="R43" s="1">
        <v>5</v>
      </c>
      <c r="T43" s="1">
        <v>5</v>
      </c>
      <c r="V43" s="1">
        <v>5</v>
      </c>
      <c r="X43" s="1">
        <v>5</v>
      </c>
      <c r="Z43" s="1">
        <v>5</v>
      </c>
      <c r="AB43" s="1">
        <v>4</v>
      </c>
      <c r="AD43" s="1">
        <v>5</v>
      </c>
      <c r="AF43" s="1">
        <v>5</v>
      </c>
      <c r="AI43" s="1" t="s">
        <v>676</v>
      </c>
    </row>
    <row r="44" spans="1:35" ht="25.5">
      <c r="A44" s="301">
        <v>14</v>
      </c>
      <c r="B44" s="301">
        <v>1</v>
      </c>
      <c r="C44" s="301" t="s">
        <v>476</v>
      </c>
      <c r="D44" s="301" t="str">
        <f t="shared" ca="1" si="4"/>
        <v>eBusiness</v>
      </c>
      <c r="E44" s="301">
        <v>1</v>
      </c>
      <c r="F44" s="1">
        <v>5</v>
      </c>
      <c r="H44" s="1">
        <v>5</v>
      </c>
      <c r="J44" s="1">
        <v>5</v>
      </c>
      <c r="L44" s="1">
        <v>4</v>
      </c>
      <c r="N44" s="1">
        <v>4</v>
      </c>
      <c r="P44" s="1">
        <v>5</v>
      </c>
      <c r="R44" s="1">
        <v>5</v>
      </c>
      <c r="T44" s="1">
        <v>5</v>
      </c>
      <c r="V44" s="1">
        <v>5</v>
      </c>
      <c r="X44" s="1">
        <v>5</v>
      </c>
      <c r="Z44" s="1">
        <v>5</v>
      </c>
      <c r="AB44" s="1">
        <v>5</v>
      </c>
      <c r="AD44" s="1">
        <v>5</v>
      </c>
      <c r="AF44" s="1">
        <v>5</v>
      </c>
      <c r="AI44" s="1" t="s">
        <v>677</v>
      </c>
    </row>
  </sheetData>
  <mergeCells count="14">
    <mergeCell ref="AD28:AE28"/>
    <mergeCell ref="AF28:AG28"/>
    <mergeCell ref="R28:S28"/>
    <mergeCell ref="T28:U28"/>
    <mergeCell ref="V28:W28"/>
    <mergeCell ref="X28:Y28"/>
    <mergeCell ref="Z28:AA28"/>
    <mergeCell ref="AB28:AC28"/>
    <mergeCell ref="P28:Q28"/>
    <mergeCell ref="F28:G28"/>
    <mergeCell ref="H28:I28"/>
    <mergeCell ref="J28:K28"/>
    <mergeCell ref="L28:M28"/>
    <mergeCell ref="N28:O28"/>
  </mergeCells>
  <hyperlinks>
    <hyperlink ref="A1" location="'Table of Contents'!A1" display="Table of Contents"/>
  </hyperlinks>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drawing r:id="rId2"/>
  <tableParts count="1">
    <tablePart r:id="rId3"/>
  </tableParts>
</worksheet>
</file>

<file path=xl/worksheets/sheet19.xml><?xml version="1.0" encoding="utf-8"?>
<worksheet xmlns="http://schemas.openxmlformats.org/spreadsheetml/2006/main" xmlns:r="http://schemas.openxmlformats.org/officeDocument/2006/relationships">
  <sheetPr codeName="Sheet15"/>
  <dimension ref="A1:J53"/>
  <sheetViews>
    <sheetView workbookViewId="0">
      <pane xSplit="2" ySplit="10" topLeftCell="C20" activePane="bottomRight" state="frozen"/>
      <selection pane="topRight" activeCell="C1" sqref="C1"/>
      <selection pane="bottomLeft" activeCell="A11" sqref="A11"/>
      <selection pane="bottomRight"/>
    </sheetView>
  </sheetViews>
  <sheetFormatPr defaultRowHeight="12.75"/>
  <cols>
    <col min="1" max="1" width="15.7109375" style="221" customWidth="1"/>
    <col min="2" max="2" width="50.7109375" style="1" customWidth="1"/>
    <col min="3" max="10" width="5.7109375" style="221" customWidth="1"/>
  </cols>
  <sheetData>
    <row r="1" spans="1:10">
      <c r="A1" s="5" t="s">
        <v>29</v>
      </c>
    </row>
    <row r="4" spans="1:10">
      <c r="A4" s="221" t="s">
        <v>384</v>
      </c>
      <c r="B4" s="1" t="str">
        <f>ADDRESS(11,1,,TRUE) &amp; ":" &amp; ADDRESS(53,2,TRUE)</f>
        <v>$A$11:$B$53</v>
      </c>
    </row>
    <row r="5" spans="1:10">
      <c r="A5" s="221" t="s">
        <v>385</v>
      </c>
      <c r="B5" s="1" t="str">
        <f>ADDRESS(11,3,,TRUE) &amp; ":" &amp; ADDRESS(53,4,TRUE)</f>
        <v>$C$11:$D$53</v>
      </c>
    </row>
    <row r="6" spans="1:10">
      <c r="A6" s="221" t="s">
        <v>386</v>
      </c>
      <c r="B6" s="1" t="str">
        <f>ADDRESS(11,5,,TRUE) &amp; ":" &amp; ADDRESS(53,6,TRUE)</f>
        <v>$E$11:$F$53</v>
      </c>
    </row>
    <row r="7" spans="1:10">
      <c r="A7" s="221" t="s">
        <v>387</v>
      </c>
      <c r="B7" s="1" t="str">
        <f>ADDRESS(11,7,,TRUE) &amp; ":" &amp; ADDRESS(53,8,TRUE)</f>
        <v>$G$11:$H$53</v>
      </c>
    </row>
    <row r="8" spans="1:10">
      <c r="A8" s="221" t="s">
        <v>388</v>
      </c>
      <c r="B8" s="1" t="str">
        <f>ADDRESS(11,9,,TRUE) &amp; ":" &amp; ADDRESS(53,10,TRUE)</f>
        <v>$I$11:$J$53</v>
      </c>
    </row>
    <row r="10" spans="1:10" ht="45.75">
      <c r="A10" s="220" t="s">
        <v>389</v>
      </c>
      <c r="B10" s="220" t="s">
        <v>390</v>
      </c>
      <c r="C10" s="222" t="s">
        <v>389</v>
      </c>
      <c r="D10" s="222" t="s">
        <v>391</v>
      </c>
      <c r="E10" s="222" t="s">
        <v>389</v>
      </c>
      <c r="F10" s="222" t="s">
        <v>386</v>
      </c>
      <c r="G10" s="222" t="s">
        <v>389</v>
      </c>
      <c r="H10" s="222" t="s">
        <v>392</v>
      </c>
      <c r="I10" s="222" t="s">
        <v>389</v>
      </c>
      <c r="J10" s="222" t="s">
        <v>393</v>
      </c>
    </row>
    <row r="11" spans="1:10" ht="25.5">
      <c r="A11" s="221" t="s">
        <v>398</v>
      </c>
      <c r="B11" s="1" t="s">
        <v>486</v>
      </c>
      <c r="C11" s="221" t="str">
        <f t="shared" ref="C11:C53" si="0">A11</f>
        <v>Q1</v>
      </c>
      <c r="D11" s="221">
        <f t="shared" ref="D11:D53" si="1">IF(ISERR(FIND("b",A11)),5,110)</f>
        <v>5</v>
      </c>
      <c r="E11" s="221" t="str">
        <f t="shared" ref="E11:E53" si="2">A11</f>
        <v>Q1</v>
      </c>
      <c r="F11" s="221">
        <f t="shared" ref="F11:F53" si="3">IF(ISERR(FIND("b",A11)),1,0)</f>
        <v>1</v>
      </c>
      <c r="G11" s="221" t="str">
        <f t="shared" ref="G11:G53" si="4">A11</f>
        <v>Q1</v>
      </c>
      <c r="H11" s="221">
        <f t="shared" ref="H11:H53" si="5">IF(ISERR(FIND("b",A11)),1,0)</f>
        <v>1</v>
      </c>
      <c r="I11" s="221" t="str">
        <f t="shared" ref="I11:I53" si="6">A11</f>
        <v>Q1</v>
      </c>
      <c r="J11" s="221">
        <f t="shared" ref="J11:J53" si="7">IF(H11,0,1)</f>
        <v>0</v>
      </c>
    </row>
    <row r="12" spans="1:10" ht="25.5">
      <c r="A12" s="221" t="s">
        <v>419</v>
      </c>
      <c r="B12" s="1" t="s">
        <v>72</v>
      </c>
      <c r="C12" s="221" t="str">
        <f t="shared" si="0"/>
        <v>Q10</v>
      </c>
      <c r="D12" s="221">
        <f t="shared" si="1"/>
        <v>5</v>
      </c>
      <c r="E12" s="221" t="str">
        <f t="shared" si="2"/>
        <v>Q10</v>
      </c>
      <c r="F12" s="221">
        <f t="shared" si="3"/>
        <v>1</v>
      </c>
      <c r="G12" s="221" t="str">
        <f t="shared" si="4"/>
        <v>Q10</v>
      </c>
      <c r="H12" s="221">
        <f t="shared" si="5"/>
        <v>1</v>
      </c>
      <c r="I12" s="221" t="str">
        <f t="shared" si="6"/>
        <v>Q10</v>
      </c>
      <c r="J12" s="221">
        <f t="shared" si="7"/>
        <v>0</v>
      </c>
    </row>
    <row r="13" spans="1:10">
      <c r="A13" s="221" t="s">
        <v>461</v>
      </c>
      <c r="B13" s="1" t="s">
        <v>459</v>
      </c>
      <c r="C13" s="221" t="str">
        <f t="shared" si="0"/>
        <v>Q10b</v>
      </c>
      <c r="D13" s="221">
        <f t="shared" si="1"/>
        <v>110</v>
      </c>
      <c r="E13" s="221" t="str">
        <f t="shared" si="2"/>
        <v>Q10b</v>
      </c>
      <c r="F13" s="221">
        <f t="shared" si="3"/>
        <v>0</v>
      </c>
      <c r="G13" s="221" t="str">
        <f t="shared" si="4"/>
        <v>Q10b</v>
      </c>
      <c r="H13" s="221">
        <f t="shared" si="5"/>
        <v>0</v>
      </c>
      <c r="I13" s="221" t="str">
        <f t="shared" si="6"/>
        <v>Q10b</v>
      </c>
      <c r="J13" s="221">
        <f t="shared" si="7"/>
        <v>1</v>
      </c>
    </row>
    <row r="14" spans="1:10">
      <c r="A14" s="221" t="s">
        <v>462</v>
      </c>
      <c r="B14" s="1" t="s">
        <v>73</v>
      </c>
      <c r="C14" s="221" t="str">
        <f t="shared" si="0"/>
        <v>Q11</v>
      </c>
      <c r="D14" s="221">
        <f t="shared" si="1"/>
        <v>5</v>
      </c>
      <c r="E14" s="221" t="str">
        <f t="shared" si="2"/>
        <v>Q11</v>
      </c>
      <c r="F14" s="221">
        <f t="shared" si="3"/>
        <v>1</v>
      </c>
      <c r="G14" s="221" t="str">
        <f t="shared" si="4"/>
        <v>Q11</v>
      </c>
      <c r="H14" s="221">
        <f t="shared" si="5"/>
        <v>1</v>
      </c>
      <c r="I14" s="221" t="str">
        <f t="shared" si="6"/>
        <v>Q11</v>
      </c>
      <c r="J14" s="221">
        <f t="shared" si="7"/>
        <v>0</v>
      </c>
    </row>
    <row r="15" spans="1:10" ht="25.5">
      <c r="A15" s="221" t="s">
        <v>464</v>
      </c>
      <c r="B15" s="1" t="s">
        <v>495</v>
      </c>
      <c r="C15" s="221" t="str">
        <f t="shared" si="0"/>
        <v>Q11b</v>
      </c>
      <c r="D15" s="221">
        <f t="shared" si="1"/>
        <v>110</v>
      </c>
      <c r="E15" s="221" t="str">
        <f t="shared" si="2"/>
        <v>Q11b</v>
      </c>
      <c r="F15" s="221">
        <f t="shared" si="3"/>
        <v>0</v>
      </c>
      <c r="G15" s="221" t="str">
        <f t="shared" si="4"/>
        <v>Q11b</v>
      </c>
      <c r="H15" s="221">
        <f t="shared" si="5"/>
        <v>0</v>
      </c>
      <c r="I15" s="221" t="str">
        <f t="shared" si="6"/>
        <v>Q11b</v>
      </c>
      <c r="J15" s="221">
        <f t="shared" si="7"/>
        <v>1</v>
      </c>
    </row>
    <row r="16" spans="1:10" ht="25.5">
      <c r="A16" s="221" t="s">
        <v>465</v>
      </c>
      <c r="B16" s="1" t="s">
        <v>74</v>
      </c>
      <c r="C16" s="221" t="str">
        <f t="shared" si="0"/>
        <v>Q12</v>
      </c>
      <c r="D16" s="221">
        <f t="shared" si="1"/>
        <v>5</v>
      </c>
      <c r="E16" s="221" t="str">
        <f t="shared" si="2"/>
        <v>Q12</v>
      </c>
      <c r="F16" s="221">
        <f t="shared" si="3"/>
        <v>1</v>
      </c>
      <c r="G16" s="221" t="str">
        <f t="shared" si="4"/>
        <v>Q12</v>
      </c>
      <c r="H16" s="221">
        <f t="shared" si="5"/>
        <v>1</v>
      </c>
      <c r="I16" s="221" t="str">
        <f t="shared" si="6"/>
        <v>Q12</v>
      </c>
      <c r="J16" s="221">
        <f t="shared" si="7"/>
        <v>0</v>
      </c>
    </row>
    <row r="17" spans="1:10">
      <c r="A17" s="221" t="s">
        <v>467</v>
      </c>
      <c r="B17" s="1" t="s">
        <v>459</v>
      </c>
      <c r="C17" s="221" t="str">
        <f t="shared" si="0"/>
        <v>Q12b</v>
      </c>
      <c r="D17" s="221">
        <f t="shared" si="1"/>
        <v>110</v>
      </c>
      <c r="E17" s="221" t="str">
        <f t="shared" si="2"/>
        <v>Q12b</v>
      </c>
      <c r="F17" s="221">
        <f t="shared" si="3"/>
        <v>0</v>
      </c>
      <c r="G17" s="221" t="str">
        <f t="shared" si="4"/>
        <v>Q12b</v>
      </c>
      <c r="H17" s="221">
        <f t="shared" si="5"/>
        <v>0</v>
      </c>
      <c r="I17" s="221" t="str">
        <f t="shared" si="6"/>
        <v>Q12b</v>
      </c>
      <c r="J17" s="221">
        <f t="shared" si="7"/>
        <v>1</v>
      </c>
    </row>
    <row r="18" spans="1:10" ht="25.5">
      <c r="A18" s="221" t="s">
        <v>468</v>
      </c>
      <c r="B18" s="1" t="s">
        <v>75</v>
      </c>
      <c r="C18" s="221" t="str">
        <f t="shared" si="0"/>
        <v>Q13</v>
      </c>
      <c r="D18" s="221">
        <f t="shared" si="1"/>
        <v>5</v>
      </c>
      <c r="E18" s="221" t="str">
        <f t="shared" si="2"/>
        <v>Q13</v>
      </c>
      <c r="F18" s="221">
        <f t="shared" si="3"/>
        <v>1</v>
      </c>
      <c r="G18" s="221" t="str">
        <f t="shared" si="4"/>
        <v>Q13</v>
      </c>
      <c r="H18" s="221">
        <f t="shared" si="5"/>
        <v>1</v>
      </c>
      <c r="I18" s="221" t="str">
        <f t="shared" si="6"/>
        <v>Q13</v>
      </c>
      <c r="J18" s="221">
        <f t="shared" si="7"/>
        <v>0</v>
      </c>
    </row>
    <row r="19" spans="1:10">
      <c r="A19" s="221" t="s">
        <v>469</v>
      </c>
      <c r="B19" s="1" t="s">
        <v>459</v>
      </c>
      <c r="C19" s="221" t="str">
        <f t="shared" si="0"/>
        <v>Q13b</v>
      </c>
      <c r="D19" s="221">
        <f t="shared" si="1"/>
        <v>110</v>
      </c>
      <c r="E19" s="221" t="str">
        <f t="shared" si="2"/>
        <v>Q13b</v>
      </c>
      <c r="F19" s="221">
        <f t="shared" si="3"/>
        <v>0</v>
      </c>
      <c r="G19" s="221" t="str">
        <f t="shared" si="4"/>
        <v>Q13b</v>
      </c>
      <c r="H19" s="221">
        <f t="shared" si="5"/>
        <v>0</v>
      </c>
      <c r="I19" s="221" t="str">
        <f t="shared" si="6"/>
        <v>Q13b</v>
      </c>
      <c r="J19" s="221">
        <f t="shared" si="7"/>
        <v>1</v>
      </c>
    </row>
    <row r="20" spans="1:10" ht="25.5">
      <c r="A20" s="221" t="s">
        <v>470</v>
      </c>
      <c r="B20" s="1" t="s">
        <v>496</v>
      </c>
      <c r="C20" s="221" t="str">
        <f t="shared" si="0"/>
        <v>Q14</v>
      </c>
      <c r="D20" s="221">
        <f t="shared" si="1"/>
        <v>5</v>
      </c>
      <c r="E20" s="221" t="str">
        <f t="shared" si="2"/>
        <v>Q14</v>
      </c>
      <c r="F20" s="221">
        <f t="shared" si="3"/>
        <v>1</v>
      </c>
      <c r="G20" s="221" t="str">
        <f t="shared" si="4"/>
        <v>Q14</v>
      </c>
      <c r="H20" s="221">
        <f t="shared" si="5"/>
        <v>1</v>
      </c>
      <c r="I20" s="221" t="str">
        <f t="shared" si="6"/>
        <v>Q14</v>
      </c>
      <c r="J20" s="221">
        <f t="shared" si="7"/>
        <v>0</v>
      </c>
    </row>
    <row r="21" spans="1:10">
      <c r="A21" s="221" t="s">
        <v>471</v>
      </c>
      <c r="B21" s="1" t="s">
        <v>497</v>
      </c>
      <c r="C21" s="221" t="str">
        <f t="shared" si="0"/>
        <v>Q14b</v>
      </c>
      <c r="D21" s="221">
        <f t="shared" si="1"/>
        <v>110</v>
      </c>
      <c r="E21" s="221" t="str">
        <f t="shared" si="2"/>
        <v>Q14b</v>
      </c>
      <c r="F21" s="221">
        <f t="shared" si="3"/>
        <v>0</v>
      </c>
      <c r="G21" s="221" t="str">
        <f t="shared" si="4"/>
        <v>Q14b</v>
      </c>
      <c r="H21" s="221">
        <f t="shared" si="5"/>
        <v>0</v>
      </c>
      <c r="I21" s="221" t="str">
        <f t="shared" si="6"/>
        <v>Q14b</v>
      </c>
      <c r="J21" s="221">
        <f t="shared" si="7"/>
        <v>1</v>
      </c>
    </row>
    <row r="22" spans="1:10">
      <c r="A22" s="221" t="s">
        <v>472</v>
      </c>
      <c r="B22" s="1" t="s">
        <v>498</v>
      </c>
      <c r="C22" s="221" t="str">
        <f t="shared" si="0"/>
        <v>Q15</v>
      </c>
      <c r="D22" s="221">
        <f t="shared" si="1"/>
        <v>5</v>
      </c>
      <c r="E22" s="221" t="str">
        <f t="shared" si="2"/>
        <v>Q15</v>
      </c>
      <c r="F22" s="221">
        <f t="shared" si="3"/>
        <v>1</v>
      </c>
      <c r="G22" s="221" t="str">
        <f t="shared" si="4"/>
        <v>Q15</v>
      </c>
      <c r="H22" s="221">
        <f t="shared" si="5"/>
        <v>1</v>
      </c>
      <c r="I22" s="221" t="str">
        <f t="shared" si="6"/>
        <v>Q15</v>
      </c>
      <c r="J22" s="221">
        <f t="shared" si="7"/>
        <v>0</v>
      </c>
    </row>
    <row r="23" spans="1:10">
      <c r="A23" s="221" t="s">
        <v>499</v>
      </c>
      <c r="B23" s="1" t="s">
        <v>405</v>
      </c>
      <c r="C23" s="221" t="str">
        <f t="shared" si="0"/>
        <v>Q15b</v>
      </c>
      <c r="D23" s="221">
        <f t="shared" si="1"/>
        <v>110</v>
      </c>
      <c r="E23" s="221" t="str">
        <f t="shared" si="2"/>
        <v>Q15b</v>
      </c>
      <c r="F23" s="221">
        <f t="shared" si="3"/>
        <v>0</v>
      </c>
      <c r="G23" s="221" t="str">
        <f t="shared" si="4"/>
        <v>Q15b</v>
      </c>
      <c r="H23" s="221">
        <f t="shared" si="5"/>
        <v>0</v>
      </c>
      <c r="I23" s="221" t="str">
        <f t="shared" si="6"/>
        <v>Q15b</v>
      </c>
      <c r="J23" s="221">
        <f t="shared" si="7"/>
        <v>1</v>
      </c>
    </row>
    <row r="24" spans="1:10" ht="25.5">
      <c r="A24" s="221" t="s">
        <v>474</v>
      </c>
      <c r="B24" s="1" t="s">
        <v>80</v>
      </c>
      <c r="C24" s="221" t="str">
        <f t="shared" si="0"/>
        <v>Q16</v>
      </c>
      <c r="D24" s="221">
        <f t="shared" si="1"/>
        <v>5</v>
      </c>
      <c r="E24" s="221" t="str">
        <f t="shared" si="2"/>
        <v>Q16</v>
      </c>
      <c r="F24" s="221">
        <f t="shared" si="3"/>
        <v>1</v>
      </c>
      <c r="G24" s="221" t="str">
        <f t="shared" si="4"/>
        <v>Q16</v>
      </c>
      <c r="H24" s="221">
        <f t="shared" si="5"/>
        <v>1</v>
      </c>
      <c r="I24" s="221" t="str">
        <f t="shared" si="6"/>
        <v>Q16</v>
      </c>
      <c r="J24" s="221">
        <f t="shared" si="7"/>
        <v>0</v>
      </c>
    </row>
    <row r="25" spans="1:10">
      <c r="A25" s="221" t="s">
        <v>500</v>
      </c>
      <c r="B25" s="1" t="s">
        <v>405</v>
      </c>
      <c r="C25" s="221" t="str">
        <f t="shared" si="0"/>
        <v>Q16b</v>
      </c>
      <c r="D25" s="221">
        <f t="shared" si="1"/>
        <v>110</v>
      </c>
      <c r="E25" s="221" t="str">
        <f t="shared" si="2"/>
        <v>Q16b</v>
      </c>
      <c r="F25" s="221">
        <f t="shared" si="3"/>
        <v>0</v>
      </c>
      <c r="G25" s="221" t="str">
        <f t="shared" si="4"/>
        <v>Q16b</v>
      </c>
      <c r="H25" s="221">
        <f t="shared" si="5"/>
        <v>0</v>
      </c>
      <c r="I25" s="221" t="str">
        <f t="shared" si="6"/>
        <v>Q16b</v>
      </c>
      <c r="J25" s="221">
        <f t="shared" si="7"/>
        <v>1</v>
      </c>
    </row>
    <row r="26" spans="1:10" ht="25.5">
      <c r="A26" s="221" t="s">
        <v>501</v>
      </c>
      <c r="B26" s="1" t="s">
        <v>521</v>
      </c>
      <c r="C26" s="221" t="str">
        <f t="shared" si="0"/>
        <v>Q17</v>
      </c>
      <c r="D26" s="221">
        <f t="shared" si="1"/>
        <v>5</v>
      </c>
      <c r="E26" s="221" t="str">
        <f t="shared" si="2"/>
        <v>Q17</v>
      </c>
      <c r="F26" s="221">
        <f t="shared" si="3"/>
        <v>1</v>
      </c>
      <c r="G26" s="221" t="str">
        <f t="shared" si="4"/>
        <v>Q17</v>
      </c>
      <c r="H26" s="221">
        <f t="shared" si="5"/>
        <v>1</v>
      </c>
      <c r="I26" s="221" t="str">
        <f t="shared" si="6"/>
        <v>Q17</v>
      </c>
      <c r="J26" s="221">
        <f t="shared" si="7"/>
        <v>0</v>
      </c>
    </row>
    <row r="27" spans="1:10" ht="25.5">
      <c r="A27" s="221" t="s">
        <v>502</v>
      </c>
      <c r="B27" s="1" t="s">
        <v>503</v>
      </c>
      <c r="C27" s="221" t="str">
        <f t="shared" si="0"/>
        <v>Q17b</v>
      </c>
      <c r="D27" s="221">
        <f t="shared" si="1"/>
        <v>110</v>
      </c>
      <c r="E27" s="221" t="str">
        <f t="shared" si="2"/>
        <v>Q17b</v>
      </c>
      <c r="F27" s="221">
        <f t="shared" si="3"/>
        <v>0</v>
      </c>
      <c r="G27" s="221" t="str">
        <f t="shared" si="4"/>
        <v>Q17b</v>
      </c>
      <c r="H27" s="221">
        <f t="shared" si="5"/>
        <v>0</v>
      </c>
      <c r="I27" s="221" t="str">
        <f t="shared" si="6"/>
        <v>Q17b</v>
      </c>
      <c r="J27" s="221">
        <f t="shared" si="7"/>
        <v>1</v>
      </c>
    </row>
    <row r="28" spans="1:10" ht="25.5">
      <c r="A28" s="221" t="s">
        <v>504</v>
      </c>
      <c r="B28" s="1" t="s">
        <v>505</v>
      </c>
      <c r="C28" s="221" t="str">
        <f t="shared" si="0"/>
        <v>Q18</v>
      </c>
      <c r="D28" s="221">
        <f t="shared" si="1"/>
        <v>5</v>
      </c>
      <c r="E28" s="221" t="str">
        <f t="shared" si="2"/>
        <v>Q18</v>
      </c>
      <c r="F28" s="221">
        <f t="shared" si="3"/>
        <v>1</v>
      </c>
      <c r="G28" s="221" t="str">
        <f t="shared" si="4"/>
        <v>Q18</v>
      </c>
      <c r="H28" s="221">
        <f t="shared" si="5"/>
        <v>1</v>
      </c>
      <c r="I28" s="221" t="str">
        <f t="shared" si="6"/>
        <v>Q18</v>
      </c>
      <c r="J28" s="221">
        <f t="shared" si="7"/>
        <v>0</v>
      </c>
    </row>
    <row r="29" spans="1:10">
      <c r="A29" s="221" t="s">
        <v>506</v>
      </c>
      <c r="B29" s="1" t="s">
        <v>507</v>
      </c>
      <c r="C29" s="221" t="str">
        <f t="shared" si="0"/>
        <v>Q18b</v>
      </c>
      <c r="D29" s="221">
        <f t="shared" si="1"/>
        <v>110</v>
      </c>
      <c r="E29" s="221" t="str">
        <f t="shared" si="2"/>
        <v>Q18b</v>
      </c>
      <c r="F29" s="221">
        <f t="shared" si="3"/>
        <v>0</v>
      </c>
      <c r="G29" s="221" t="str">
        <f t="shared" si="4"/>
        <v>Q18b</v>
      </c>
      <c r="H29" s="221">
        <f t="shared" si="5"/>
        <v>0</v>
      </c>
      <c r="I29" s="221" t="str">
        <f t="shared" si="6"/>
        <v>Q18b</v>
      </c>
      <c r="J29" s="221">
        <f t="shared" si="7"/>
        <v>1</v>
      </c>
    </row>
    <row r="30" spans="1:10">
      <c r="A30" s="221" t="s">
        <v>508</v>
      </c>
      <c r="B30" s="1" t="s">
        <v>509</v>
      </c>
      <c r="C30" s="221" t="str">
        <f t="shared" si="0"/>
        <v>Q19</v>
      </c>
      <c r="D30" s="221">
        <f t="shared" si="1"/>
        <v>5</v>
      </c>
      <c r="E30" s="221" t="str">
        <f t="shared" si="2"/>
        <v>Q19</v>
      </c>
      <c r="F30" s="221">
        <f t="shared" si="3"/>
        <v>1</v>
      </c>
      <c r="G30" s="221" t="str">
        <f t="shared" si="4"/>
        <v>Q19</v>
      </c>
      <c r="H30" s="221">
        <f t="shared" si="5"/>
        <v>1</v>
      </c>
      <c r="I30" s="221" t="str">
        <f t="shared" si="6"/>
        <v>Q19</v>
      </c>
      <c r="J30" s="221">
        <f t="shared" si="7"/>
        <v>0</v>
      </c>
    </row>
    <row r="31" spans="1:10">
      <c r="A31" s="221" t="s">
        <v>510</v>
      </c>
      <c r="B31" s="1" t="s">
        <v>459</v>
      </c>
      <c r="C31" s="221" t="str">
        <f t="shared" si="0"/>
        <v>Q19b</v>
      </c>
      <c r="D31" s="221">
        <f t="shared" si="1"/>
        <v>110</v>
      </c>
      <c r="E31" s="221" t="str">
        <f t="shared" si="2"/>
        <v>Q19b</v>
      </c>
      <c r="F31" s="221">
        <f t="shared" si="3"/>
        <v>0</v>
      </c>
      <c r="G31" s="221" t="str">
        <f t="shared" si="4"/>
        <v>Q19b</v>
      </c>
      <c r="H31" s="221">
        <f t="shared" si="5"/>
        <v>0</v>
      </c>
      <c r="I31" s="221" t="str">
        <f t="shared" si="6"/>
        <v>Q19b</v>
      </c>
      <c r="J31" s="221">
        <f t="shared" si="7"/>
        <v>1</v>
      </c>
    </row>
    <row r="32" spans="1:10" ht="25.5">
      <c r="A32" s="221" t="s">
        <v>399</v>
      </c>
      <c r="B32" s="1" t="s">
        <v>487</v>
      </c>
      <c r="C32" s="221" t="str">
        <f t="shared" si="0"/>
        <v>Q1b</v>
      </c>
      <c r="D32" s="221">
        <f t="shared" si="1"/>
        <v>110</v>
      </c>
      <c r="E32" s="221" t="str">
        <f t="shared" si="2"/>
        <v>Q1b</v>
      </c>
      <c r="F32" s="221">
        <f t="shared" si="3"/>
        <v>0</v>
      </c>
      <c r="G32" s="221" t="str">
        <f t="shared" si="4"/>
        <v>Q1b</v>
      </c>
      <c r="H32" s="221">
        <f t="shared" si="5"/>
        <v>0</v>
      </c>
      <c r="I32" s="221" t="str">
        <f t="shared" si="6"/>
        <v>Q1b</v>
      </c>
      <c r="J32" s="221">
        <f t="shared" si="7"/>
        <v>1</v>
      </c>
    </row>
    <row r="33" spans="1:10" ht="25.5">
      <c r="A33" s="221" t="s">
        <v>401</v>
      </c>
      <c r="B33" s="1" t="s">
        <v>519</v>
      </c>
      <c r="C33" s="221" t="str">
        <f t="shared" si="0"/>
        <v>Q2</v>
      </c>
      <c r="D33" s="221">
        <f t="shared" si="1"/>
        <v>5</v>
      </c>
      <c r="E33" s="221" t="str">
        <f t="shared" si="2"/>
        <v>Q2</v>
      </c>
      <c r="F33" s="221">
        <f t="shared" si="3"/>
        <v>1</v>
      </c>
      <c r="G33" s="221" t="str">
        <f t="shared" si="4"/>
        <v>Q2</v>
      </c>
      <c r="H33" s="221">
        <f t="shared" si="5"/>
        <v>1</v>
      </c>
      <c r="I33" s="221" t="str">
        <f t="shared" si="6"/>
        <v>Q2</v>
      </c>
      <c r="J33" s="221">
        <f t="shared" si="7"/>
        <v>0</v>
      </c>
    </row>
    <row r="34" spans="1:10" ht="38.25">
      <c r="A34" s="221" t="s">
        <v>511</v>
      </c>
      <c r="B34" s="1" t="s">
        <v>76</v>
      </c>
      <c r="C34" s="221" t="str">
        <f t="shared" si="0"/>
        <v>Q20</v>
      </c>
      <c r="D34" s="221">
        <f t="shared" si="1"/>
        <v>5</v>
      </c>
      <c r="E34" s="221" t="str">
        <f t="shared" si="2"/>
        <v>Q20</v>
      </c>
      <c r="F34" s="221">
        <f t="shared" si="3"/>
        <v>1</v>
      </c>
      <c r="G34" s="221" t="str">
        <f t="shared" si="4"/>
        <v>Q20</v>
      </c>
      <c r="H34" s="221">
        <f t="shared" si="5"/>
        <v>1</v>
      </c>
      <c r="I34" s="221" t="str">
        <f t="shared" si="6"/>
        <v>Q20</v>
      </c>
      <c r="J34" s="221">
        <f t="shared" si="7"/>
        <v>0</v>
      </c>
    </row>
    <row r="35" spans="1:10">
      <c r="A35" s="221" t="s">
        <v>512</v>
      </c>
      <c r="B35" s="1" t="s">
        <v>459</v>
      </c>
      <c r="C35" s="221" t="str">
        <f t="shared" si="0"/>
        <v>Q20b</v>
      </c>
      <c r="D35" s="221">
        <f t="shared" si="1"/>
        <v>110</v>
      </c>
      <c r="E35" s="221" t="str">
        <f t="shared" si="2"/>
        <v>Q20b</v>
      </c>
      <c r="F35" s="221">
        <f t="shared" si="3"/>
        <v>0</v>
      </c>
      <c r="G35" s="221" t="str">
        <f t="shared" si="4"/>
        <v>Q20b</v>
      </c>
      <c r="H35" s="221">
        <f t="shared" si="5"/>
        <v>0</v>
      </c>
      <c r="I35" s="221" t="str">
        <f t="shared" si="6"/>
        <v>Q20b</v>
      </c>
      <c r="J35" s="221">
        <f t="shared" si="7"/>
        <v>1</v>
      </c>
    </row>
    <row r="36" spans="1:10">
      <c r="A36" s="221" t="s">
        <v>513</v>
      </c>
      <c r="B36" s="1" t="s">
        <v>77</v>
      </c>
      <c r="C36" s="221" t="str">
        <f t="shared" si="0"/>
        <v>Q21</v>
      </c>
      <c r="D36" s="221">
        <v>110</v>
      </c>
      <c r="E36" s="221" t="str">
        <f t="shared" si="2"/>
        <v>Q21</v>
      </c>
      <c r="F36" s="221">
        <v>0</v>
      </c>
      <c r="G36" s="221" t="str">
        <f t="shared" si="4"/>
        <v>Q21</v>
      </c>
      <c r="H36" s="221">
        <f t="shared" si="5"/>
        <v>1</v>
      </c>
      <c r="I36" s="221" t="str">
        <f t="shared" si="6"/>
        <v>Q21</v>
      </c>
      <c r="J36" s="221">
        <f t="shared" si="7"/>
        <v>0</v>
      </c>
    </row>
    <row r="37" spans="1:10">
      <c r="A37" s="221" t="s">
        <v>402</v>
      </c>
      <c r="B37" s="1" t="s">
        <v>459</v>
      </c>
      <c r="C37" s="221" t="str">
        <f t="shared" si="0"/>
        <v>Q2b</v>
      </c>
      <c r="D37" s="221">
        <f t="shared" si="1"/>
        <v>110</v>
      </c>
      <c r="E37" s="221" t="str">
        <f t="shared" si="2"/>
        <v>Q2b</v>
      </c>
      <c r="F37" s="221">
        <f t="shared" si="3"/>
        <v>0</v>
      </c>
      <c r="G37" s="221" t="str">
        <f t="shared" si="4"/>
        <v>Q2b</v>
      </c>
      <c r="H37" s="221">
        <f t="shared" si="5"/>
        <v>0</v>
      </c>
      <c r="I37" s="221" t="str">
        <f t="shared" si="6"/>
        <v>Q2b</v>
      </c>
      <c r="J37" s="221">
        <f t="shared" si="7"/>
        <v>1</v>
      </c>
    </row>
    <row r="38" spans="1:10">
      <c r="A38" s="221" t="s">
        <v>403</v>
      </c>
      <c r="B38" s="1" t="s">
        <v>488</v>
      </c>
      <c r="C38" s="221" t="str">
        <f t="shared" si="0"/>
        <v>Q3</v>
      </c>
      <c r="D38" s="221">
        <f t="shared" si="1"/>
        <v>5</v>
      </c>
      <c r="E38" s="221" t="str">
        <f t="shared" si="2"/>
        <v>Q3</v>
      </c>
      <c r="F38" s="221">
        <f t="shared" si="3"/>
        <v>1</v>
      </c>
      <c r="G38" s="221" t="str">
        <f t="shared" si="4"/>
        <v>Q3</v>
      </c>
      <c r="H38" s="221">
        <f t="shared" si="5"/>
        <v>1</v>
      </c>
      <c r="I38" s="221" t="str">
        <f t="shared" si="6"/>
        <v>Q3</v>
      </c>
      <c r="J38" s="221">
        <f t="shared" si="7"/>
        <v>0</v>
      </c>
    </row>
    <row r="39" spans="1:10" ht="25.5">
      <c r="A39" s="221" t="s">
        <v>404</v>
      </c>
      <c r="B39" s="1" t="s">
        <v>489</v>
      </c>
      <c r="C39" s="221" t="str">
        <f t="shared" si="0"/>
        <v>Q3b</v>
      </c>
      <c r="D39" s="221">
        <f t="shared" si="1"/>
        <v>110</v>
      </c>
      <c r="E39" s="221" t="str">
        <f t="shared" si="2"/>
        <v>Q3b</v>
      </c>
      <c r="F39" s="221">
        <f t="shared" si="3"/>
        <v>0</v>
      </c>
      <c r="G39" s="221" t="str">
        <f t="shared" si="4"/>
        <v>Q3b</v>
      </c>
      <c r="H39" s="221">
        <f t="shared" si="5"/>
        <v>0</v>
      </c>
      <c r="I39" s="221" t="str">
        <f t="shared" si="6"/>
        <v>Q3b</v>
      </c>
      <c r="J39" s="221">
        <f t="shared" si="7"/>
        <v>1</v>
      </c>
    </row>
    <row r="40" spans="1:10">
      <c r="A40" s="221" t="s">
        <v>406</v>
      </c>
      <c r="B40" s="1" t="s">
        <v>490</v>
      </c>
      <c r="C40" s="221" t="str">
        <f t="shared" si="0"/>
        <v>Q4</v>
      </c>
      <c r="D40" s="221">
        <f t="shared" si="1"/>
        <v>5</v>
      </c>
      <c r="E40" s="221" t="str">
        <f t="shared" si="2"/>
        <v>Q4</v>
      </c>
      <c r="F40" s="221">
        <f t="shared" si="3"/>
        <v>1</v>
      </c>
      <c r="G40" s="221" t="str">
        <f t="shared" si="4"/>
        <v>Q4</v>
      </c>
      <c r="H40" s="221">
        <f t="shared" si="5"/>
        <v>1</v>
      </c>
      <c r="I40" s="221" t="str">
        <f t="shared" si="6"/>
        <v>Q4</v>
      </c>
      <c r="J40" s="221">
        <f t="shared" si="7"/>
        <v>0</v>
      </c>
    </row>
    <row r="41" spans="1:10" ht="25.5">
      <c r="A41" s="221" t="s">
        <v>407</v>
      </c>
      <c r="B41" s="1" t="s">
        <v>491</v>
      </c>
      <c r="C41" s="221" t="str">
        <f t="shared" si="0"/>
        <v>Q4b</v>
      </c>
      <c r="D41" s="221">
        <f t="shared" si="1"/>
        <v>110</v>
      </c>
      <c r="E41" s="221" t="str">
        <f t="shared" si="2"/>
        <v>Q4b</v>
      </c>
      <c r="F41" s="221">
        <f t="shared" si="3"/>
        <v>0</v>
      </c>
      <c r="G41" s="221" t="str">
        <f t="shared" si="4"/>
        <v>Q4b</v>
      </c>
      <c r="H41" s="221">
        <f t="shared" si="5"/>
        <v>0</v>
      </c>
      <c r="I41" s="221" t="str">
        <f t="shared" si="6"/>
        <v>Q4b</v>
      </c>
      <c r="J41" s="221">
        <f t="shared" si="7"/>
        <v>1</v>
      </c>
    </row>
    <row r="42" spans="1:10" ht="25.5">
      <c r="A42" s="221" t="s">
        <v>408</v>
      </c>
      <c r="B42" s="1" t="s">
        <v>492</v>
      </c>
      <c r="C42" s="221" t="str">
        <f t="shared" si="0"/>
        <v>Q5</v>
      </c>
      <c r="D42" s="221">
        <f t="shared" si="1"/>
        <v>5</v>
      </c>
      <c r="E42" s="221" t="str">
        <f t="shared" si="2"/>
        <v>Q5</v>
      </c>
      <c r="F42" s="221">
        <f t="shared" si="3"/>
        <v>1</v>
      </c>
      <c r="G42" s="221" t="str">
        <f t="shared" si="4"/>
        <v>Q5</v>
      </c>
      <c r="H42" s="221">
        <f t="shared" si="5"/>
        <v>1</v>
      </c>
      <c r="I42" s="221" t="str">
        <f t="shared" si="6"/>
        <v>Q5</v>
      </c>
      <c r="J42" s="221">
        <f t="shared" si="7"/>
        <v>0</v>
      </c>
    </row>
    <row r="43" spans="1:10">
      <c r="A43" s="221" t="s">
        <v>409</v>
      </c>
      <c r="B43" s="1" t="s">
        <v>493</v>
      </c>
      <c r="C43" s="221" t="str">
        <f t="shared" si="0"/>
        <v>Q5b</v>
      </c>
      <c r="D43" s="221">
        <f t="shared" si="1"/>
        <v>110</v>
      </c>
      <c r="E43" s="221" t="str">
        <f t="shared" si="2"/>
        <v>Q5b</v>
      </c>
      <c r="F43" s="221">
        <f t="shared" si="3"/>
        <v>0</v>
      </c>
      <c r="G43" s="221" t="str">
        <f t="shared" si="4"/>
        <v>Q5b</v>
      </c>
      <c r="H43" s="221">
        <f t="shared" si="5"/>
        <v>0</v>
      </c>
      <c r="I43" s="221" t="str">
        <f t="shared" si="6"/>
        <v>Q5b</v>
      </c>
      <c r="J43" s="221">
        <f t="shared" si="7"/>
        <v>1</v>
      </c>
    </row>
    <row r="44" spans="1:10">
      <c r="A44" s="221" t="s">
        <v>410</v>
      </c>
      <c r="B44" s="1" t="s">
        <v>69</v>
      </c>
      <c r="C44" s="221" t="str">
        <f t="shared" si="0"/>
        <v>Q6</v>
      </c>
      <c r="D44" s="221">
        <f t="shared" si="1"/>
        <v>5</v>
      </c>
      <c r="E44" s="221" t="str">
        <f t="shared" si="2"/>
        <v>Q6</v>
      </c>
      <c r="F44" s="221">
        <f t="shared" si="3"/>
        <v>1</v>
      </c>
      <c r="G44" s="221" t="str">
        <f t="shared" si="4"/>
        <v>Q6</v>
      </c>
      <c r="H44" s="221">
        <f t="shared" si="5"/>
        <v>1</v>
      </c>
      <c r="I44" s="221" t="str">
        <f t="shared" si="6"/>
        <v>Q6</v>
      </c>
      <c r="J44" s="221">
        <f t="shared" si="7"/>
        <v>0</v>
      </c>
    </row>
    <row r="45" spans="1:10">
      <c r="A45" s="221" t="s">
        <v>411</v>
      </c>
      <c r="B45" s="1" t="s">
        <v>405</v>
      </c>
      <c r="C45" s="221" t="str">
        <f t="shared" si="0"/>
        <v>Q6b</v>
      </c>
      <c r="D45" s="221">
        <f t="shared" si="1"/>
        <v>110</v>
      </c>
      <c r="E45" s="221" t="str">
        <f t="shared" si="2"/>
        <v>Q6b</v>
      </c>
      <c r="F45" s="221">
        <f t="shared" si="3"/>
        <v>0</v>
      </c>
      <c r="G45" s="221" t="str">
        <f t="shared" si="4"/>
        <v>Q6b</v>
      </c>
      <c r="H45" s="221">
        <f t="shared" si="5"/>
        <v>0</v>
      </c>
      <c r="I45" s="221" t="str">
        <f t="shared" si="6"/>
        <v>Q6b</v>
      </c>
      <c r="J45" s="221">
        <f t="shared" si="7"/>
        <v>1</v>
      </c>
    </row>
    <row r="46" spans="1:10" ht="25.5">
      <c r="A46" s="221" t="s">
        <v>412</v>
      </c>
      <c r="B46" s="1" t="s">
        <v>494</v>
      </c>
      <c r="C46" s="221" t="str">
        <f t="shared" si="0"/>
        <v>Q7</v>
      </c>
      <c r="D46" s="221">
        <f t="shared" si="1"/>
        <v>5</v>
      </c>
      <c r="E46" s="221" t="str">
        <f t="shared" si="2"/>
        <v>Q7</v>
      </c>
      <c r="F46" s="221">
        <f t="shared" si="3"/>
        <v>1</v>
      </c>
      <c r="G46" s="221" t="str">
        <f t="shared" si="4"/>
        <v>Q7</v>
      </c>
      <c r="H46" s="221">
        <f t="shared" si="5"/>
        <v>1</v>
      </c>
      <c r="I46" s="221" t="str">
        <f t="shared" si="6"/>
        <v>Q7</v>
      </c>
      <c r="J46" s="221">
        <f t="shared" si="7"/>
        <v>0</v>
      </c>
    </row>
    <row r="47" spans="1:10">
      <c r="A47" s="221" t="s">
        <v>413</v>
      </c>
      <c r="B47" s="1" t="s">
        <v>459</v>
      </c>
      <c r="C47" s="221" t="str">
        <f t="shared" si="0"/>
        <v>Q7b</v>
      </c>
      <c r="D47" s="221">
        <f t="shared" si="1"/>
        <v>110</v>
      </c>
      <c r="E47" s="221" t="str">
        <f t="shared" si="2"/>
        <v>Q7b</v>
      </c>
      <c r="F47" s="221">
        <f t="shared" si="3"/>
        <v>0</v>
      </c>
      <c r="G47" s="221" t="str">
        <f t="shared" si="4"/>
        <v>Q7b</v>
      </c>
      <c r="H47" s="221">
        <f t="shared" si="5"/>
        <v>0</v>
      </c>
      <c r="I47" s="221" t="str">
        <f t="shared" si="6"/>
        <v>Q7b</v>
      </c>
      <c r="J47" s="221">
        <f t="shared" si="7"/>
        <v>1</v>
      </c>
    </row>
    <row r="48" spans="1:10" ht="25.5">
      <c r="A48" s="221" t="s">
        <v>415</v>
      </c>
      <c r="B48" s="1" t="s">
        <v>70</v>
      </c>
      <c r="C48" s="221" t="str">
        <f t="shared" si="0"/>
        <v>Q8</v>
      </c>
      <c r="D48" s="221">
        <f t="shared" si="1"/>
        <v>5</v>
      </c>
      <c r="E48" s="221" t="str">
        <f t="shared" si="2"/>
        <v>Q8</v>
      </c>
      <c r="F48" s="221">
        <f t="shared" si="3"/>
        <v>1</v>
      </c>
      <c r="G48" s="221" t="str">
        <f t="shared" si="4"/>
        <v>Q8</v>
      </c>
      <c r="H48" s="221">
        <f t="shared" si="5"/>
        <v>1</v>
      </c>
      <c r="I48" s="221" t="str">
        <f t="shared" si="6"/>
        <v>Q8</v>
      </c>
      <c r="J48" s="221">
        <f t="shared" si="7"/>
        <v>0</v>
      </c>
    </row>
    <row r="49" spans="1:10">
      <c r="A49" s="221" t="s">
        <v>416</v>
      </c>
      <c r="B49" s="1" t="s">
        <v>459</v>
      </c>
      <c r="C49" s="221" t="str">
        <f t="shared" si="0"/>
        <v>Q8b</v>
      </c>
      <c r="D49" s="221">
        <f t="shared" si="1"/>
        <v>110</v>
      </c>
      <c r="E49" s="221" t="str">
        <f t="shared" si="2"/>
        <v>Q8b</v>
      </c>
      <c r="F49" s="221">
        <f t="shared" si="3"/>
        <v>0</v>
      </c>
      <c r="G49" s="221" t="str">
        <f t="shared" si="4"/>
        <v>Q8b</v>
      </c>
      <c r="H49" s="221">
        <f t="shared" si="5"/>
        <v>0</v>
      </c>
      <c r="I49" s="221" t="str">
        <f t="shared" si="6"/>
        <v>Q8b</v>
      </c>
      <c r="J49" s="221">
        <f t="shared" si="7"/>
        <v>1</v>
      </c>
    </row>
    <row r="50" spans="1:10">
      <c r="A50" s="221" t="s">
        <v>418</v>
      </c>
      <c r="B50" s="1" t="s">
        <v>71</v>
      </c>
      <c r="C50" s="221" t="str">
        <f t="shared" si="0"/>
        <v>Q9</v>
      </c>
      <c r="D50" s="221">
        <f t="shared" si="1"/>
        <v>5</v>
      </c>
      <c r="E50" s="221" t="str">
        <f t="shared" si="2"/>
        <v>Q9</v>
      </c>
      <c r="F50" s="221">
        <f t="shared" si="3"/>
        <v>1</v>
      </c>
      <c r="G50" s="221" t="str">
        <f t="shared" si="4"/>
        <v>Q9</v>
      </c>
      <c r="H50" s="221">
        <f t="shared" si="5"/>
        <v>1</v>
      </c>
      <c r="I50" s="221" t="str">
        <f t="shared" si="6"/>
        <v>Q9</v>
      </c>
      <c r="J50" s="221">
        <f t="shared" si="7"/>
        <v>0</v>
      </c>
    </row>
    <row r="51" spans="1:10">
      <c r="A51" s="221" t="s">
        <v>458</v>
      </c>
      <c r="B51" s="1" t="s">
        <v>405</v>
      </c>
      <c r="C51" s="221" t="str">
        <f t="shared" si="0"/>
        <v>Q9b</v>
      </c>
      <c r="D51" s="221">
        <f t="shared" si="1"/>
        <v>110</v>
      </c>
      <c r="E51" s="221" t="str">
        <f t="shared" si="2"/>
        <v>Q9b</v>
      </c>
      <c r="F51" s="221">
        <f t="shared" si="3"/>
        <v>0</v>
      </c>
      <c r="G51" s="221" t="str">
        <f t="shared" si="4"/>
        <v>Q9b</v>
      </c>
      <c r="H51" s="221">
        <f t="shared" si="5"/>
        <v>0</v>
      </c>
      <c r="I51" s="221" t="str">
        <f t="shared" si="6"/>
        <v>Q9b</v>
      </c>
      <c r="J51" s="221">
        <f t="shared" si="7"/>
        <v>1</v>
      </c>
    </row>
    <row r="52" spans="1:10" ht="25.5">
      <c r="A52" s="221" t="s">
        <v>394</v>
      </c>
      <c r="B52" s="1" t="s">
        <v>484</v>
      </c>
      <c r="C52" s="221" t="str">
        <f t="shared" si="0"/>
        <v>QSurveyPeriod</v>
      </c>
      <c r="D52" s="221">
        <f t="shared" si="1"/>
        <v>5</v>
      </c>
      <c r="E52" s="221" t="str">
        <f t="shared" si="2"/>
        <v>QSurveyPeriod</v>
      </c>
      <c r="F52" s="221">
        <f t="shared" si="3"/>
        <v>1</v>
      </c>
      <c r="G52" s="221" t="str">
        <f t="shared" si="4"/>
        <v>QSurveyPeriod</v>
      </c>
      <c r="H52" s="221">
        <f t="shared" si="5"/>
        <v>1</v>
      </c>
      <c r="I52" s="221" t="str">
        <f t="shared" si="6"/>
        <v>QSurveyPeriod</v>
      </c>
      <c r="J52" s="221">
        <f t="shared" si="7"/>
        <v>0</v>
      </c>
    </row>
    <row r="53" spans="1:10" ht="25.5">
      <c r="A53" s="221" t="s">
        <v>485</v>
      </c>
      <c r="B53" s="1" t="s">
        <v>520</v>
      </c>
      <c r="C53" s="221" t="str">
        <f t="shared" si="0"/>
        <v>QTeamName</v>
      </c>
      <c r="D53" s="221">
        <f t="shared" si="1"/>
        <v>5</v>
      </c>
      <c r="E53" s="221" t="str">
        <f t="shared" si="2"/>
        <v>QTeamName</v>
      </c>
      <c r="F53" s="221">
        <f t="shared" si="3"/>
        <v>1</v>
      </c>
      <c r="G53" s="221" t="str">
        <f t="shared" si="4"/>
        <v>QTeamName</v>
      </c>
      <c r="H53" s="221">
        <f t="shared" si="5"/>
        <v>1</v>
      </c>
      <c r="I53" s="221" t="str">
        <f t="shared" si="6"/>
        <v>QTeamName</v>
      </c>
      <c r="J53" s="221">
        <f t="shared" si="7"/>
        <v>0</v>
      </c>
    </row>
  </sheetData>
  <sortState ref="A11:B53">
    <sortCondition ref="A11"/>
  </sortState>
  <hyperlinks>
    <hyperlink ref="A1" location="'Table of Contents'!A1" display="Table of Contents"/>
  </hyperlinks>
  <pageMargins left="0.7" right="0.7"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worksheet>
</file>

<file path=xl/worksheets/sheet20.xml><?xml version="1.0" encoding="utf-8"?>
<worksheet xmlns="http://schemas.openxmlformats.org/spreadsheetml/2006/main" xmlns:r="http://schemas.openxmlformats.org/officeDocument/2006/relationships">
  <sheetPr codeName="Sheet16"/>
  <dimension ref="A1:AT147"/>
  <sheetViews>
    <sheetView workbookViewId="0">
      <pane ySplit="30" topLeftCell="A31" activePane="bottomLeft" state="frozen"/>
      <selection pane="bottomLeft"/>
    </sheetView>
  </sheetViews>
  <sheetFormatPr defaultRowHeight="12.75"/>
  <cols>
    <col min="1" max="1" width="5.7109375" customWidth="1"/>
    <col min="2" max="2" width="25.7109375" customWidth="1"/>
    <col min="3" max="4" width="25.7109375" style="301" customWidth="1"/>
    <col min="5" max="5" width="25.7109375" customWidth="1"/>
    <col min="6" max="6" width="5.7109375" style="1" customWidth="1"/>
    <col min="7" max="7" width="110.7109375" style="1" customWidth="1"/>
    <col min="8" max="8" width="5.7109375" style="1" customWidth="1"/>
    <col min="9" max="9" width="110.7109375" style="1" customWidth="1"/>
    <col min="10" max="10" width="5.7109375" style="1" customWidth="1"/>
    <col min="11" max="11" width="110.7109375" style="1" customWidth="1"/>
    <col min="12" max="12" width="5.7109375" style="1" customWidth="1"/>
    <col min="13" max="13" width="110.7109375" style="1" customWidth="1"/>
    <col min="14" max="14" width="5.7109375" style="1" customWidth="1"/>
    <col min="15" max="15" width="110.7109375" style="1" customWidth="1"/>
    <col min="16" max="16" width="5.7109375" style="1" customWidth="1"/>
    <col min="17" max="17" width="110.7109375" style="1" customWidth="1"/>
    <col min="18" max="18" width="5.7109375" style="1" customWidth="1"/>
    <col min="19" max="19" width="110.7109375" style="1" customWidth="1"/>
    <col min="20" max="20" width="5.7109375" style="1" customWidth="1"/>
    <col min="21" max="21" width="110.7109375" style="1" customWidth="1"/>
    <col min="22" max="22" width="5.7109375" style="1" customWidth="1"/>
    <col min="23" max="23" width="110.7109375" style="1" customWidth="1"/>
    <col min="24" max="24" width="5.7109375" style="1" customWidth="1"/>
    <col min="25" max="25" width="110.7109375" style="1" customWidth="1"/>
    <col min="26" max="26" width="5.7109375" style="1" customWidth="1"/>
    <col min="27" max="27" width="110.7109375" style="1" customWidth="1"/>
    <col min="28" max="28" width="5.7109375" style="1" customWidth="1"/>
    <col min="29" max="29" width="110.7109375" style="1" customWidth="1"/>
    <col min="30" max="30" width="5.7109375" style="1" customWidth="1"/>
    <col min="31" max="31" width="110.7109375" style="1" customWidth="1"/>
    <col min="32" max="32" width="5.7109375" style="1" customWidth="1"/>
    <col min="33" max="33" width="110.7109375" style="1" customWidth="1"/>
    <col min="34" max="34" width="5.7109375" style="1" customWidth="1"/>
    <col min="35" max="35" width="110.7109375" style="1" customWidth="1"/>
    <col min="36" max="36" width="5.7109375" style="1" customWidth="1"/>
    <col min="37" max="37" width="110.7109375" style="1" customWidth="1"/>
    <col min="38" max="38" width="5.7109375" style="1" customWidth="1"/>
    <col min="39" max="39" width="110.7109375" style="1" customWidth="1"/>
    <col min="40" max="40" width="5.7109375" style="1" customWidth="1"/>
    <col min="41" max="41" width="110.7109375" style="1" customWidth="1"/>
    <col min="42" max="42" width="5.7109375" style="1" customWidth="1"/>
    <col min="43" max="43" width="110.7109375" style="1" customWidth="1"/>
    <col min="44" max="44" width="5.7109375" style="1" customWidth="1"/>
    <col min="45" max="46" width="110.7109375" style="1" customWidth="1"/>
  </cols>
  <sheetData>
    <row r="1" spans="1:46">
      <c r="A1" s="5" t="s">
        <v>29</v>
      </c>
      <c r="E1" s="301" t="s">
        <v>391</v>
      </c>
      <c r="F1" s="1">
        <f t="shared" ref="F1:AT1" ca="1" si="0">LOOKUP(F$30,INDIRECT("'" &amp; $C$6 &amp; "'!" &amp; INDIRECT("'" &amp; $C$6 &amp; "'!" &amp; $C$8)))</f>
        <v>5</v>
      </c>
      <c r="G1" s="1">
        <f t="shared" ca="1" si="0"/>
        <v>110</v>
      </c>
      <c r="H1" s="1">
        <f t="shared" ca="1" si="0"/>
        <v>5</v>
      </c>
      <c r="I1" s="1">
        <f t="shared" ca="1" si="0"/>
        <v>110</v>
      </c>
      <c r="J1" s="1">
        <f t="shared" ca="1" si="0"/>
        <v>5</v>
      </c>
      <c r="K1" s="1">
        <f t="shared" ca="1" si="0"/>
        <v>110</v>
      </c>
      <c r="L1" s="1">
        <f t="shared" ca="1" si="0"/>
        <v>5</v>
      </c>
      <c r="M1" s="1">
        <f t="shared" ca="1" si="0"/>
        <v>110</v>
      </c>
      <c r="N1" s="1">
        <f t="shared" ca="1" si="0"/>
        <v>5</v>
      </c>
      <c r="O1" s="1">
        <f t="shared" ca="1" si="0"/>
        <v>110</v>
      </c>
      <c r="P1" s="1">
        <f t="shared" ca="1" si="0"/>
        <v>5</v>
      </c>
      <c r="Q1" s="1">
        <f t="shared" ca="1" si="0"/>
        <v>110</v>
      </c>
      <c r="R1" s="1">
        <f t="shared" ca="1" si="0"/>
        <v>5</v>
      </c>
      <c r="S1" s="1">
        <f t="shared" ca="1" si="0"/>
        <v>110</v>
      </c>
      <c r="T1" s="1">
        <f t="shared" ca="1" si="0"/>
        <v>5</v>
      </c>
      <c r="U1" s="1">
        <f t="shared" ca="1" si="0"/>
        <v>110</v>
      </c>
      <c r="V1" s="1">
        <f t="shared" ca="1" si="0"/>
        <v>5</v>
      </c>
      <c r="W1" s="1">
        <f t="shared" ca="1" si="0"/>
        <v>110</v>
      </c>
      <c r="X1" s="1">
        <f t="shared" ca="1" si="0"/>
        <v>5</v>
      </c>
      <c r="Y1" s="1">
        <f t="shared" ca="1" si="0"/>
        <v>110</v>
      </c>
      <c r="Z1" s="1">
        <f t="shared" ca="1" si="0"/>
        <v>5</v>
      </c>
      <c r="AA1" s="1">
        <f t="shared" ca="1" si="0"/>
        <v>110</v>
      </c>
      <c r="AB1" s="1">
        <f t="shared" ca="1" si="0"/>
        <v>5</v>
      </c>
      <c r="AC1" s="1">
        <f t="shared" ca="1" si="0"/>
        <v>110</v>
      </c>
      <c r="AD1" s="1">
        <f t="shared" ca="1" si="0"/>
        <v>5</v>
      </c>
      <c r="AE1" s="1">
        <f t="shared" ca="1" si="0"/>
        <v>110</v>
      </c>
      <c r="AF1" s="1">
        <f t="shared" ca="1" si="0"/>
        <v>5</v>
      </c>
      <c r="AG1" s="1">
        <f t="shared" ca="1" si="0"/>
        <v>110</v>
      </c>
      <c r="AH1" s="1">
        <f t="shared" ca="1" si="0"/>
        <v>5</v>
      </c>
      <c r="AI1" s="1">
        <f t="shared" ca="1" si="0"/>
        <v>110</v>
      </c>
      <c r="AJ1" s="1">
        <f t="shared" ca="1" si="0"/>
        <v>5</v>
      </c>
      <c r="AK1" s="1">
        <f t="shared" ca="1" si="0"/>
        <v>110</v>
      </c>
      <c r="AL1" s="1">
        <f t="shared" ca="1" si="0"/>
        <v>5</v>
      </c>
      <c r="AM1" s="1">
        <f t="shared" ca="1" si="0"/>
        <v>110</v>
      </c>
      <c r="AN1" s="1">
        <f t="shared" ca="1" si="0"/>
        <v>5</v>
      </c>
      <c r="AO1" s="1">
        <f t="shared" ca="1" si="0"/>
        <v>110</v>
      </c>
      <c r="AP1" s="1">
        <f t="shared" ca="1" si="0"/>
        <v>5</v>
      </c>
      <c r="AQ1" s="1">
        <f t="shared" ca="1" si="0"/>
        <v>110</v>
      </c>
      <c r="AR1" s="1">
        <f t="shared" ca="1" si="0"/>
        <v>5</v>
      </c>
      <c r="AS1" s="1">
        <f t="shared" ca="1" si="0"/>
        <v>110</v>
      </c>
      <c r="AT1" s="1">
        <f t="shared" ca="1" si="0"/>
        <v>110</v>
      </c>
    </row>
    <row r="2" spans="1:46">
      <c r="E2" s="301" t="s">
        <v>386</v>
      </c>
      <c r="F2" s="1">
        <f t="shared" ref="F2:AT2" ca="1" si="1">LOOKUP(F$30,INDIRECT("'" &amp; $C$6 &amp; "'!" &amp; INDIRECT("'" &amp; $C$6 &amp; "'!" &amp; $C$9)))</f>
        <v>1</v>
      </c>
      <c r="G2" s="1">
        <f t="shared" ca="1" si="1"/>
        <v>0</v>
      </c>
      <c r="H2" s="1">
        <f t="shared" ca="1" si="1"/>
        <v>1</v>
      </c>
      <c r="I2" s="1">
        <f t="shared" ca="1" si="1"/>
        <v>0</v>
      </c>
      <c r="J2" s="1">
        <f t="shared" ca="1" si="1"/>
        <v>1</v>
      </c>
      <c r="K2" s="1">
        <f t="shared" ca="1" si="1"/>
        <v>0</v>
      </c>
      <c r="L2" s="1">
        <f t="shared" ca="1" si="1"/>
        <v>1</v>
      </c>
      <c r="M2" s="1">
        <f t="shared" ca="1" si="1"/>
        <v>0</v>
      </c>
      <c r="N2" s="1">
        <f t="shared" ca="1" si="1"/>
        <v>1</v>
      </c>
      <c r="O2" s="1">
        <f t="shared" ca="1" si="1"/>
        <v>0</v>
      </c>
      <c r="P2" s="1">
        <f t="shared" ca="1" si="1"/>
        <v>1</v>
      </c>
      <c r="Q2" s="1">
        <f t="shared" ca="1" si="1"/>
        <v>0</v>
      </c>
      <c r="R2" s="1">
        <f t="shared" ca="1" si="1"/>
        <v>1</v>
      </c>
      <c r="S2" s="1">
        <f t="shared" ca="1" si="1"/>
        <v>0</v>
      </c>
      <c r="T2" s="1">
        <f t="shared" ca="1" si="1"/>
        <v>1</v>
      </c>
      <c r="U2" s="1">
        <f t="shared" ca="1" si="1"/>
        <v>0</v>
      </c>
      <c r="V2" s="1">
        <f t="shared" ca="1" si="1"/>
        <v>1</v>
      </c>
      <c r="W2" s="1">
        <f t="shared" ca="1" si="1"/>
        <v>0</v>
      </c>
      <c r="X2" s="1">
        <f t="shared" ca="1" si="1"/>
        <v>1</v>
      </c>
      <c r="Y2" s="1">
        <f t="shared" ca="1" si="1"/>
        <v>0</v>
      </c>
      <c r="Z2" s="1">
        <f t="shared" ca="1" si="1"/>
        <v>1</v>
      </c>
      <c r="AA2" s="1">
        <f t="shared" ca="1" si="1"/>
        <v>0</v>
      </c>
      <c r="AB2" s="1">
        <f t="shared" ca="1" si="1"/>
        <v>1</v>
      </c>
      <c r="AC2" s="1">
        <f t="shared" ca="1" si="1"/>
        <v>0</v>
      </c>
      <c r="AD2" s="1">
        <f t="shared" ca="1" si="1"/>
        <v>1</v>
      </c>
      <c r="AE2" s="1">
        <f t="shared" ca="1" si="1"/>
        <v>0</v>
      </c>
      <c r="AF2" s="1">
        <f t="shared" ca="1" si="1"/>
        <v>1</v>
      </c>
      <c r="AG2" s="1">
        <f t="shared" ca="1" si="1"/>
        <v>0</v>
      </c>
      <c r="AH2" s="1">
        <f t="shared" ca="1" si="1"/>
        <v>1</v>
      </c>
      <c r="AI2" s="1">
        <f t="shared" ca="1" si="1"/>
        <v>0</v>
      </c>
      <c r="AJ2" s="1">
        <f t="shared" ca="1" si="1"/>
        <v>1</v>
      </c>
      <c r="AK2" s="1">
        <f t="shared" ca="1" si="1"/>
        <v>0</v>
      </c>
      <c r="AL2" s="1">
        <f t="shared" ca="1" si="1"/>
        <v>1</v>
      </c>
      <c r="AM2" s="1">
        <f t="shared" ca="1" si="1"/>
        <v>0</v>
      </c>
      <c r="AN2" s="1">
        <f t="shared" ca="1" si="1"/>
        <v>1</v>
      </c>
      <c r="AO2" s="1">
        <f t="shared" ca="1" si="1"/>
        <v>0</v>
      </c>
      <c r="AP2" s="1">
        <f t="shared" ca="1" si="1"/>
        <v>1</v>
      </c>
      <c r="AQ2" s="1">
        <f t="shared" ca="1" si="1"/>
        <v>0</v>
      </c>
      <c r="AR2" s="1">
        <f t="shared" ca="1" si="1"/>
        <v>1</v>
      </c>
      <c r="AS2" s="1">
        <f t="shared" ca="1" si="1"/>
        <v>0</v>
      </c>
      <c r="AT2" s="1">
        <f t="shared" ca="1" si="1"/>
        <v>0</v>
      </c>
    </row>
    <row r="3" spans="1:46">
      <c r="E3" s="301" t="s">
        <v>392</v>
      </c>
      <c r="F3" s="1">
        <f t="shared" ref="F3:AT3" ca="1" si="2">LOOKUP(F$30,INDIRECT("'" &amp; $C$6 &amp; "'!" &amp; INDIRECT("'" &amp; $C$6 &amp; "'!" &amp; $C$10)))</f>
        <v>1</v>
      </c>
      <c r="G3" s="1">
        <f t="shared" ca="1" si="2"/>
        <v>0</v>
      </c>
      <c r="H3" s="1">
        <f t="shared" ca="1" si="2"/>
        <v>1</v>
      </c>
      <c r="I3" s="1">
        <f t="shared" ca="1" si="2"/>
        <v>0</v>
      </c>
      <c r="J3" s="1">
        <f t="shared" ca="1" si="2"/>
        <v>1</v>
      </c>
      <c r="K3" s="1">
        <f t="shared" ca="1" si="2"/>
        <v>0</v>
      </c>
      <c r="L3" s="1">
        <f t="shared" ca="1" si="2"/>
        <v>1</v>
      </c>
      <c r="M3" s="1">
        <f t="shared" ca="1" si="2"/>
        <v>0</v>
      </c>
      <c r="N3" s="1">
        <f t="shared" ca="1" si="2"/>
        <v>1</v>
      </c>
      <c r="O3" s="1">
        <f t="shared" ca="1" si="2"/>
        <v>0</v>
      </c>
      <c r="P3" s="1">
        <f t="shared" ca="1" si="2"/>
        <v>1</v>
      </c>
      <c r="Q3" s="1">
        <f t="shared" ca="1" si="2"/>
        <v>0</v>
      </c>
      <c r="R3" s="1">
        <f t="shared" ca="1" si="2"/>
        <v>1</v>
      </c>
      <c r="S3" s="1">
        <f t="shared" ca="1" si="2"/>
        <v>0</v>
      </c>
      <c r="T3" s="1">
        <f t="shared" ca="1" si="2"/>
        <v>1</v>
      </c>
      <c r="U3" s="1">
        <f t="shared" ca="1" si="2"/>
        <v>0</v>
      </c>
      <c r="V3" s="1">
        <f t="shared" ca="1" si="2"/>
        <v>1</v>
      </c>
      <c r="W3" s="1">
        <f t="shared" ca="1" si="2"/>
        <v>0</v>
      </c>
      <c r="X3" s="1">
        <f t="shared" ca="1" si="2"/>
        <v>1</v>
      </c>
      <c r="Y3" s="1">
        <f t="shared" ca="1" si="2"/>
        <v>0</v>
      </c>
      <c r="Z3" s="1">
        <f t="shared" ca="1" si="2"/>
        <v>1</v>
      </c>
      <c r="AA3" s="1">
        <f t="shared" ca="1" si="2"/>
        <v>0</v>
      </c>
      <c r="AB3" s="1">
        <f t="shared" ca="1" si="2"/>
        <v>1</v>
      </c>
      <c r="AC3" s="1">
        <f t="shared" ca="1" si="2"/>
        <v>0</v>
      </c>
      <c r="AD3" s="1">
        <f t="shared" ca="1" si="2"/>
        <v>1</v>
      </c>
      <c r="AE3" s="1">
        <f t="shared" ca="1" si="2"/>
        <v>0</v>
      </c>
      <c r="AF3" s="1">
        <f t="shared" ca="1" si="2"/>
        <v>1</v>
      </c>
      <c r="AG3" s="1">
        <f t="shared" ca="1" si="2"/>
        <v>0</v>
      </c>
      <c r="AH3" s="1">
        <f t="shared" ca="1" si="2"/>
        <v>1</v>
      </c>
      <c r="AI3" s="1">
        <f t="shared" ca="1" si="2"/>
        <v>0</v>
      </c>
      <c r="AJ3" s="1">
        <f t="shared" ca="1" si="2"/>
        <v>1</v>
      </c>
      <c r="AK3" s="1">
        <f t="shared" ca="1" si="2"/>
        <v>0</v>
      </c>
      <c r="AL3" s="1">
        <f t="shared" ca="1" si="2"/>
        <v>1</v>
      </c>
      <c r="AM3" s="1">
        <f t="shared" ca="1" si="2"/>
        <v>0</v>
      </c>
      <c r="AN3" s="1">
        <f t="shared" ca="1" si="2"/>
        <v>1</v>
      </c>
      <c r="AO3" s="1">
        <f t="shared" ca="1" si="2"/>
        <v>0</v>
      </c>
      <c r="AP3" s="1">
        <f t="shared" ca="1" si="2"/>
        <v>1</v>
      </c>
      <c r="AQ3" s="1">
        <f t="shared" ca="1" si="2"/>
        <v>0</v>
      </c>
      <c r="AR3" s="1">
        <f t="shared" ca="1" si="2"/>
        <v>1</v>
      </c>
      <c r="AS3" s="1">
        <f t="shared" ca="1" si="2"/>
        <v>0</v>
      </c>
      <c r="AT3" s="1">
        <f t="shared" ca="1" si="2"/>
        <v>1</v>
      </c>
    </row>
    <row r="4" spans="1:46">
      <c r="B4" s="301" t="s">
        <v>421</v>
      </c>
      <c r="C4" s="301" t="s">
        <v>78</v>
      </c>
      <c r="E4" s="301" t="s">
        <v>432</v>
      </c>
      <c r="F4" s="1">
        <f t="shared" ref="F4:AT4" ca="1" si="3">LOOKUP(F$30,INDIRECT("'" &amp; $C$6 &amp; "'!" &amp; INDIRECT("'" &amp; $C$6 &amp; "'!" &amp; $C$11)))</f>
        <v>0</v>
      </c>
      <c r="G4" s="1">
        <f t="shared" ca="1" si="3"/>
        <v>1</v>
      </c>
      <c r="H4" s="1">
        <f t="shared" ca="1" si="3"/>
        <v>0</v>
      </c>
      <c r="I4" s="1">
        <f t="shared" ca="1" si="3"/>
        <v>1</v>
      </c>
      <c r="J4" s="1">
        <f t="shared" ca="1" si="3"/>
        <v>0</v>
      </c>
      <c r="K4" s="1">
        <f t="shared" ca="1" si="3"/>
        <v>1</v>
      </c>
      <c r="L4" s="1">
        <f t="shared" ca="1" si="3"/>
        <v>0</v>
      </c>
      <c r="M4" s="1">
        <f t="shared" ca="1" si="3"/>
        <v>1</v>
      </c>
      <c r="N4" s="1">
        <f t="shared" ca="1" si="3"/>
        <v>0</v>
      </c>
      <c r="O4" s="1">
        <f t="shared" ca="1" si="3"/>
        <v>1</v>
      </c>
      <c r="P4" s="1">
        <f t="shared" ca="1" si="3"/>
        <v>0</v>
      </c>
      <c r="Q4" s="1">
        <f t="shared" ca="1" si="3"/>
        <v>1</v>
      </c>
      <c r="R4" s="1">
        <f t="shared" ca="1" si="3"/>
        <v>0</v>
      </c>
      <c r="S4" s="1">
        <f t="shared" ca="1" si="3"/>
        <v>1</v>
      </c>
      <c r="T4" s="1">
        <f t="shared" ca="1" si="3"/>
        <v>0</v>
      </c>
      <c r="U4" s="1">
        <f t="shared" ca="1" si="3"/>
        <v>1</v>
      </c>
      <c r="V4" s="1">
        <f t="shared" ca="1" si="3"/>
        <v>0</v>
      </c>
      <c r="W4" s="1">
        <f t="shared" ca="1" si="3"/>
        <v>1</v>
      </c>
      <c r="X4" s="1">
        <f t="shared" ca="1" si="3"/>
        <v>0</v>
      </c>
      <c r="Y4" s="1">
        <f t="shared" ca="1" si="3"/>
        <v>1</v>
      </c>
      <c r="Z4" s="1">
        <f t="shared" ca="1" si="3"/>
        <v>0</v>
      </c>
      <c r="AA4" s="1">
        <f t="shared" ca="1" si="3"/>
        <v>1</v>
      </c>
      <c r="AB4" s="1">
        <f t="shared" ca="1" si="3"/>
        <v>0</v>
      </c>
      <c r="AC4" s="1">
        <f t="shared" ca="1" si="3"/>
        <v>1</v>
      </c>
      <c r="AD4" s="1">
        <f t="shared" ca="1" si="3"/>
        <v>0</v>
      </c>
      <c r="AE4" s="1">
        <f t="shared" ca="1" si="3"/>
        <v>1</v>
      </c>
      <c r="AF4" s="1">
        <f t="shared" ca="1" si="3"/>
        <v>0</v>
      </c>
      <c r="AG4" s="1">
        <f t="shared" ca="1" si="3"/>
        <v>1</v>
      </c>
      <c r="AH4" s="1">
        <f t="shared" ca="1" si="3"/>
        <v>0</v>
      </c>
      <c r="AI4" s="1">
        <f t="shared" ca="1" si="3"/>
        <v>1</v>
      </c>
      <c r="AJ4" s="1">
        <f t="shared" ca="1" si="3"/>
        <v>0</v>
      </c>
      <c r="AK4" s="1">
        <f t="shared" ca="1" si="3"/>
        <v>1</v>
      </c>
      <c r="AL4" s="1">
        <f t="shared" ca="1" si="3"/>
        <v>0</v>
      </c>
      <c r="AM4" s="1">
        <f t="shared" ca="1" si="3"/>
        <v>1</v>
      </c>
      <c r="AN4" s="1">
        <f t="shared" ca="1" si="3"/>
        <v>0</v>
      </c>
      <c r="AO4" s="1">
        <f t="shared" ca="1" si="3"/>
        <v>1</v>
      </c>
      <c r="AP4" s="1">
        <f t="shared" ca="1" si="3"/>
        <v>0</v>
      </c>
      <c r="AQ4" s="1">
        <f t="shared" ca="1" si="3"/>
        <v>1</v>
      </c>
      <c r="AR4" s="1">
        <f t="shared" ca="1" si="3"/>
        <v>0</v>
      </c>
      <c r="AS4" s="1">
        <f t="shared" ca="1" si="3"/>
        <v>1</v>
      </c>
      <c r="AT4" s="1">
        <f t="shared" ca="1" si="3"/>
        <v>0</v>
      </c>
    </row>
    <row r="5" spans="1:46">
      <c r="B5" s="301" t="s">
        <v>422</v>
      </c>
      <c r="C5" s="301" t="str">
        <f>Survey_Period</f>
        <v>2007 H1</v>
      </c>
    </row>
    <row r="6" spans="1:46">
      <c r="B6" s="301" t="s">
        <v>423</v>
      </c>
      <c r="C6" s="301" t="str">
        <f>$C$4 &amp; " Questions"</f>
        <v>IT Survey Questions</v>
      </c>
    </row>
    <row r="7" spans="1:46">
      <c r="B7" s="301" t="s">
        <v>32</v>
      </c>
      <c r="C7" s="301" t="str">
        <f>Questions_Location</f>
        <v>$B$4</v>
      </c>
    </row>
    <row r="8" spans="1:46">
      <c r="B8" s="301" t="s">
        <v>41</v>
      </c>
      <c r="C8" s="301" t="str">
        <f>Row_Width_Location</f>
        <v>$B$5</v>
      </c>
    </row>
    <row r="9" spans="1:46">
      <c r="B9" s="301" t="s">
        <v>58</v>
      </c>
      <c r="C9" s="301" t="str">
        <f>Statistics_Location</f>
        <v>$B$6</v>
      </c>
    </row>
    <row r="10" spans="1:46">
      <c r="B10" s="301" t="s">
        <v>59</v>
      </c>
      <c r="C10" s="301" t="str">
        <f>Primary_Questions_Location</f>
        <v>$B$7</v>
      </c>
    </row>
    <row r="11" spans="1:46">
      <c r="B11" s="301" t="s">
        <v>424</v>
      </c>
      <c r="C11" s="301" t="str">
        <f>FollowUp_Questions_Location</f>
        <v>$B$8</v>
      </c>
    </row>
    <row r="12" spans="1:46">
      <c r="B12" s="301" t="s">
        <v>28</v>
      </c>
      <c r="C12" s="301" t="str">
        <f>Team_Name</f>
        <v>Other</v>
      </c>
    </row>
    <row r="13" spans="1:46">
      <c r="B13" s="301" t="s">
        <v>425</v>
      </c>
      <c r="C13" s="301">
        <v>31</v>
      </c>
    </row>
    <row r="14" spans="1:46">
      <c r="B14" s="301" t="s">
        <v>426</v>
      </c>
      <c r="C14" s="301">
        <v>147</v>
      </c>
    </row>
    <row r="15" spans="1:46">
      <c r="B15" s="301" t="s">
        <v>427</v>
      </c>
      <c r="C15" s="301">
        <v>6</v>
      </c>
    </row>
    <row r="16" spans="1:46">
      <c r="B16" s="301" t="s">
        <v>428</v>
      </c>
      <c r="C16" s="301">
        <v>46</v>
      </c>
      <c r="D16" s="301">
        <v>5</v>
      </c>
      <c r="E16" s="301" t="s">
        <v>1</v>
      </c>
      <c r="F16" s="1">
        <f t="array" aca="1" ref="F16" ca="1">SUM(  IF($C$12 = "All IT",    IF(F$31:F$147 =$D16,       1,      0),    IF($D$31:$D$147 = $C$12,      IF(F$31:F$147 =$D16,         1,        0),    )  ))</f>
        <v>1</v>
      </c>
      <c r="H16" s="1">
        <f t="array" aca="1" ref="H16" ca="1">SUM(  IF($C$12 = "All IT",    IF(H$31:H$147 =$D16,       1,      0),    IF($D$31:$D$147 = $C$12,      IF(H$31:H$147 =$D16,         1,        0),    )  ))</f>
        <v>0</v>
      </c>
      <c r="J16" s="1">
        <f t="array" aca="1" ref="J16" ca="1">SUM(  IF($C$12 = "All IT",    IF(J$31:J$147 =$D16,       1,      0),    IF($D$31:$D$147 = $C$12,      IF(J$31:J$147 =$D16,         1,        0),    )  ))</f>
        <v>0</v>
      </c>
      <c r="L16" s="1">
        <f t="array" aca="1" ref="L16" ca="1">SUM(  IF($C$12 = "All IT",    IF(L$31:L$147 =$D16,       1,      0),    IF($D$31:$D$147 = $C$12,      IF(L$31:L$147 =$D16,         1,        0),    )  ))</f>
        <v>0</v>
      </c>
      <c r="N16" s="1">
        <f t="array" aca="1" ref="N16" ca="1">SUM(  IF($C$12 = "All IT",    IF(N$31:N$147 =$D16,       1,      0),    IF($D$31:$D$147 = $C$12,      IF(N$31:N$147 =$D16,         1,        0),    )  ))</f>
        <v>0</v>
      </c>
      <c r="P16" s="1">
        <f t="array" aca="1" ref="P16" ca="1">SUM(  IF($C$12 = "All IT",    IF(P$31:P$147 =$D16,       1,      0),    IF($D$31:$D$147 = $C$12,      IF(P$31:P$147 =$D16,         1,        0),    )  ))</f>
        <v>0</v>
      </c>
      <c r="R16" s="1">
        <f t="array" aca="1" ref="R16" ca="1">SUM(  IF($C$12 = "All IT",    IF(R$31:R$147 =$D16,       1,      0),    IF($D$31:$D$147 = $C$12,      IF(R$31:R$147 =$D16,         1,        0),    )  ))</f>
        <v>1</v>
      </c>
      <c r="T16" s="1">
        <f t="array" aca="1" ref="T16" ca="1">SUM(  IF($C$12 = "All IT",    IF(T$31:T$147 =$D16,       1,      0),    IF($D$31:$D$147 = $C$12,      IF(T$31:T$147 =$D16,         1,        0),    )  ))</f>
        <v>1</v>
      </c>
      <c r="V16" s="1">
        <f t="array" aca="1" ref="V16" ca="1">SUM(  IF($C$12 = "All IT",    IF(V$31:V$147 =$D16,       1,      0),    IF($D$31:$D$147 = $C$12,      IF(V$31:V$147 =$D16,         1,        0),    )  ))</f>
        <v>1</v>
      </c>
      <c r="X16" s="1">
        <f t="array" aca="1" ref="X16" ca="1">SUM(  IF($C$12 = "All IT",    IF(X$31:X$147 =$D16,       1,      0),    IF($D$31:$D$147 = $C$12,      IF(X$31:X$147 =$D16,         1,        0),    )  ))</f>
        <v>2</v>
      </c>
      <c r="Z16" s="1">
        <f t="array" aca="1" ref="Z16" ca="1">SUM(  IF($C$12 = "All IT",    IF(Z$31:Z$147 =$D16,       1,      0),    IF($D$31:$D$147 = $C$12,      IF(Z$31:Z$147 =$D16,         1,        0),    )  ))</f>
        <v>1</v>
      </c>
      <c r="AB16" s="1">
        <f t="array" aca="1" ref="AB16" ca="1">SUM(  IF($C$12 = "All IT",    IF(AB$31:AB$147 =$D16,       1,      0),    IF($D$31:$D$147 = $C$12,      IF(AB$31:AB$147 =$D16,         1,        0),    )  ))</f>
        <v>1</v>
      </c>
      <c r="AD16" s="1">
        <f t="array" aca="1" ref="AD16" ca="1">SUM(  IF($C$12 = "All IT",    IF(AD$31:AD$147 =$D16,       1,      0),    IF($D$31:$D$147 = $C$12,      IF(AD$31:AD$147 =$D16,         1,        0),    )  ))</f>
        <v>0</v>
      </c>
      <c r="AF16" s="1">
        <f t="array" aca="1" ref="AF16" ca="1">SUM(  IF($C$12 = "All IT",    IF(AF$31:AF$147 =$D16,       1,      0),    IF($D$31:$D$147 = $C$12,      IF(AF$31:AF$147 =$D16,         1,        0),    )  ))</f>
        <v>0</v>
      </c>
      <c r="AH16" s="1">
        <f t="array" aca="1" ref="AH16" ca="1">SUM(  IF($C$12 = "All IT",    IF(AH$31:AH$147 =$D16,       1,      0),    IF($D$31:$D$147 = $C$12,      IF(AH$31:AH$147 =$D16,         1,        0),    )  ))</f>
        <v>0</v>
      </c>
      <c r="AJ16" s="1">
        <f t="array" aca="1" ref="AJ16" ca="1">SUM(  IF($C$12 = "All IT",    IF(AJ$31:AJ$147 =$D16,       1,      0),    IF($D$31:$D$147 = $C$12,      IF(AJ$31:AJ$147 =$D16,         1,        0),    )  ))</f>
        <v>0</v>
      </c>
      <c r="AL16" s="1">
        <f t="array" aca="1" ref="AL16" ca="1">SUM(  IF($C$12 = "All IT",    IF(AL$31:AL$147 =$D16,       1,      0),    IF($D$31:$D$147 = $C$12,      IF(AL$31:AL$147 =$D16,         1,        0),    )  ))</f>
        <v>0</v>
      </c>
      <c r="AN16" s="1">
        <f t="array" aca="1" ref="AN16" ca="1">SUM(  IF($C$12 = "All IT",    IF(AN$31:AN$147 =$D16,       1,      0),    IF($D$31:$D$147 = $C$12,      IF(AN$31:AN$147 =$D16,         1,        0),    )  ))</f>
        <v>0</v>
      </c>
      <c r="AP16" s="1">
        <f t="array" aca="1" ref="AP16" ca="1">SUM(  IF($C$12 = "All IT",    IF(AP$31:AP$147 =$D16,       1,      0),    IF($D$31:$D$147 = $C$12,      IF(AP$31:AP$147 =$D16,         1,        0),    )  ))</f>
        <v>0</v>
      </c>
      <c r="AR16" s="1">
        <f t="array" aca="1" ref="AR16" ca="1">SUM(  IF($C$12 = "All IT",    IF(AR$31:AR$147 =$D16,       1,      0),    IF($D$31:$D$147 = $C$12,      IF(AR$31:AR$147 =$D16,         1,        0),    )  ))</f>
        <v>0</v>
      </c>
    </row>
    <row r="17" spans="1:46">
      <c r="A17">
        <f ca="1">SUM($F$2:$AT$2)</f>
        <v>20</v>
      </c>
      <c r="B17" s="301" t="s">
        <v>429</v>
      </c>
      <c r="C17" s="301">
        <f ca="1">A17</f>
        <v>20</v>
      </c>
      <c r="D17" s="301">
        <v>4</v>
      </c>
      <c r="E17" s="301" t="s">
        <v>2</v>
      </c>
      <c r="F17" s="1">
        <f t="array" aca="1" ref="F17" ca="1">SUM(  IF($C$12 = "All IT",    IF(F$31:F$147 =$D17,       1,      0),    IF($D$31:$D$147 = $C$12,      IF(F$31:F$147 =$D17,         1,        0),    )  ))</f>
        <v>3</v>
      </c>
      <c r="H17" s="1">
        <f t="array" aca="1" ref="H17" ca="1">SUM(  IF($C$12 = "All IT",    IF(H$31:H$147 =$D17,       1,      0),    IF($D$31:$D$147 = $C$12,      IF(H$31:H$147 =$D17,         1,        0),    )  ))</f>
        <v>4</v>
      </c>
      <c r="J17" s="1">
        <f t="array" aca="1" ref="J17" ca="1">SUM(  IF($C$12 = "All IT",    IF(J$31:J$147 =$D17,       1,      0),    IF($D$31:$D$147 = $C$12,      IF(J$31:J$147 =$D17,         1,        0),    )  ))</f>
        <v>4</v>
      </c>
      <c r="L17" s="1">
        <f t="array" aca="1" ref="L17" ca="1">SUM(  IF($C$12 = "All IT",    IF(L$31:L$147 =$D17,       1,      0),    IF($D$31:$D$147 = $C$12,      IF(L$31:L$147 =$D17,         1,        0),    )  ))</f>
        <v>2</v>
      </c>
      <c r="N17" s="1">
        <f t="array" aca="1" ref="N17" ca="1">SUM(  IF($C$12 = "All IT",    IF(N$31:N$147 =$D17,       1,      0),    IF($D$31:$D$147 = $C$12,      IF(N$31:N$147 =$D17,         1,        0),    )  ))</f>
        <v>4</v>
      </c>
      <c r="P17" s="1">
        <f t="array" aca="1" ref="P17" ca="1">SUM(  IF($C$12 = "All IT",    IF(P$31:P$147 =$D17,       1,      0),    IF($D$31:$D$147 = $C$12,      IF(P$31:P$147 =$D17,         1,        0),    )  ))</f>
        <v>4</v>
      </c>
      <c r="R17" s="1">
        <f t="array" aca="1" ref="R17" ca="1">SUM(  IF($C$12 = "All IT",    IF(R$31:R$147 =$D17,       1,      0),    IF($D$31:$D$147 = $C$12,      IF(R$31:R$147 =$D17,         1,        0),    )  ))</f>
        <v>3</v>
      </c>
      <c r="T17" s="1">
        <f t="array" aca="1" ref="T17" ca="1">SUM(  IF($C$12 = "All IT",    IF(T$31:T$147 =$D17,       1,      0),    IF($D$31:$D$147 = $C$12,      IF(T$31:T$147 =$D17,         1,        0),    )  ))</f>
        <v>3</v>
      </c>
      <c r="V17" s="1">
        <f t="array" aca="1" ref="V17" ca="1">SUM(  IF($C$12 = "All IT",    IF(V$31:V$147 =$D17,       1,      0),    IF($D$31:$D$147 = $C$12,      IF(V$31:V$147 =$D17,         1,        0),    )  ))</f>
        <v>3</v>
      </c>
      <c r="X17" s="1">
        <f t="array" aca="1" ref="X17" ca="1">SUM(  IF($C$12 = "All IT",    IF(X$31:X$147 =$D17,       1,      0),    IF($D$31:$D$147 = $C$12,      IF(X$31:X$147 =$D17,         1,        0),    )  ))</f>
        <v>0</v>
      </c>
      <c r="Z17" s="1">
        <f t="array" aca="1" ref="Z17" ca="1">SUM(  IF($C$12 = "All IT",    IF(Z$31:Z$147 =$D17,       1,      0),    IF($D$31:$D$147 = $C$12,      IF(Z$31:Z$147 =$D17,         1,        0),    )  ))</f>
        <v>3</v>
      </c>
      <c r="AB17" s="1">
        <f t="array" aca="1" ref="AB17" ca="1">SUM(  IF($C$12 = "All IT",    IF(AB$31:AB$147 =$D17,       1,      0),    IF($D$31:$D$147 = $C$12,      IF(AB$31:AB$147 =$D17,         1,        0),    )  ))</f>
        <v>2</v>
      </c>
      <c r="AD17" s="1">
        <f t="array" aca="1" ref="AD17" ca="1">SUM(  IF($C$12 = "All IT",    IF(AD$31:AD$147 =$D17,       1,      0),    IF($D$31:$D$147 = $C$12,      IF(AD$31:AD$147 =$D17,         1,        0),    )  ))</f>
        <v>1</v>
      </c>
      <c r="AF17" s="1">
        <f t="array" aca="1" ref="AF17" ca="1">SUM(  IF($C$12 = "All IT",    IF(AF$31:AF$147 =$D17,       1,      0),    IF($D$31:$D$147 = $C$12,      IF(AF$31:AF$147 =$D17,         1,        0),    )  ))</f>
        <v>1</v>
      </c>
      <c r="AH17" s="1">
        <f t="array" aca="1" ref="AH17" ca="1">SUM(  IF($C$12 = "All IT",    IF(AH$31:AH$147 =$D17,       1,      0),    IF($D$31:$D$147 = $C$12,      IF(AH$31:AH$147 =$D17,         1,        0),    )  ))</f>
        <v>2</v>
      </c>
      <c r="AJ17" s="1">
        <f t="array" aca="1" ref="AJ17" ca="1">SUM(  IF($C$12 = "All IT",    IF(AJ$31:AJ$147 =$D17,       1,      0),    IF($D$31:$D$147 = $C$12,      IF(AJ$31:AJ$147 =$D17,         1,        0),    )  ))</f>
        <v>1</v>
      </c>
      <c r="AL17" s="1">
        <f t="array" aca="1" ref="AL17" ca="1">SUM(  IF($C$12 = "All IT",    IF(AL$31:AL$147 =$D17,       1,      0),    IF($D$31:$D$147 = $C$12,      IF(AL$31:AL$147 =$D17,         1,        0),    )  ))</f>
        <v>1</v>
      </c>
      <c r="AN17" s="1">
        <f t="array" aca="1" ref="AN17" ca="1">SUM(  IF($C$12 = "All IT",    IF(AN$31:AN$147 =$D17,       1,      0),    IF($D$31:$D$147 = $C$12,      IF(AN$31:AN$147 =$D17,         1,        0),    )  ))</f>
        <v>2</v>
      </c>
      <c r="AP17" s="1">
        <f t="array" aca="1" ref="AP17" ca="1">SUM(  IF($C$12 = "All IT",    IF(AP$31:AP$147 =$D17,       1,      0),    IF($D$31:$D$147 = $C$12,      IF(AP$31:AP$147 =$D17,         1,        0),    )  ))</f>
        <v>4</v>
      </c>
      <c r="AR17" s="1">
        <f t="array" aca="1" ref="AR17" ca="1">SUM(  IF($C$12 = "All IT",    IF(AR$31:AR$147 =$D17,       1,      0),    IF($D$31:$D$147 = $C$12,      IF(AR$31:AR$147 =$D17,         1,        0),    )  ))</f>
        <v>1</v>
      </c>
    </row>
    <row r="18" spans="1:46">
      <c r="A18">
        <f ca="1">SUM($F$3:$AT$3)</f>
        <v>21</v>
      </c>
      <c r="B18" s="301" t="s">
        <v>430</v>
      </c>
      <c r="C18" s="301">
        <f ca="1">A18</f>
        <v>21</v>
      </c>
      <c r="D18" s="301">
        <v>3</v>
      </c>
      <c r="E18" s="301" t="s">
        <v>3</v>
      </c>
      <c r="F18" s="1">
        <f t="array" aca="1" ref="F18" ca="1">SUM(  IF($C$12 = "All IT",    IF(F$31:F$147 =$D18,       1,      0),    IF($D$31:$D$147 = $C$12,      IF(F$31:F$147 =$D18,         1,        0),    )  ))</f>
        <v>0</v>
      </c>
      <c r="H18" s="1">
        <f t="array" aca="1" ref="H18" ca="1">SUM(  IF($C$12 = "All IT",    IF(H$31:H$147 =$D18,       1,      0),    IF($D$31:$D$147 = $C$12,      IF(H$31:H$147 =$D18,         1,        0),    )  ))</f>
        <v>0</v>
      </c>
      <c r="J18" s="1">
        <f t="array" aca="1" ref="J18" ca="1">SUM(  IF($C$12 = "All IT",    IF(J$31:J$147 =$D18,       1,      0),    IF($D$31:$D$147 = $C$12,      IF(J$31:J$147 =$D18,         1,        0),    )  ))</f>
        <v>0</v>
      </c>
      <c r="L18" s="1">
        <f t="array" aca="1" ref="L18" ca="1">SUM(  IF($C$12 = "All IT",    IF(L$31:L$147 =$D18,       1,      0),    IF($D$31:$D$147 = $C$12,      IF(L$31:L$147 =$D18,         1,        0),    )  ))</f>
        <v>1</v>
      </c>
      <c r="N18" s="1">
        <f t="array" aca="1" ref="N18" ca="1">SUM(  IF($C$12 = "All IT",    IF(N$31:N$147 =$D18,       1,      0),    IF($D$31:$D$147 = $C$12,      IF(N$31:N$147 =$D18,         1,        0),    )  ))</f>
        <v>0</v>
      </c>
      <c r="P18" s="1">
        <f t="array" aca="1" ref="P18" ca="1">SUM(  IF($C$12 = "All IT",    IF(P$31:P$147 =$D18,       1,      0),    IF($D$31:$D$147 = $C$12,      IF(P$31:P$147 =$D18,         1,        0),    )  ))</f>
        <v>0</v>
      </c>
      <c r="R18" s="1">
        <f t="array" aca="1" ref="R18" ca="1">SUM(  IF($C$12 = "All IT",    IF(R$31:R$147 =$D18,       1,      0),    IF($D$31:$D$147 = $C$12,      IF(R$31:R$147 =$D18,         1,        0),    )  ))</f>
        <v>0</v>
      </c>
      <c r="T18" s="1">
        <f t="array" aca="1" ref="T18" ca="1">SUM(  IF($C$12 = "All IT",    IF(T$31:T$147 =$D18,       1,      0),    IF($D$31:$D$147 = $C$12,      IF(T$31:T$147 =$D18,         1,        0),    )  ))</f>
        <v>0</v>
      </c>
      <c r="V18" s="1">
        <f t="array" aca="1" ref="V18" ca="1">SUM(  IF($C$12 = "All IT",    IF(V$31:V$147 =$D18,       1,      0),    IF($D$31:$D$147 = $C$12,      IF(V$31:V$147 =$D18,         1,        0),    )  ))</f>
        <v>0</v>
      </c>
      <c r="X18" s="1">
        <f t="array" aca="1" ref="X18" ca="1">SUM(  IF($C$12 = "All IT",    IF(X$31:X$147 =$D18,       1,      0),    IF($D$31:$D$147 = $C$12,      IF(X$31:X$147 =$D18,         1,        0),    )  ))</f>
        <v>2</v>
      </c>
      <c r="Z18" s="1">
        <f t="array" aca="1" ref="Z18" ca="1">SUM(  IF($C$12 = "All IT",    IF(Z$31:Z$147 =$D18,       1,      0),    IF($D$31:$D$147 = $C$12,      IF(Z$31:Z$147 =$D18,         1,        0),    )  ))</f>
        <v>0</v>
      </c>
      <c r="AB18" s="1">
        <f t="array" aca="1" ref="AB18" ca="1">SUM(  IF($C$12 = "All IT",    IF(AB$31:AB$147 =$D18,       1,      0),    IF($D$31:$D$147 = $C$12,      IF(AB$31:AB$147 =$D18,         1,        0),    )  ))</f>
        <v>1</v>
      </c>
      <c r="AD18" s="1">
        <f t="array" aca="1" ref="AD18" ca="1">SUM(  IF($C$12 = "All IT",    IF(AD$31:AD$147 =$D18,       1,      0),    IF($D$31:$D$147 = $C$12,      IF(AD$31:AD$147 =$D18,         1,        0),    )  ))</f>
        <v>0</v>
      </c>
      <c r="AF18" s="1">
        <f t="array" aca="1" ref="AF18" ca="1">SUM(  IF($C$12 = "All IT",    IF(AF$31:AF$147 =$D18,       1,      0),    IF($D$31:$D$147 = $C$12,      IF(AF$31:AF$147 =$D18,         1,        0),    )  ))</f>
        <v>0</v>
      </c>
      <c r="AH18" s="1">
        <f t="array" aca="1" ref="AH18" ca="1">SUM(  IF($C$12 = "All IT",    IF(AH$31:AH$147 =$D18,       1,      0),    IF($D$31:$D$147 = $C$12,      IF(AH$31:AH$147 =$D18,         1,        0),    )  ))</f>
        <v>1</v>
      </c>
      <c r="AJ18" s="1">
        <f t="array" aca="1" ref="AJ18" ca="1">SUM(  IF($C$12 = "All IT",    IF(AJ$31:AJ$147 =$D18,       1,      0),    IF($D$31:$D$147 = $C$12,      IF(AJ$31:AJ$147 =$D18,         1,        0),    )  ))</f>
        <v>0</v>
      </c>
      <c r="AL18" s="1">
        <f t="array" aca="1" ref="AL18" ca="1">SUM(  IF($C$12 = "All IT",    IF(AL$31:AL$147 =$D18,       1,      0),    IF($D$31:$D$147 = $C$12,      IF(AL$31:AL$147 =$D18,         1,        0),    )  ))</f>
        <v>0</v>
      </c>
      <c r="AN18" s="1">
        <f t="array" aca="1" ref="AN18" ca="1">SUM(  IF($C$12 = "All IT",    IF(AN$31:AN$147 =$D18,       1,      0),    IF($D$31:$D$147 = $C$12,      IF(AN$31:AN$147 =$D18,         1,        0),    )  ))</f>
        <v>0</v>
      </c>
      <c r="AP18" s="1">
        <f t="array" aca="1" ref="AP18" ca="1">SUM(  IF($C$12 = "All IT",    IF(AP$31:AP$147 =$D18,       1,      0),    IF($D$31:$D$147 = $C$12,      IF(AP$31:AP$147 =$D18,         1,        0),    )  ))</f>
        <v>0</v>
      </c>
      <c r="AR18" s="1">
        <f t="array" aca="1" ref="AR18" ca="1">SUM(  IF($C$12 = "All IT",    IF(AR$31:AR$147 =$D18,       1,      0),    IF($D$31:$D$147 = $C$12,      IF(AR$31:AR$147 =$D18,         1,        0),    )  ))</f>
        <v>0</v>
      </c>
    </row>
    <row r="19" spans="1:46">
      <c r="D19" s="301">
        <v>2</v>
      </c>
      <c r="E19" s="301" t="s">
        <v>4</v>
      </c>
      <c r="F19" s="1">
        <f t="array" aca="1" ref="F19" ca="1">SUM(  IF($C$12 = "All IT",    IF(F$31:F$147 =$D19,       1,      0),    IF($D$31:$D$147 = $C$12,      IF(F$31:F$147 =$D19,         1,        0),    )  ))</f>
        <v>0</v>
      </c>
      <c r="H19" s="1">
        <f t="array" aca="1" ref="H19" ca="1">SUM(  IF($C$12 = "All IT",    IF(H$31:H$147 =$D19,       1,      0),    IF($D$31:$D$147 = $C$12,      IF(H$31:H$147 =$D19,         1,        0),    )  ))</f>
        <v>0</v>
      </c>
      <c r="J19" s="1">
        <f t="array" aca="1" ref="J19" ca="1">SUM(  IF($C$12 = "All IT",    IF(J$31:J$147 =$D19,       1,      0),    IF($D$31:$D$147 = $C$12,      IF(J$31:J$147 =$D19,         1,        0),    )  ))</f>
        <v>0</v>
      </c>
      <c r="L19" s="1">
        <f t="array" aca="1" ref="L19" ca="1">SUM(  IF($C$12 = "All IT",    IF(L$31:L$147 =$D19,       1,      0),    IF($D$31:$D$147 = $C$12,      IF(L$31:L$147 =$D19,         1,        0),    )  ))</f>
        <v>1</v>
      </c>
      <c r="N19" s="1">
        <f t="array" aca="1" ref="N19" ca="1">SUM(  IF($C$12 = "All IT",    IF(N$31:N$147 =$D19,       1,      0),    IF($D$31:$D$147 = $C$12,      IF(N$31:N$147 =$D19,         1,        0),    )  ))</f>
        <v>0</v>
      </c>
      <c r="P19" s="1">
        <f t="array" aca="1" ref="P19" ca="1">SUM(  IF($C$12 = "All IT",    IF(P$31:P$147 =$D19,       1,      0),    IF($D$31:$D$147 = $C$12,      IF(P$31:P$147 =$D19,         1,        0),    )  ))</f>
        <v>0</v>
      </c>
      <c r="R19" s="1">
        <f t="array" aca="1" ref="R19" ca="1">SUM(  IF($C$12 = "All IT",    IF(R$31:R$147 =$D19,       1,      0),    IF($D$31:$D$147 = $C$12,      IF(R$31:R$147 =$D19,         1,        0),    )  ))</f>
        <v>0</v>
      </c>
      <c r="T19" s="1">
        <f t="array" aca="1" ref="T19" ca="1">SUM(  IF($C$12 = "All IT",    IF(T$31:T$147 =$D19,       1,      0),    IF($D$31:$D$147 = $C$12,      IF(T$31:T$147 =$D19,         1,        0),    )  ))</f>
        <v>0</v>
      </c>
      <c r="V19" s="1">
        <f t="array" aca="1" ref="V19" ca="1">SUM(  IF($C$12 = "All IT",    IF(V$31:V$147 =$D19,       1,      0),    IF($D$31:$D$147 = $C$12,      IF(V$31:V$147 =$D19,         1,        0),    )  ))</f>
        <v>0</v>
      </c>
      <c r="X19" s="1">
        <f t="array" aca="1" ref="X19" ca="1">SUM(  IF($C$12 = "All IT",    IF(X$31:X$147 =$D19,       1,      0),    IF($D$31:$D$147 = $C$12,      IF(X$31:X$147 =$D19,         1,        0),    )  ))</f>
        <v>0</v>
      </c>
      <c r="Z19" s="1">
        <f t="array" aca="1" ref="Z19" ca="1">SUM(  IF($C$12 = "All IT",    IF(Z$31:Z$147 =$D19,       1,      0),    IF($D$31:$D$147 = $C$12,      IF(Z$31:Z$147 =$D19,         1,        0),    )  ))</f>
        <v>0</v>
      </c>
      <c r="AB19" s="1">
        <f t="array" aca="1" ref="AB19" ca="1">SUM(  IF($C$12 = "All IT",    IF(AB$31:AB$147 =$D19,       1,      0),    IF($D$31:$D$147 = $C$12,      IF(AB$31:AB$147 =$D19,         1,        0),    )  ))</f>
        <v>0</v>
      </c>
      <c r="AD19" s="1">
        <f t="array" aca="1" ref="AD19" ca="1">SUM(  IF($C$12 = "All IT",    IF(AD$31:AD$147 =$D19,       1,      0),    IF($D$31:$D$147 = $C$12,      IF(AD$31:AD$147 =$D19,         1,        0),    )  ))</f>
        <v>0</v>
      </c>
      <c r="AF19" s="1">
        <f t="array" aca="1" ref="AF19" ca="1">SUM(  IF($C$12 = "All IT",    IF(AF$31:AF$147 =$D19,       1,      0),    IF($D$31:$D$147 = $C$12,      IF(AF$31:AF$147 =$D19,         1,        0),    )  ))</f>
        <v>0</v>
      </c>
      <c r="AH19" s="1">
        <f t="array" aca="1" ref="AH19" ca="1">SUM(  IF($C$12 = "All IT",    IF(AH$31:AH$147 =$D19,       1,      0),    IF($D$31:$D$147 = $C$12,      IF(AH$31:AH$147 =$D19,         1,        0),    )  ))</f>
        <v>0</v>
      </c>
      <c r="AJ19" s="1">
        <f t="array" aca="1" ref="AJ19" ca="1">SUM(  IF($C$12 = "All IT",    IF(AJ$31:AJ$147 =$D19,       1,      0),    IF($D$31:$D$147 = $C$12,      IF(AJ$31:AJ$147 =$D19,         1,        0),    )  ))</f>
        <v>0</v>
      </c>
      <c r="AL19" s="1">
        <f t="array" aca="1" ref="AL19" ca="1">SUM(  IF($C$12 = "All IT",    IF(AL$31:AL$147 =$D19,       1,      0),    IF($D$31:$D$147 = $C$12,      IF(AL$31:AL$147 =$D19,         1,        0),    )  ))</f>
        <v>1</v>
      </c>
      <c r="AN19" s="1">
        <f t="array" aca="1" ref="AN19" ca="1">SUM(  IF($C$12 = "All IT",    IF(AN$31:AN$147 =$D19,       1,      0),    IF($D$31:$D$147 = $C$12,      IF(AN$31:AN$147 =$D19,         1,        0),    )  ))</f>
        <v>0</v>
      </c>
      <c r="AP19" s="1">
        <f t="array" aca="1" ref="AP19" ca="1">SUM(  IF($C$12 = "All IT",    IF(AP$31:AP$147 =$D19,       1,      0),    IF($D$31:$D$147 = $C$12,      IF(AP$31:AP$147 =$D19,         1,        0),    )  ))</f>
        <v>0</v>
      </c>
      <c r="AR19" s="1">
        <f t="array" aca="1" ref="AR19" ca="1">SUM(  IF($C$12 = "All IT",    IF(AR$31:AR$147 =$D19,       1,      0),    IF($D$31:$D$147 = $C$12,      IF(AR$31:AR$147 =$D19,         1,        0),    )  ))</f>
        <v>0</v>
      </c>
    </row>
    <row r="20" spans="1:46">
      <c r="D20" s="301">
        <v>1</v>
      </c>
      <c r="E20" s="301" t="s">
        <v>433</v>
      </c>
      <c r="F20" s="1">
        <f t="array" aca="1" ref="F20" ca="1">SUM(  IF($C$12 = "All IT",    IF(F$31:F$147 =$D20,       1,      0),    IF($D$31:$D$147 = $C$12,      IF(F$31:F$147 =$D20,         1,        0),    )  ))</f>
        <v>0</v>
      </c>
      <c r="H20" s="1">
        <f t="array" aca="1" ref="H20" ca="1">SUM(  IF($C$12 = "All IT",    IF(H$31:H$147 =$D20,       1,      0),    IF($D$31:$D$147 = $C$12,      IF(H$31:H$147 =$D20,         1,        0),    )  ))</f>
        <v>0</v>
      </c>
      <c r="J20" s="1">
        <f t="array" aca="1" ref="J20" ca="1">SUM(  IF($C$12 = "All IT",    IF(J$31:J$147 =$D20,       1,      0),    IF($D$31:$D$147 = $C$12,      IF(J$31:J$147 =$D20,         1,        0),    )  ))</f>
        <v>0</v>
      </c>
      <c r="L20" s="1">
        <f t="array" aca="1" ref="L20" ca="1">SUM(  IF($C$12 = "All IT",    IF(L$31:L$147 =$D20,       1,      0),    IF($D$31:$D$147 = $C$12,      IF(L$31:L$147 =$D20,         1,        0),    )  ))</f>
        <v>0</v>
      </c>
      <c r="N20" s="1">
        <f t="array" aca="1" ref="N20" ca="1">SUM(  IF($C$12 = "All IT",    IF(N$31:N$147 =$D20,       1,      0),    IF($D$31:$D$147 = $C$12,      IF(N$31:N$147 =$D20,         1,        0),    )  ))</f>
        <v>0</v>
      </c>
      <c r="P20" s="1">
        <f t="array" aca="1" ref="P20" ca="1">SUM(  IF($C$12 = "All IT",    IF(P$31:P$147 =$D20,       1,      0),    IF($D$31:$D$147 = $C$12,      IF(P$31:P$147 =$D20,         1,        0),    )  ))</f>
        <v>0</v>
      </c>
      <c r="R20" s="1">
        <f t="array" aca="1" ref="R20" ca="1">SUM(  IF($C$12 = "All IT",    IF(R$31:R$147 =$D20,       1,      0),    IF($D$31:$D$147 = $C$12,      IF(R$31:R$147 =$D20,         1,        0),    )  ))</f>
        <v>0</v>
      </c>
      <c r="T20" s="1">
        <f t="array" aca="1" ref="T20" ca="1">SUM(  IF($C$12 = "All IT",    IF(T$31:T$147 =$D20,       1,      0),    IF($D$31:$D$147 = $C$12,      IF(T$31:T$147 =$D20,         1,        0),    )  ))</f>
        <v>0</v>
      </c>
      <c r="V20" s="1">
        <f t="array" aca="1" ref="V20" ca="1">SUM(  IF($C$12 = "All IT",    IF(V$31:V$147 =$D20,       1,      0),    IF($D$31:$D$147 = $C$12,      IF(V$31:V$147 =$D20,         1,        0),    )  ))</f>
        <v>0</v>
      </c>
      <c r="X20" s="1">
        <f t="array" aca="1" ref="X20" ca="1">SUM(  IF($C$12 = "All IT",    IF(X$31:X$147 =$D20,       1,      0),    IF($D$31:$D$147 = $C$12,      IF(X$31:X$147 =$D20,         1,        0),    )  ))</f>
        <v>0</v>
      </c>
      <c r="Z20" s="1">
        <f t="array" aca="1" ref="Z20" ca="1">SUM(  IF($C$12 = "All IT",    IF(Z$31:Z$147 =$D20,       1,      0),    IF($D$31:$D$147 = $C$12,      IF(Z$31:Z$147 =$D20,         1,        0),    )  ))</f>
        <v>0</v>
      </c>
      <c r="AB20" s="1">
        <f t="array" aca="1" ref="AB20" ca="1">SUM(  IF($C$12 = "All IT",    IF(AB$31:AB$147 =$D20,       1,      0),    IF($D$31:$D$147 = $C$12,      IF(AB$31:AB$147 =$D20,         1,        0),    )  ))</f>
        <v>0</v>
      </c>
      <c r="AD20" s="1">
        <f t="array" aca="1" ref="AD20" ca="1">SUM(  IF($C$12 = "All IT",    IF(AD$31:AD$147 =$D20,       1,      0),    IF($D$31:$D$147 = $C$12,      IF(AD$31:AD$147 =$D20,         1,        0),    )  ))</f>
        <v>0</v>
      </c>
      <c r="AF20" s="1">
        <f t="array" aca="1" ref="AF20" ca="1">SUM(  IF($C$12 = "All IT",    IF(AF$31:AF$147 =$D20,       1,      0),    IF($D$31:$D$147 = $C$12,      IF(AF$31:AF$147 =$D20,         1,        0),    )  ))</f>
        <v>0</v>
      </c>
      <c r="AH20" s="1">
        <f t="array" aca="1" ref="AH20" ca="1">SUM(  IF($C$12 = "All IT",    IF(AH$31:AH$147 =$D20,       1,      0),    IF($D$31:$D$147 = $C$12,      IF(AH$31:AH$147 =$D20,         1,        0),    )  ))</f>
        <v>0</v>
      </c>
      <c r="AJ20" s="1">
        <f t="array" aca="1" ref="AJ20" ca="1">SUM(  IF($C$12 = "All IT",    IF(AJ$31:AJ$147 =$D20,       1,      0),    IF($D$31:$D$147 = $C$12,      IF(AJ$31:AJ$147 =$D20,         1,        0),    )  ))</f>
        <v>0</v>
      </c>
      <c r="AL20" s="1">
        <f t="array" aca="1" ref="AL20" ca="1">SUM(  IF($C$12 = "All IT",    IF(AL$31:AL$147 =$D20,       1,      0),    IF($D$31:$D$147 = $C$12,      IF(AL$31:AL$147 =$D20,         1,        0),    )  ))</f>
        <v>0</v>
      </c>
      <c r="AN20" s="1">
        <f t="array" aca="1" ref="AN20" ca="1">SUM(  IF($C$12 = "All IT",    IF(AN$31:AN$147 =$D20,       1,      0),    IF($D$31:$D$147 = $C$12,      IF(AN$31:AN$147 =$D20,         1,        0),    )  ))</f>
        <v>0</v>
      </c>
      <c r="AP20" s="1">
        <f t="array" aca="1" ref="AP20" ca="1">SUM(  IF($C$12 = "All IT",    IF(AP$31:AP$147 =$D20,       1,      0),    IF($D$31:$D$147 = $C$12,      IF(AP$31:AP$147 =$D20,         1,        0),    )  ))</f>
        <v>0</v>
      </c>
      <c r="AR20" s="1">
        <f t="array" aca="1" ref="AR20" ca="1">SUM(  IF($C$12 = "All IT",    IF(AR$31:AR$147 =$D20,       1,      0),    IF($D$31:$D$147 = $C$12,      IF(AR$31:AR$147 =$D20,         1,        0),    )  ))</f>
        <v>0</v>
      </c>
    </row>
    <row r="21" spans="1:46">
      <c r="D21" s="301">
        <v>6</v>
      </c>
      <c r="E21" s="301" t="s">
        <v>6</v>
      </c>
      <c r="F21" s="1">
        <f t="array" aca="1" ref="F21" ca="1">SUM(  IF($C$12 = "All IT",    IF(F$31:F$147 =$D21,       1,      0),    IF($D$31:$D$147 = $C$12,      IF(F$31:F$147 =$D21,         1,        0),    )  ))</f>
        <v>0</v>
      </c>
      <c r="H21" s="1">
        <f t="array" aca="1" ref="H21" ca="1">SUM(  IF($C$12 = "All IT",    IF(H$31:H$147 =$D21,       1,      0),    IF($D$31:$D$147 = $C$12,      IF(H$31:H$147 =$D21,         1,        0),    )  ))</f>
        <v>0</v>
      </c>
      <c r="J21" s="1">
        <f t="array" aca="1" ref="J21" ca="1">SUM(  IF($C$12 = "All IT",    IF(J$31:J$147 =$D21,       1,      0),    IF($D$31:$D$147 = $C$12,      IF(J$31:J$147 =$D21,         1,        0),    )  ))</f>
        <v>0</v>
      </c>
      <c r="L21" s="1">
        <f t="array" aca="1" ref="L21" ca="1">SUM(  IF($C$12 = "All IT",    IF(L$31:L$147 =$D21,       1,      0),    IF($D$31:$D$147 = $C$12,      IF(L$31:L$147 =$D21,         1,        0),    )  ))</f>
        <v>0</v>
      </c>
      <c r="N21" s="1">
        <f t="array" aca="1" ref="N21" ca="1">SUM(  IF($C$12 = "All IT",    IF(N$31:N$147 =$D21,       1,      0),    IF($D$31:$D$147 = $C$12,      IF(N$31:N$147 =$D21,         1,        0),    )  ))</f>
        <v>0</v>
      </c>
      <c r="P21" s="1">
        <f t="array" aca="1" ref="P21" ca="1">SUM(  IF($C$12 = "All IT",    IF(P$31:P$147 =$D21,       1,      0),    IF($D$31:$D$147 = $C$12,      IF(P$31:P$147 =$D21,         1,        0),    )  ))</f>
        <v>0</v>
      </c>
      <c r="R21" s="1">
        <f t="array" aca="1" ref="R21" ca="1">SUM(  IF($C$12 = "All IT",    IF(R$31:R$147 =$D21,       1,      0),    IF($D$31:$D$147 = $C$12,      IF(R$31:R$147 =$D21,         1,        0),    )  ))</f>
        <v>0</v>
      </c>
      <c r="T21" s="1">
        <f t="array" aca="1" ref="T21" ca="1">SUM(  IF($C$12 = "All IT",    IF(T$31:T$147 =$D21,       1,      0),    IF($D$31:$D$147 = $C$12,      IF(T$31:T$147 =$D21,         1,        0),    )  ))</f>
        <v>0</v>
      </c>
      <c r="V21" s="1">
        <f t="array" aca="1" ref="V21" ca="1">SUM(  IF($C$12 = "All IT",    IF(V$31:V$147 =$D21,       1,      0),    IF($D$31:$D$147 = $C$12,      IF(V$31:V$147 =$D21,         1,        0),    )  ))</f>
        <v>0</v>
      </c>
      <c r="X21" s="1">
        <f t="array" aca="1" ref="X21" ca="1">SUM(  IF($C$12 = "All IT",    IF(X$31:X$147 =$D21,       1,      0),    IF($D$31:$D$147 = $C$12,      IF(X$31:X$147 =$D21,         1,        0),    )  ))</f>
        <v>0</v>
      </c>
      <c r="Z21" s="1">
        <f t="array" aca="1" ref="Z21" ca="1">SUM(  IF($C$12 = "All IT",    IF(Z$31:Z$147 =$D21,       1,      0),    IF($D$31:$D$147 = $C$12,      IF(Z$31:Z$147 =$D21,         1,        0),    )  ))</f>
        <v>0</v>
      </c>
      <c r="AB21" s="1">
        <f t="array" aca="1" ref="AB21" ca="1">SUM(  IF($C$12 = "All IT",    IF(AB$31:AB$147 =$D21,       1,      0),    IF($D$31:$D$147 = $C$12,      IF(AB$31:AB$147 =$D21,         1,        0),    )  ))</f>
        <v>0</v>
      </c>
      <c r="AD21" s="1">
        <f t="array" aca="1" ref="AD21" ca="1">SUM(  IF($C$12 = "All IT",    IF(AD$31:AD$147 =$D21,       1,      0),    IF($D$31:$D$147 = $C$12,      IF(AD$31:AD$147 =$D21,         1,        0),    )  ))</f>
        <v>3</v>
      </c>
      <c r="AF21" s="1">
        <f t="array" aca="1" ref="AF21" ca="1">SUM(  IF($C$12 = "All IT",    IF(AF$31:AF$147 =$D21,       1,      0),    IF($D$31:$D$147 = $C$12,      IF(AF$31:AF$147 =$D21,         1,        0),    )  ))</f>
        <v>3</v>
      </c>
      <c r="AH21" s="1">
        <f t="array" aca="1" ref="AH21" ca="1">SUM(  IF($C$12 = "All IT",    IF(AH$31:AH$147 =$D21,       1,      0),    IF($D$31:$D$147 = $C$12,      IF(AH$31:AH$147 =$D21,         1,        0),    )  ))</f>
        <v>1</v>
      </c>
      <c r="AJ21" s="1">
        <f t="array" aca="1" ref="AJ21" ca="1">SUM(  IF($C$12 = "All IT",    IF(AJ$31:AJ$147 =$D21,       1,      0),    IF($D$31:$D$147 = $C$12,      IF(AJ$31:AJ$147 =$D21,         1,        0),    )  ))</f>
        <v>3</v>
      </c>
      <c r="AL21" s="1">
        <f t="array" aca="1" ref="AL21" ca="1">SUM(  IF($C$12 = "All IT",    IF(AL$31:AL$147 =$D21,       1,      0),    IF($D$31:$D$147 = $C$12,      IF(AL$31:AL$147 =$D21,         1,        0),    )  ))</f>
        <v>2</v>
      </c>
      <c r="AN21" s="1">
        <f t="array" aca="1" ref="AN21" ca="1">SUM(  IF($C$12 = "All IT",    IF(AN$31:AN$147 =$D21,       1,      0),    IF($D$31:$D$147 = $C$12,      IF(AN$31:AN$147 =$D21,         1,        0),    )  ))</f>
        <v>2</v>
      </c>
      <c r="AP21" s="1">
        <f t="array" aca="1" ref="AP21" ca="1">SUM(  IF($C$12 = "All IT",    IF(AP$31:AP$147 =$D21,       1,      0),    IF($D$31:$D$147 = $C$12,      IF(AP$31:AP$147 =$D21,         1,        0),    )  ))</f>
        <v>0</v>
      </c>
      <c r="AR21" s="1">
        <f t="array" aca="1" ref="AR21" ca="1">SUM(  IF($C$12 = "All IT",    IF(AR$31:AR$147 =$D21,       1,      0),    IF($D$31:$D$147 = $C$12,      IF(AR$31:AR$147 =$D21,         1,        0),    )  ))</f>
        <v>3</v>
      </c>
    </row>
    <row r="22" spans="1:46">
      <c r="D22" s="301">
        <v>0</v>
      </c>
      <c r="E22" s="301" t="s">
        <v>19</v>
      </c>
      <c r="F22" s="1">
        <f t="array" aca="1" ref="F22" ca="1">SUM(  IF($C$12 = "All IT",    IF(F$31:F$147 =$D22,       1,      0),    IF($D$31:$D$147 = $C$12,      IF(F$31:F$147 =$D22,         1,        0),    )  ))</f>
        <v>0</v>
      </c>
      <c r="H22" s="1">
        <f t="array" aca="1" ref="H22" ca="1">SUM(  IF($C$12 = "All IT",    IF(H$31:H$147 =$D22,       1,      0),    IF($D$31:$D$147 = $C$12,      IF(H$31:H$147 =$D22,         1,        0),    )  ))</f>
        <v>0</v>
      </c>
      <c r="J22" s="1">
        <f t="array" aca="1" ref="J22" ca="1">SUM(  IF($C$12 = "All IT",    IF(J$31:J$147 =$D22,       1,      0),    IF($D$31:$D$147 = $C$12,      IF(J$31:J$147 =$D22,         1,        0),    )  ))</f>
        <v>0</v>
      </c>
      <c r="L22" s="1">
        <f t="array" aca="1" ref="L22" ca="1">SUM(  IF($C$12 = "All IT",    IF(L$31:L$147 =$D22,       1,      0),    IF($D$31:$D$147 = $C$12,      IF(L$31:L$147 =$D22,         1,        0),    )  ))</f>
        <v>0</v>
      </c>
      <c r="N22" s="1">
        <f t="array" aca="1" ref="N22" ca="1">SUM(  IF($C$12 = "All IT",    IF(N$31:N$147 =$D22,       1,      0),    IF($D$31:$D$147 = $C$12,      IF(N$31:N$147 =$D22,         1,        0),    )  ))</f>
        <v>0</v>
      </c>
      <c r="P22" s="1">
        <f t="array" aca="1" ref="P22" ca="1">SUM(  IF($C$12 = "All IT",    IF(P$31:P$147 =$D22,       1,      0),    IF($D$31:$D$147 = $C$12,      IF(P$31:P$147 =$D22,         1,        0),    )  ))</f>
        <v>0</v>
      </c>
      <c r="R22" s="1">
        <f t="array" aca="1" ref="R22" ca="1">SUM(  IF($C$12 = "All IT",    IF(R$31:R$147 =$D22,       1,      0),    IF($D$31:$D$147 = $C$12,      IF(R$31:R$147 =$D22,         1,        0),    )  ))</f>
        <v>0</v>
      </c>
      <c r="T22" s="1">
        <f t="array" aca="1" ref="T22" ca="1">SUM(  IF($C$12 = "All IT",    IF(T$31:T$147 =$D22,       1,      0),    IF($D$31:$D$147 = $C$12,      IF(T$31:T$147 =$D22,         1,        0),    )  ))</f>
        <v>0</v>
      </c>
      <c r="V22" s="1">
        <f t="array" aca="1" ref="V22" ca="1">SUM(  IF($C$12 = "All IT",    IF(V$31:V$147 =$D22,       1,      0),    IF($D$31:$D$147 = $C$12,      IF(V$31:V$147 =$D22,         1,        0),    )  ))</f>
        <v>0</v>
      </c>
      <c r="X22" s="1">
        <f t="array" aca="1" ref="X22" ca="1">SUM(  IF($C$12 = "All IT",    IF(X$31:X$147 =$D22,       1,      0),    IF($D$31:$D$147 = $C$12,      IF(X$31:X$147 =$D22,         1,        0),    )  ))</f>
        <v>0</v>
      </c>
      <c r="Z22" s="1">
        <f t="array" aca="1" ref="Z22" ca="1">SUM(  IF($C$12 = "All IT",    IF(Z$31:Z$147 =$D22,       1,      0),    IF($D$31:$D$147 = $C$12,      IF(Z$31:Z$147 =$D22,         1,        0),    )  ))</f>
        <v>0</v>
      </c>
      <c r="AB22" s="1">
        <f t="array" aca="1" ref="AB22" ca="1">SUM(  IF($C$12 = "All IT",    IF(AB$31:AB$147 =$D22,       1,      0),    IF($D$31:$D$147 = $C$12,      IF(AB$31:AB$147 =$D22,         1,        0),    )  ))</f>
        <v>0</v>
      </c>
      <c r="AD22" s="1">
        <f t="array" aca="1" ref="AD22" ca="1">SUM(  IF($C$12 = "All IT",    IF(AD$31:AD$147 =$D22,       1,      0),    IF($D$31:$D$147 = $C$12,      IF(AD$31:AD$147 =$D22,         1,        0),    )  ))</f>
        <v>0</v>
      </c>
      <c r="AF22" s="1">
        <f t="array" aca="1" ref="AF22" ca="1">SUM(  IF($C$12 = "All IT",    IF(AF$31:AF$147 =$D22,       1,      0),    IF($D$31:$D$147 = $C$12,      IF(AF$31:AF$147 =$D22,         1,        0),    )  ))</f>
        <v>0</v>
      </c>
      <c r="AH22" s="1">
        <f t="array" aca="1" ref="AH22" ca="1">SUM(  IF($C$12 = "All IT",    IF(AH$31:AH$147 =$D22,       1,      0),    IF($D$31:$D$147 = $C$12,      IF(AH$31:AH$147 =$D22,         1,        0),    )  ))</f>
        <v>0</v>
      </c>
      <c r="AJ22" s="1">
        <f t="array" aca="1" ref="AJ22" ca="1">SUM(  IF($C$12 = "All IT",    IF(AJ$31:AJ$147 =$D22,       1,      0),    IF($D$31:$D$147 = $C$12,      IF(AJ$31:AJ$147 =$D22,         1,        0),    )  ))</f>
        <v>0</v>
      </c>
      <c r="AL22" s="1">
        <f t="array" aca="1" ref="AL22" ca="1">SUM(  IF($C$12 = "All IT",    IF(AL$31:AL$147 =$D22,       1,      0),    IF($D$31:$D$147 = $C$12,      IF(AL$31:AL$147 =$D22,         1,        0),    )  ))</f>
        <v>0</v>
      </c>
      <c r="AN22" s="1">
        <f t="array" aca="1" ref="AN22" ca="1">SUM(  IF($C$12 = "All IT",    IF(AN$31:AN$147 =$D22,       1,      0),    IF($D$31:$D$147 = $C$12,      IF(AN$31:AN$147 =$D22,         1,        0),    )  ))</f>
        <v>0</v>
      </c>
      <c r="AP22" s="1">
        <f t="array" aca="1" ref="AP22" ca="1">SUM(  IF($C$12 = "All IT",    IF(AP$31:AP$147 =$D22,       1,      0),    IF($D$31:$D$147 = $C$12,      IF(AP$31:AP$147 =$D22,         1,        0),    )  ))</f>
        <v>0</v>
      </c>
      <c r="AR22" s="1">
        <f t="array" aca="1" ref="AR22" ca="1">SUM(  IF($C$12 = "All IT",    IF(AR$31:AR$147 =$D22,       1,      0),    IF($D$31:$D$147 = $C$12,      IF(AR$31:AR$147 =$D22,         1,        0),    )  ))</f>
        <v>0</v>
      </c>
    </row>
    <row r="23" spans="1:46">
      <c r="B23" s="301" t="s">
        <v>431</v>
      </c>
      <c r="C23" s="301">
        <f t="array" aca="1" ref="C23" ca="1">IF($C$12="All IT",$C$14-$C$13+1,SUM(IF(INDIRECT("R"&amp;$C$13&amp;"C4:R"&amp;$C$14&amp;"C4",FALSE) = $C$12,1,0)))</f>
        <v>4</v>
      </c>
      <c r="F23" s="1">
        <f ca="1">SUM(F16:F22)</f>
        <v>4</v>
      </c>
      <c r="H23" s="1">
        <f ca="1">SUM(F16:F22)</f>
        <v>4</v>
      </c>
      <c r="J23" s="1">
        <f ca="1">SUM(F16:F22)</f>
        <v>4</v>
      </c>
      <c r="L23" s="1">
        <f ca="1">SUM(F16:F22)</f>
        <v>4</v>
      </c>
      <c r="N23" s="1">
        <f ca="1">SUM(F16:F22)</f>
        <v>4</v>
      </c>
      <c r="P23" s="1">
        <f ca="1">SUM(F16:F22)</f>
        <v>4</v>
      </c>
      <c r="R23" s="1">
        <f ca="1">SUM(F16:F22)</f>
        <v>4</v>
      </c>
      <c r="T23" s="1">
        <f ca="1">SUM(F16:F22)</f>
        <v>4</v>
      </c>
      <c r="V23" s="1">
        <f ca="1">SUM(F16:F22)</f>
        <v>4</v>
      </c>
      <c r="X23" s="1">
        <f ca="1">SUM(F16:F22)</f>
        <v>4</v>
      </c>
      <c r="Z23" s="1">
        <f ca="1">SUM(F16:F22)</f>
        <v>4</v>
      </c>
      <c r="AB23" s="1">
        <f ca="1">SUM(F16:F22)</f>
        <v>4</v>
      </c>
      <c r="AD23" s="1">
        <f ca="1">SUM(F16:F22)</f>
        <v>4</v>
      </c>
      <c r="AF23" s="1">
        <f ca="1">SUM(F16:F22)</f>
        <v>4</v>
      </c>
      <c r="AH23" s="1">
        <f ca="1">SUM(F16:F22)</f>
        <v>4</v>
      </c>
      <c r="AJ23" s="1">
        <f ca="1">SUM(F16:F22)</f>
        <v>4</v>
      </c>
      <c r="AL23" s="1">
        <f ca="1">SUM(F16:F22)</f>
        <v>4</v>
      </c>
      <c r="AN23" s="1">
        <f ca="1">SUM(F16:F22)</f>
        <v>4</v>
      </c>
      <c r="AP23" s="1">
        <f ca="1">SUM(F16:F22)</f>
        <v>4</v>
      </c>
      <c r="AR23" s="1">
        <f ca="1">SUM(F16:F22)</f>
        <v>4</v>
      </c>
    </row>
    <row r="24" spans="1:46">
      <c r="B24" s="583" t="s">
        <v>448</v>
      </c>
      <c r="C24" s="223">
        <f>IFERROR(AVERAGE($F24, $H24, $J24, $L24, $N24, $P24, $R24, $T24, $V24, $X24, $Z24, $AB24, $AD24, $AF24, $AH24, $AJ24, $AL24, $AN24, $AP24, $AR24), "No Data")</f>
        <v>3.9642682526862232</v>
      </c>
      <c r="E24" s="301" t="s">
        <v>434</v>
      </c>
      <c r="F24" s="224">
        <f t="array" ref="F24">IFERROR(AVERAGE(   IF(F$31:F$147 &lt; 6,       F$31:F$147,       ""    )), "No Data")</f>
        <v>3.8205128205128207</v>
      </c>
      <c r="H24" s="224">
        <f t="array" ref="H24">IFERROR(AVERAGE(   IF(H$31:H$147 &lt; 6,       H$31:H$147,       ""    )), "No Data")</f>
        <v>3.8547008547008548</v>
      </c>
      <c r="J24" s="224">
        <f t="array" ref="J24">IFERROR(AVERAGE(   IF(J$31:J$147 &lt; 6,       J$31:J$147,       ""    )), "No Data")</f>
        <v>3.8290598290598292</v>
      </c>
      <c r="L24" s="224">
        <f t="array" ref="L24">IFERROR(AVERAGE(   IF(L$31:L$147 &lt; 6,       L$31:L$147,       ""    )), "No Data")</f>
        <v>3.9561403508771931</v>
      </c>
      <c r="N24" s="224">
        <f t="array" ref="N24">IFERROR(AVERAGE(   IF(N$31:N$147 &lt; 6,       N$31:N$147,       ""    )), "No Data")</f>
        <v>3.9914529914529915</v>
      </c>
      <c r="P24" s="224">
        <f t="array" ref="P24">IFERROR(AVERAGE(   IF(P$31:P$147 &lt; 6,       P$31:P$147,       ""    )), "No Data")</f>
        <v>4.2735042735042734</v>
      </c>
      <c r="R24" s="224">
        <f t="array" ref="R24">IFERROR(AVERAGE(   IF(R$31:R$147 &lt; 6,       R$31:R$147,       ""    )), "No Data")</f>
        <v>4.2820512820512819</v>
      </c>
      <c r="T24" s="224">
        <f t="array" ref="T24">IFERROR(AVERAGE(   IF(T$31:T$147 &lt; 6,       T$31:T$147,       ""    )), "No Data")</f>
        <v>4.3675213675213671</v>
      </c>
      <c r="V24" s="224">
        <f t="array" ref="V24">IFERROR(AVERAGE(   IF(V$31:V$147 &lt; 6,       V$31:V$147,       ""    )), "No Data")</f>
        <v>3.9487179487179489</v>
      </c>
      <c r="X24" s="224">
        <f t="array" ref="X24">IFERROR(AVERAGE(   IF(X$31:X$147 &lt; 6,       X$31:X$147,       ""    )), "No Data")</f>
        <v>4.1196581196581192</v>
      </c>
      <c r="Z24" s="224">
        <f t="array" ref="Z24">IFERROR(AVERAGE(   IF(Z$31:Z$147 &lt; 6,       Z$31:Z$147,       ""    )), "No Data")</f>
        <v>4.2136752136752138</v>
      </c>
      <c r="AB24" s="224">
        <f t="array" ref="AB24">IFERROR(AVERAGE(   IF(AB$31:AB$147 &lt; 6,       AB$31:AB$147,       ""    )), "No Data")</f>
        <v>4.316239316239316</v>
      </c>
      <c r="AD24" s="224">
        <f t="array" ref="AD24">IFERROR(AVERAGE(   IF(AD$31:AD$147 &lt; 6,       AD$31:AD$147,       ""    )), "No Data")</f>
        <v>3.8090909090909091</v>
      </c>
      <c r="AF24" s="224">
        <f t="array" ref="AF24">IFERROR(AVERAGE(   IF(AF$31:AF$147 &lt; 6,       AF$31:AF$147,       ""    )), "No Data")</f>
        <v>3.6818181818181817</v>
      </c>
      <c r="AH24" s="224">
        <f t="array" ref="AH24">IFERROR(AVERAGE(   IF(AH$31:AH$147 &lt; 6,       AH$31:AH$147,       ""    )), "No Data")</f>
        <v>4.0087719298245617</v>
      </c>
      <c r="AJ24" s="224">
        <f t="array" ref="AJ24">IFERROR(AVERAGE(   IF(AJ$31:AJ$147 &lt; 6,       AJ$31:AJ$147,       ""    )), "No Data")</f>
        <v>3.7567567567567566</v>
      </c>
      <c r="AL24" s="224">
        <f t="array" ref="AL24">IFERROR(AVERAGE(   IF(AL$31:AL$147 &lt; 6,       AL$31:AL$147,       ""    )), "No Data")</f>
        <v>3.7391304347826089</v>
      </c>
      <c r="AN24" s="224">
        <f t="array" ref="AN24">IFERROR(AVERAGE(   IF(AN$31:AN$147 &lt; 6,       AN$31:AN$147,       ""    )), "No Data")</f>
        <v>4.0608695652173914</v>
      </c>
      <c r="AP24" s="224">
        <f t="array" ref="AP24">IFERROR(AVERAGE(   IF(AP$31:AP$147 &lt; 6,       AP$31:AP$147,       ""    )), "No Data")</f>
        <v>3.6896551724137931</v>
      </c>
      <c r="AR24" s="224">
        <f t="array" ref="AR24">IFERROR(AVERAGE(   IF(AR$31:AR$147 &lt; 6,       AR$31:AR$147,       ""    )), "No Data")</f>
        <v>3.5660377358490565</v>
      </c>
    </row>
    <row r="25" spans="1:46" ht="25.5">
      <c r="B25" s="583" t="s">
        <v>449</v>
      </c>
      <c r="C25" s="223">
        <f ca="1">IFERROR(AVERAGE($F25, $H25, $J25, $L25, $N25, $P25, $R25, $T25, $V25, $X25, $Z25, $AB25, $AD25, $AF25, $AH25, $AJ25, $AL25, $AN25, $AP25, $AR25), "No Data")</f>
        <v>0.30863655045137628</v>
      </c>
      <c r="D25" s="1"/>
      <c r="E25" s="301" t="s">
        <v>435</v>
      </c>
      <c r="F25" s="224">
        <f t="array" aca="1" ref="F25" ca="1">IFERROR(STDEVP(  IF($C$12 = "All IT",    IF(F$31:F$147 &lt; 6,       F$31:F$147,       ""    ),    IF($C$12 = $D$31:$D$147,      IF(F$31:F$147 &lt; 6,         F$31:F$147,         ""      )    )  )), "No Data")</f>
        <v>0.4330127018922193</v>
      </c>
      <c r="H25" s="224">
        <f t="array" aca="1" ref="H25" ca="1">IFERROR(STDEVP(  IF($C$12 = "All IT",    IF(H$31:H$147 &lt; 6,       H$31:H$147,       ""    ),    IF($C$12 = $D$31:$D$147,      IF(H$31:H$147 &lt; 6,         H$31:H$147,         ""      )    )  )), "No Data")</f>
        <v>0</v>
      </c>
      <c r="J25" s="224">
        <f t="array" aca="1" ref="J25" ca="1">IFERROR(STDEVP(  IF($C$12 = "All IT",    IF(J$31:J$147 &lt; 6,       J$31:J$147,       ""    ),    IF($C$12 = $D$31:$D$147,      IF(J$31:J$147 &lt; 6,         J$31:J$147,         ""      )    )  )), "No Data")</f>
        <v>0</v>
      </c>
      <c r="L25" s="224">
        <f t="array" aca="1" ref="L25" ca="1">IFERROR(STDEVP(  IF($C$12 = "All IT",    IF(L$31:L$147 &lt; 6,       L$31:L$147,       ""    ),    IF($C$12 = $D$31:$D$147,      IF(L$31:L$147 &lt; 6,         L$31:L$147,         ""      )    )  )), "No Data")</f>
        <v>0.82915619758884995</v>
      </c>
      <c r="N25" s="224">
        <f t="array" aca="1" ref="N25" ca="1">IFERROR(STDEVP(  IF($C$12 = "All IT",    IF(N$31:N$147 &lt; 6,       N$31:N$147,       ""    ),    IF($C$12 = $D$31:$D$147,      IF(N$31:N$147 &lt; 6,         N$31:N$147,         ""      )    )  )), "No Data")</f>
        <v>0</v>
      </c>
      <c r="P25" s="224">
        <f t="array" aca="1" ref="P25" ca="1">IFERROR(STDEVP(  IF($C$12 = "All IT",    IF(P$31:P$147 &lt; 6,       P$31:P$147,       ""    ),    IF($C$12 = $D$31:$D$147,      IF(P$31:P$147 &lt; 6,         P$31:P$147,         ""      )    )  )), "No Data")</f>
        <v>0</v>
      </c>
      <c r="R25" s="224">
        <f t="array" aca="1" ref="R25" ca="1">IFERROR(STDEVP(  IF($C$12 = "All IT",    IF(R$31:R$147 &lt; 6,       R$31:R$147,       ""    ),    IF($C$12 = $D$31:$D$147,      IF(R$31:R$147 &lt; 6,         R$31:R$147,         ""      )    )  )), "No Data")</f>
        <v>0.4330127018922193</v>
      </c>
      <c r="T25" s="224">
        <f t="array" aca="1" ref="T25" ca="1">IFERROR(STDEVP(  IF($C$12 = "All IT",    IF(T$31:T$147 &lt; 6,       T$31:T$147,       ""    ),    IF($C$12 = $D$31:$D$147,      IF(T$31:T$147 &lt; 6,         T$31:T$147,         ""      )    )  )), "No Data")</f>
        <v>0.4330127018922193</v>
      </c>
      <c r="V25" s="224">
        <f t="array" aca="1" ref="V25" ca="1">IFERROR(STDEVP(  IF($C$12 = "All IT",    IF(V$31:V$147 &lt; 6,       V$31:V$147,       ""    ),    IF($C$12 = $D$31:$D$147,      IF(V$31:V$147 &lt; 6,         V$31:V$147,         ""      )    )  )), "No Data")</f>
        <v>0.4330127018922193</v>
      </c>
      <c r="X25" s="224">
        <f t="array" aca="1" ref="X25" ca="1">IFERROR(STDEVP(  IF($C$12 = "All IT",    IF(X$31:X$147 &lt; 6,       X$31:X$147,       ""    ),    IF($C$12 = $D$31:$D$147,      IF(X$31:X$147 &lt; 6,         X$31:X$147,         ""      )    )  )), "No Data")</f>
        <v>1</v>
      </c>
      <c r="Z25" s="224">
        <f t="array" aca="1" ref="Z25" ca="1">IFERROR(STDEVP(  IF($C$12 = "All IT",    IF(Z$31:Z$147 &lt; 6,       Z$31:Z$147,       ""    ),    IF($C$12 = $D$31:$D$147,      IF(Z$31:Z$147 &lt; 6,         Z$31:Z$147,         ""      )    )  )), "No Data")</f>
        <v>0.4330127018922193</v>
      </c>
      <c r="AB25" s="224">
        <f t="array" aca="1" ref="AB25" ca="1">IFERROR(STDEVP(  IF($C$12 = "All IT",    IF(AB$31:AB$147 &lt; 6,       AB$31:AB$147,       ""    ),    IF($C$12 = $D$31:$D$147,      IF(AB$31:AB$147 &lt; 6,         AB$31:AB$147,         ""      )    )  )), "No Data")</f>
        <v>0.70710678118654757</v>
      </c>
      <c r="AD25" s="224">
        <f t="array" aca="1" ref="AD25" ca="1">IFERROR(STDEVP(  IF($C$12 = "All IT",    IF(AD$31:AD$147 &lt; 6,       AD$31:AD$147,       ""    ),    IF($C$12 = $D$31:$D$147,      IF(AD$31:AD$147 &lt; 6,         AD$31:AD$147,         ""      )    )  )), "No Data")</f>
        <v>0</v>
      </c>
      <c r="AF25" s="224">
        <f t="array" aca="1" ref="AF25" ca="1">IFERROR(STDEVP(  IF($C$12 = "All IT",    IF(AF$31:AF$147 &lt; 6,       AF$31:AF$147,       ""    ),    IF($C$12 = $D$31:$D$147,      IF(AF$31:AF$147 &lt; 6,         AF$31:AF$147,         ""      )    )  )), "No Data")</f>
        <v>0</v>
      </c>
      <c r="AH25" s="224">
        <f t="array" aca="1" ref="AH25" ca="1">IFERROR(STDEVP(  IF($C$12 = "All IT",    IF(AH$31:AH$147 &lt; 6,       AH$31:AH$147,       ""    ),    IF($C$12 = $D$31:$D$147,      IF(AH$31:AH$147 &lt; 6,         AH$31:AH$147,         ""      )    )  )), "No Data")</f>
        <v>0.47140452079103168</v>
      </c>
      <c r="AJ25" s="224">
        <f t="array" aca="1" ref="AJ25" ca="1">IFERROR(STDEVP(  IF($C$12 = "All IT",    IF(AJ$31:AJ$147 &lt; 6,       AJ$31:AJ$147,       ""    ),    IF($C$12 = $D$31:$D$147,      IF(AJ$31:AJ$147 &lt; 6,         AJ$31:AJ$147,         ""      )    )  )), "No Data")</f>
        <v>0</v>
      </c>
      <c r="AL25" s="224">
        <f t="array" aca="1" ref="AL25" ca="1">IFERROR(STDEVP(  IF($C$12 = "All IT",    IF(AL$31:AL$147 &lt; 6,       AL$31:AL$147,       ""    ),    IF($C$12 = $D$31:$D$147,      IF(AL$31:AL$147 &lt; 6,         AL$31:AL$147,         ""      )    )  )), "No Data")</f>
        <v>1</v>
      </c>
      <c r="AN25" s="224">
        <f t="array" aca="1" ref="AN25" ca="1">IFERROR(STDEVP(  IF($C$12 = "All IT",    IF(AN$31:AN$147 &lt; 6,       AN$31:AN$147,       ""    ),    IF($C$12 = $D$31:$D$147,      IF(AN$31:AN$147 &lt; 6,         AN$31:AN$147,         ""      )    )  )), "No Data")</f>
        <v>0</v>
      </c>
      <c r="AP25" s="224">
        <f t="array" aca="1" ref="AP25" ca="1">IFERROR(STDEVP(  IF($C$12 = "All IT",    IF(AP$31:AP$147 &lt; 6,       AP$31:AP$147,       ""    ),    IF($C$12 = $D$31:$D$147,      IF(AP$31:AP$147 &lt; 6,         AP$31:AP$147,         ""      )    )  )), "No Data")</f>
        <v>0</v>
      </c>
      <c r="AR25" s="224">
        <f t="array" aca="1" ref="AR25" ca="1">IFERROR(STDEVP(  IF($C$12 = "All IT",    IF(AR$31:AR$147 &lt; 6,       AR$31:AR$147,       ""    ),    IF($C$12 = $D$31:$D$147,      IF(AR$31:AR$147 &lt; 6,         AR$31:AR$147,         ""      )    )  )), "No Data")</f>
        <v>0</v>
      </c>
    </row>
    <row r="26" spans="1:46" ht="25.5">
      <c r="B26" s="583" t="s">
        <v>450</v>
      </c>
      <c r="C26" s="223">
        <f ca="1">IFERROR(AVERAGE($F26, $H26, $J26, $L26, $N26, $P26, $R26, $T26, $V26, $X26, $Z26, $AB26, $AD26, $AF26, $AH26, $AJ26, $AL26, $AN26, $AP26, $AR26), "No Data")</f>
        <v>3.958333333333333</v>
      </c>
      <c r="D26" s="1"/>
      <c r="E26" s="301" t="s">
        <v>436</v>
      </c>
      <c r="F26" s="224">
        <f t="array" aca="1" ref="F26" ca="1">IFERROR(AVERAGE(  IF($C$12 = "All IT",    IF(F$31:F$147 &lt; 6,       F$31:F$147,       ""    ),    IF($C$12 = $D$31:$D$147,      IF(F$31:F$147 &lt; 6,         F$31:F$147,         ""      )    )  )), "No Data")</f>
        <v>4.25</v>
      </c>
      <c r="H26" s="224">
        <f t="array" aca="1" ref="H26" ca="1">IFERROR(AVERAGE(  IF($C$12 = "All IT",    IF(H$31:H$147 &lt; 6,       H$31:H$147,       ""    ),    IF($C$12 = $D$31:$D$147,      IF(H$31:H$147 &lt; 6,         H$31:H$147,         ""      )    )  )), "No Data")</f>
        <v>4</v>
      </c>
      <c r="J26" s="224">
        <f t="array" aca="1" ref="J26" ca="1">IFERROR(AVERAGE(  IF($C$12 = "All IT",    IF(J$31:J$147 &lt; 6,       J$31:J$147,       ""    ),    IF($C$12 = $D$31:$D$147,      IF(J$31:J$147 &lt; 6,         J$31:J$147,         ""      )    )  )), "No Data")</f>
        <v>4</v>
      </c>
      <c r="L26" s="224">
        <f t="array" aca="1" ref="L26" ca="1">IFERROR(AVERAGE(  IF($C$12 = "All IT",    IF(L$31:L$147 &lt; 6,       L$31:L$147,       ""    ),    IF($C$12 = $D$31:$D$147,      IF(L$31:L$147 &lt; 6,         L$31:L$147,         ""      )    )  )), "No Data")</f>
        <v>3.25</v>
      </c>
      <c r="N26" s="224">
        <f t="array" aca="1" ref="N26" ca="1">IFERROR(AVERAGE(  IF($C$12 = "All IT",    IF(N$31:N$147 &lt; 6,       N$31:N$147,       ""    ),    IF($C$12 = $D$31:$D$147,      IF(N$31:N$147 &lt; 6,         N$31:N$147,         ""      )    )  )), "No Data")</f>
        <v>4</v>
      </c>
      <c r="P26" s="224">
        <f t="array" aca="1" ref="P26" ca="1">IFERROR(AVERAGE(  IF($C$12 = "All IT",    IF(P$31:P$147 &lt; 6,       P$31:P$147,       ""    ),    IF($C$12 = $D$31:$D$147,      IF(P$31:P$147 &lt; 6,         P$31:P$147,         ""      )    )  )), "No Data")</f>
        <v>4</v>
      </c>
      <c r="R26" s="224">
        <f t="array" aca="1" ref="R26" ca="1">IFERROR(AVERAGE(  IF($C$12 = "All IT",    IF(R$31:R$147 &lt; 6,       R$31:R$147,       ""    ),    IF($C$12 = $D$31:$D$147,      IF(R$31:R$147 &lt; 6,         R$31:R$147,         ""      )    )  )), "No Data")</f>
        <v>4.25</v>
      </c>
      <c r="T26" s="224">
        <f t="array" aca="1" ref="T26" ca="1">IFERROR(AVERAGE(  IF($C$12 = "All IT",    IF(T$31:T$147 &lt; 6,       T$31:T$147,       ""    ),    IF($C$12 = $D$31:$D$147,      IF(T$31:T$147 &lt; 6,         T$31:T$147,         ""      )    )  )), "No Data")</f>
        <v>4.25</v>
      </c>
      <c r="V26" s="224">
        <f t="array" aca="1" ref="V26" ca="1">IFERROR(AVERAGE(  IF($C$12 = "All IT",    IF(V$31:V$147 &lt; 6,       V$31:V$147,       ""    ),    IF($C$12 = $D$31:$D$147,      IF(V$31:V$147 &lt; 6,         V$31:V$147,         ""      )    )  )), "No Data")</f>
        <v>4.25</v>
      </c>
      <c r="X26" s="224">
        <f t="array" aca="1" ref="X26" ca="1">IFERROR(AVERAGE(  IF($C$12 = "All IT",    IF(X$31:X$147 &lt; 6,       X$31:X$147,       ""    ),    IF($C$12 = $D$31:$D$147,      IF(X$31:X$147 &lt; 6,         X$31:X$147,         ""      )    )  )), "No Data")</f>
        <v>4</v>
      </c>
      <c r="Z26" s="224">
        <f t="array" aca="1" ref="Z26" ca="1">IFERROR(AVERAGE(  IF($C$12 = "All IT",    IF(Z$31:Z$147 &lt; 6,       Z$31:Z$147,       ""    ),    IF($C$12 = $D$31:$D$147,      IF(Z$31:Z$147 &lt; 6,         Z$31:Z$147,         ""      )    )  )), "No Data")</f>
        <v>4.25</v>
      </c>
      <c r="AB26" s="224">
        <f t="array" aca="1" ref="AB26" ca="1">IFERROR(AVERAGE(  IF($C$12 = "All IT",    IF(AB$31:AB$147 &lt; 6,       AB$31:AB$147,       ""    ),    IF($C$12 = $D$31:$D$147,      IF(AB$31:AB$147 &lt; 6,         AB$31:AB$147,         ""      )    )  )), "No Data")</f>
        <v>4</v>
      </c>
      <c r="AD26" s="224">
        <f t="array" aca="1" ref="AD26" ca="1">IFERROR(AVERAGE(  IF($C$12 = "All IT",    IF(AD$31:AD$147 &lt; 6,       AD$31:AD$147,       ""    ),    IF($C$12 = $D$31:$D$147,      IF(AD$31:AD$147 &lt; 6,         AD$31:AD$147,         ""      )    )  )), "No Data")</f>
        <v>4</v>
      </c>
      <c r="AF26" s="224">
        <f t="array" aca="1" ref="AF26" ca="1">IFERROR(AVERAGE(  IF($C$12 = "All IT",    IF(AF$31:AF$147 &lt; 6,       AF$31:AF$147,       ""    ),    IF($C$12 = $D$31:$D$147,      IF(AF$31:AF$147 &lt; 6,         AF$31:AF$147,         ""      )    )  )), "No Data")</f>
        <v>4</v>
      </c>
      <c r="AH26" s="224">
        <f t="array" aca="1" ref="AH26" ca="1">IFERROR(AVERAGE(  IF($C$12 = "All IT",    IF(AH$31:AH$147 &lt; 6,       AH$31:AH$147,       ""    ),    IF($C$12 = $D$31:$D$147,      IF(AH$31:AH$147 &lt; 6,         AH$31:AH$147,         ""      )    )  )), "No Data")</f>
        <v>3.6666666666666665</v>
      </c>
      <c r="AJ26" s="224">
        <f t="array" aca="1" ref="AJ26" ca="1">IFERROR(AVERAGE(  IF($C$12 = "All IT",    IF(AJ$31:AJ$147 &lt; 6,       AJ$31:AJ$147,       ""    ),    IF($C$12 = $D$31:$D$147,      IF(AJ$31:AJ$147 &lt; 6,         AJ$31:AJ$147,         ""      )    )  )), "No Data")</f>
        <v>4</v>
      </c>
      <c r="AL26" s="224">
        <f t="array" aca="1" ref="AL26" ca="1">IFERROR(AVERAGE(  IF($C$12 = "All IT",    IF(AL$31:AL$147 &lt; 6,       AL$31:AL$147,       ""    ),    IF($C$12 = $D$31:$D$147,      IF(AL$31:AL$147 &lt; 6,         AL$31:AL$147,         ""      )    )  )), "No Data")</f>
        <v>3</v>
      </c>
      <c r="AN26" s="224">
        <f t="array" aca="1" ref="AN26" ca="1">IFERROR(AVERAGE(  IF($C$12 = "All IT",    IF(AN$31:AN$147 &lt; 6,       AN$31:AN$147,       ""    ),    IF($C$12 = $D$31:$D$147,      IF(AN$31:AN$147 &lt; 6,         AN$31:AN$147,         ""      )    )  )), "No Data")</f>
        <v>4</v>
      </c>
      <c r="AP26" s="224">
        <f t="array" aca="1" ref="AP26" ca="1">IFERROR(AVERAGE(  IF($C$12 = "All IT",    IF(AP$31:AP$147 &lt; 6,       AP$31:AP$147,       ""    ),    IF($C$12 = $D$31:$D$147,      IF(AP$31:AP$147 &lt; 6,         AP$31:AP$147,         ""      )    )  )), "No Data")</f>
        <v>4</v>
      </c>
      <c r="AR26" s="224">
        <f t="array" aca="1" ref="AR26" ca="1">IFERROR(AVERAGE(  IF($C$12 = "All IT",    IF(AR$31:AR$147 &lt; 6,       AR$31:AR$147,       ""    ),    IF($C$12 = $D$31:$D$147,      IF(AR$31:AR$147 &lt; 6,         AR$31:AR$147,         ""      )    )  )), "No Data")</f>
        <v>4</v>
      </c>
    </row>
    <row r="27" spans="1:46">
      <c r="E27" s="301" t="s">
        <v>437</v>
      </c>
    </row>
    <row r="28" spans="1:46">
      <c r="E28" s="301" t="s">
        <v>438</v>
      </c>
      <c r="F28" s="763" t="str">
        <f ca="1">LOOKUP(F$30, INDIRECT("'" &amp; $C$6 &amp; "'!" &amp; INDIRECT("'" &amp; $C$6 &amp; "'!" &amp; $C$7)))</f>
        <v>The recognition I receive is appropriate for the contributions that I make.</v>
      </c>
      <c r="G28" s="763"/>
      <c r="H28" s="763" t="str">
        <f ca="1">LOOKUP(H$30, INDIRECT("'" &amp; $C$6 &amp; "'!" &amp; INDIRECT("'" &amp; $C$6 &amp; "'!" &amp; $C$7)))</f>
        <v>I am aware of the options available to express my opinion and feel it is taken into account.</v>
      </c>
      <c r="I28" s="763"/>
      <c r="J28" s="763" t="str">
        <f ca="1">LOOKUP(J$30, INDIRECT("'" &amp; $C$6 &amp; "'!" &amp; INDIRECT("'" &amp; $C$6 &amp; "'!" &amp; $C$7)))</f>
        <v>I am adequately trained to do my job.</v>
      </c>
      <c r="K28" s="763"/>
      <c r="L28" s="763" t="str">
        <f ca="1">LOOKUP(L$30, INDIRECT("'" &amp; $C$6 &amp; "'!" &amp; INDIRECT("'" &amp; $C$6 &amp; "'!" &amp; $C$7)))</f>
        <v>I feel am adequately trained to apply the LDM to my work.</v>
      </c>
      <c r="M28" s="763"/>
      <c r="N28" s="763" t="str">
        <f ca="1">LOOKUP(N$30, INDIRECT("'" &amp; $C$6 &amp; "'!" &amp; INDIRECT("'" &amp; $C$6 &amp; "'!" &amp; $C$7)))</f>
        <v>I have the tools, materials and equipment to accomplish my job.</v>
      </c>
      <c r="O28" s="763"/>
      <c r="P28" s="763" t="str">
        <f ca="1">LOOKUP(P$30, INDIRECT("'" &amp; $C$6 &amp; "'!" &amp; INDIRECT("'" &amp; $C$6 &amp; "'!" &amp; $C$7)))</f>
        <v>I understand and support the Life IT Vision and Mission.</v>
      </c>
      <c r="Q28" s="763"/>
      <c r="R28" s="763" t="str">
        <f ca="1">LOOKUP(R$30, INDIRECT("'" &amp; $C$6 &amp; "'!" &amp; INDIRECT("'" &amp; $C$6 &amp; "'!" &amp; $C$7)))</f>
        <v>I understand my customers and their expectations of me and my team.</v>
      </c>
      <c r="S28" s="763"/>
      <c r="T28" s="763" t="str">
        <f ca="1">LOOKUP(T$30, INDIRECT("'" &amp; $C$6 &amp; "'!" &amp; INDIRECT("'" &amp; $C$6 &amp; "'!" &amp; $C$7)))</f>
        <v>I understand my job responsibilities and work related roles.</v>
      </c>
      <c r="U28" s="763"/>
      <c r="V28" s="763" t="str">
        <f ca="1">LOOKUP(V$30, INDIRECT("'" &amp; $C$6 &amp; "'!" &amp; INDIRECT("'" &amp; $C$6 &amp; "'!" &amp; $C$7)))</f>
        <v>I understand how I am being evaluated.</v>
      </c>
      <c r="W28" s="763"/>
      <c r="X28" s="763" t="str">
        <f ca="1">LOOKUP(X$30, INDIRECT("'" &amp; $C$6 &amp; "'!" &amp; INDIRECT("'" &amp; $C$6 &amp; "'!" &amp; $C$7)))</f>
        <v>I feel that I meet frequently enough with my supervisor to discuss and review my performance.</v>
      </c>
      <c r="Y28" s="763"/>
      <c r="Z28" s="763" t="str">
        <f ca="1">LOOKUP(Z$30, INDIRECT("'" &amp; $C$6 &amp; "'!" &amp; INDIRECT("'" &amp; $C$6 &amp; "'!" &amp; $C$7)))</f>
        <v>My supervisor communicates effectively with me.</v>
      </c>
      <c r="AA28" s="763"/>
      <c r="AB28" s="763" t="str">
        <f ca="1">LOOKUP(AB$30, INDIRECT("'" &amp; $C$6 &amp; "'!" &amp; INDIRECT("'" &amp; $C$6 &amp; "'!" &amp; $C$7)))</f>
        <v>I have sufficient access to my supervisor to meet my needs.</v>
      </c>
      <c r="AC28" s="763"/>
      <c r="AD28" s="763" t="str">
        <f ca="1">LOOKUP(AD$30, INDIRECT("'" &amp; $C$6 &amp; "'!" &amp; INDIRECT("'" &amp; $C$6 &amp; "'!" &amp; $C$7)))</f>
        <v>My team is able to appropriately size and tailor the LDM for the kinds of work we do.</v>
      </c>
      <c r="AE28" s="763"/>
      <c r="AF28" s="763" t="str">
        <f ca="1">LOOKUP(AF$30, INDIRECT("'" &amp; $C$6 &amp; "'!" &amp; INDIRECT("'" &amp; $C$6 &amp; "'!" &amp; $C$7)))</f>
        <v>The LDM enables me and my team be more effective in the work we perform.</v>
      </c>
      <c r="AG28" s="763"/>
      <c r="AH28" s="763" t="str">
        <f ca="1">LOOKUP(AH$30, INDIRECT("'" &amp; $C$6 &amp; "'!" &amp; INDIRECT("'" &amp; $C$6 &amp; "'!" &amp; $C$7)))</f>
        <v>My work products are regularly reviewed by others.</v>
      </c>
      <c r="AI28" s="763"/>
      <c r="AJ28" s="763" t="str">
        <f ca="1">LOOKUP(AJ$30, INDIRECT("'" &amp; $C$6 &amp; "'!" &amp; INDIRECT("'" &amp; $C$6 &amp; "'!" &amp; $C$7)))</f>
        <v>I regularly participate in the review of other people's work products.</v>
      </c>
      <c r="AK28" s="763"/>
      <c r="AL28" s="763" t="str">
        <f ca="1">LOOKUP(AL$30, INDIRECT("'" &amp; $C$6 &amp; "'!" &amp; INDIRECT("'" &amp; $C$6 &amp; "'!" &amp; $C$7)))</f>
        <v>I understand how my team's Scorecard is created and the impact I can have on it.</v>
      </c>
      <c r="AM28" s="763"/>
      <c r="AN28" s="763" t="str">
        <f ca="1">LOOKUP(AN$30, INDIRECT("'" &amp; $C$6 &amp; "'!" &amp; INDIRECT("'" &amp; $C$6 &amp; "'!" &amp; $C$7)))</f>
        <v>I feel other members of my team are working diligently and effectively.</v>
      </c>
      <c r="AO28" s="763"/>
      <c r="AP28" s="763" t="str">
        <f ca="1">LOOKUP(AP$30, INDIRECT("'" &amp; $C$6 &amp; "'!" &amp; INDIRECT("'" &amp; $C$6 &amp; "'!" &amp; $C$7)))</f>
        <v>I feel other IT teams are working diligently and effectively.</v>
      </c>
      <c r="AQ28" s="763"/>
      <c r="AR28" s="763" t="str">
        <f ca="1">LOOKUP(AR$30, INDIRECT("'" &amp; $C$6 &amp; "'!" &amp; INDIRECT("'" &amp; $C$6 &amp; "'!" &amp; $C$7)))</f>
        <v>When we have been dependent on work from other teams (in the last 6 months), it was delivered on time, and as committed.</v>
      </c>
      <c r="AS28" s="763"/>
      <c r="AT28" s="1" t="str">
        <f ca="1">LOOKUP(AT$30, INDIRECT("'" &amp; $C$6 &amp; "'!" &amp; INDIRECT("'" &amp; $C$6 &amp; "'!" &amp; $C$7)))</f>
        <v>Are there any other comments you would like to share?</v>
      </c>
    </row>
    <row r="29" spans="1:46">
      <c r="E29" s="301" t="s">
        <v>439</v>
      </c>
      <c r="G29" s="1" t="str">
        <f ca="1">LOOKUP(G$30, INDIRECT("'" &amp; $C$6 &amp; "'!" &amp; INDIRECT("'" &amp; $C$6 &amp; "'!" &amp; $C$7)))</f>
        <v>If you disagree, please describe the kind of recognition you would like to receive:</v>
      </c>
      <c r="I29" s="1" t="str">
        <f ca="1">LOOKUP(I$30, INDIRECT("'" &amp; $C$6 &amp; "'!" &amp; INDIRECT("'" &amp; $C$6 &amp; "'!" &amp; $C$7)))</f>
        <v>If you disagree, please describe:</v>
      </c>
      <c r="K29" s="1" t="str">
        <f ca="1">LOOKUP(K$30, INDIRECT("'" &amp; $C$6 &amp; "'!" &amp; INDIRECT("'" &amp; $C$6 &amp; "'!" &amp; $C$7)))</f>
        <v xml:space="preserve">If you disagree, please describe the training you would like to receive: </v>
      </c>
      <c r="M29" s="1" t="str">
        <f ca="1">LOOKUP(M$30, INDIRECT("'" &amp; $C$6 &amp; "'!" &amp; INDIRECT("'" &amp; $C$6 &amp; "'!" &amp; $C$7)))</f>
        <v>If you disagree, please describe what specific training would you like to receive:</v>
      </c>
      <c r="O29" s="1" t="str">
        <f ca="1">LOOKUP(O$30, INDIRECT("'" &amp; $C$6 &amp; "'!" &amp; INDIRECT("'" &amp; $C$6 &amp; "'!" &amp; $C$7)))</f>
        <v>If you disagree, please describe what you need:</v>
      </c>
      <c r="Q29" s="1" t="str">
        <f ca="1">LOOKUP(Q$30, INDIRECT("'" &amp; $C$6 &amp; "'!" &amp; INDIRECT("'" &amp; $C$6 &amp; "'!" &amp; $C$7)))</f>
        <v>If not, please describe:</v>
      </c>
      <c r="S29" s="1" t="str">
        <f ca="1">LOOKUP(S$30, INDIRECT("'" &amp; $C$6 &amp; "'!" &amp; INDIRECT("'" &amp; $C$6 &amp; "'!" &amp; $C$7)))</f>
        <v>If you disagree, please describe:</v>
      </c>
      <c r="U29" s="1" t="str">
        <f ca="1">LOOKUP(U$30, INDIRECT("'" &amp; $C$6 &amp; "'!" &amp; INDIRECT("'" &amp; $C$6 &amp; "'!" &amp; $C$7)))</f>
        <v>If you disagree, please describe:</v>
      </c>
      <c r="W29" s="1" t="str">
        <f ca="1">LOOKUP(W$30, INDIRECT("'" &amp; $C$6 &amp; "'!" &amp; INDIRECT("'" &amp; $C$6 &amp; "'!" &amp; $C$7)))</f>
        <v>If not, please describe:</v>
      </c>
      <c r="Y29" s="1" t="str">
        <f ca="1">LOOKUP(Y$30, INDIRECT("'" &amp; $C$6 &amp; "'!" &amp; INDIRECT("'" &amp; $C$6 &amp; "'!" &amp; $C$7)))</f>
        <v>If you disagree, please describe:</v>
      </c>
      <c r="AA29" s="1" t="str">
        <f ca="1">LOOKUP(AA$30, INDIRECT("'" &amp; $C$6 &amp; "'!" &amp; INDIRECT("'" &amp; $C$6 &amp; "'!" &amp; $C$7)))</f>
        <v>If you disagree, please describe what would like to see done differently:</v>
      </c>
      <c r="AC29" s="1" t="str">
        <f ca="1">LOOKUP(AC$30, INDIRECT("'" &amp; $C$6 &amp; "'!" &amp; INDIRECT("'" &amp; $C$6 &amp; "'!" &amp; $C$7)))</f>
        <v>If you disagree, please describe:</v>
      </c>
      <c r="AE29" s="1" t="str">
        <f ca="1">LOOKUP(AE$30, INDIRECT("'" &amp; $C$6 &amp; "'!" &amp; INDIRECT("'" &amp; $C$6 &amp; "'!" &amp; $C$7)))</f>
        <v>If you disagree, please describe:</v>
      </c>
      <c r="AG29" s="1" t="str">
        <f ca="1">LOOKUP(AG$30, INDIRECT("'" &amp; $C$6 &amp; "'!" &amp; INDIRECT("'" &amp; $C$6 &amp; "'!" &amp; $C$7)))</f>
        <v>If not, please describe what would be helpful:</v>
      </c>
      <c r="AI29" s="1" t="str">
        <f ca="1">LOOKUP(AI$30, INDIRECT("'" &amp; $C$6 &amp; "'!" &amp; INDIRECT("'" &amp; $C$6 &amp; "'!" &amp; $C$7)))</f>
        <v>If not, please describe:</v>
      </c>
      <c r="AK29" s="1" t="str">
        <f ca="1">LOOKUP(AK$30, INDIRECT("'" &amp; $C$6 &amp; "'!" &amp; INDIRECT("'" &amp; $C$6 &amp; "'!" &amp; $C$7)))</f>
        <v>If not, please describe:</v>
      </c>
      <c r="AM29" s="1" t="str">
        <f ca="1">LOOKUP(AM$30, INDIRECT("'" &amp; $C$6 &amp; "'!" &amp; INDIRECT("'" &amp; $C$6 &amp; "'!" &amp; $C$7)))</f>
        <v>If you not, please describe what would help your understanding:</v>
      </c>
      <c r="AO29" s="1" t="str">
        <f ca="1">LOOKUP(AO$30, INDIRECT("'" &amp; $C$6 &amp; "'!" &amp; INDIRECT("'" &amp; $C$6 &amp; "'!" &amp; $C$7)))</f>
        <v>If not, please describe</v>
      </c>
      <c r="AQ29" s="1" t="str">
        <f ca="1">LOOKUP(AQ$30, INDIRECT("'" &amp; $C$6 &amp; "'!" &amp; INDIRECT("'" &amp; $C$6 &amp; "'!" &amp; $C$7)))</f>
        <v>If you disagree, please describe:</v>
      </c>
      <c r="AS29" s="1" t="str">
        <f ca="1">LOOKUP(AS$30, INDIRECT("'" &amp; $C$6 &amp; "'!" &amp; INDIRECT("'" &amp; $C$6 &amp; "'!" &amp; $C$7)))</f>
        <v>If you disagree, please describe:</v>
      </c>
    </row>
    <row r="30" spans="1:46">
      <c r="A30" s="301" t="s">
        <v>420</v>
      </c>
      <c r="B30" s="301" t="s">
        <v>394</v>
      </c>
      <c r="C30" s="301" t="s">
        <v>446</v>
      </c>
      <c r="D30" s="301" t="s">
        <v>28</v>
      </c>
      <c r="E30" s="301" t="s">
        <v>485</v>
      </c>
      <c r="F30" s="1" t="s">
        <v>398</v>
      </c>
      <c r="G30" s="1" t="s">
        <v>399</v>
      </c>
      <c r="H30" s="1" t="s">
        <v>401</v>
      </c>
      <c r="I30" s="1" t="s">
        <v>402</v>
      </c>
      <c r="J30" s="1" t="s">
        <v>403</v>
      </c>
      <c r="K30" s="1" t="s">
        <v>404</v>
      </c>
      <c r="L30" s="1" t="s">
        <v>406</v>
      </c>
      <c r="M30" s="1" t="s">
        <v>407</v>
      </c>
      <c r="N30" s="1" t="s">
        <v>408</v>
      </c>
      <c r="O30" s="1" t="s">
        <v>409</v>
      </c>
      <c r="P30" s="1" t="s">
        <v>410</v>
      </c>
      <c r="Q30" s="1" t="s">
        <v>411</v>
      </c>
      <c r="R30" s="1" t="s">
        <v>412</v>
      </c>
      <c r="S30" s="1" t="s">
        <v>413</v>
      </c>
      <c r="T30" s="1" t="s">
        <v>415</v>
      </c>
      <c r="U30" s="1" t="s">
        <v>416</v>
      </c>
      <c r="V30" s="1" t="s">
        <v>418</v>
      </c>
      <c r="W30" s="1" t="s">
        <v>458</v>
      </c>
      <c r="X30" s="1" t="s">
        <v>419</v>
      </c>
      <c r="Y30" s="1" t="s">
        <v>461</v>
      </c>
      <c r="Z30" s="1" t="s">
        <v>462</v>
      </c>
      <c r="AA30" s="1" t="s">
        <v>464</v>
      </c>
      <c r="AB30" s="1" t="s">
        <v>465</v>
      </c>
      <c r="AC30" s="1" t="s">
        <v>467</v>
      </c>
      <c r="AD30" s="1" t="s">
        <v>468</v>
      </c>
      <c r="AE30" s="1" t="s">
        <v>469</v>
      </c>
      <c r="AF30" s="1" t="s">
        <v>470</v>
      </c>
      <c r="AG30" s="1" t="s">
        <v>471</v>
      </c>
      <c r="AH30" s="1" t="s">
        <v>472</v>
      </c>
      <c r="AI30" s="1" t="s">
        <v>499</v>
      </c>
      <c r="AJ30" s="1" t="s">
        <v>474</v>
      </c>
      <c r="AK30" s="1" t="s">
        <v>500</v>
      </c>
      <c r="AL30" s="1" t="s">
        <v>501</v>
      </c>
      <c r="AM30" s="1" t="s">
        <v>502</v>
      </c>
      <c r="AN30" s="1" t="s">
        <v>504</v>
      </c>
      <c r="AO30" s="1" t="s">
        <v>506</v>
      </c>
      <c r="AP30" s="1" t="s">
        <v>508</v>
      </c>
      <c r="AQ30" s="1" t="s">
        <v>510</v>
      </c>
      <c r="AR30" s="1" t="s">
        <v>511</v>
      </c>
      <c r="AS30" s="1" t="s">
        <v>512</v>
      </c>
      <c r="AT30" s="1" t="s">
        <v>513</v>
      </c>
    </row>
    <row r="31" spans="1:46">
      <c r="A31" s="10">
        <v>1</v>
      </c>
      <c r="B31" s="10">
        <v>1</v>
      </c>
      <c r="C31" s="10"/>
      <c r="D31" s="10" t="str">
        <f t="shared" ref="D31:D62" ca="1" si="4">LOOKUP(E31,INDIRECT(Team_Name_Lookup))</f>
        <v>Product Admin</v>
      </c>
      <c r="E31" s="10">
        <v>7</v>
      </c>
      <c r="F31" s="11">
        <v>5</v>
      </c>
      <c r="G31" s="11"/>
      <c r="H31" s="11">
        <v>4</v>
      </c>
      <c r="I31" s="11"/>
      <c r="J31" s="11">
        <v>3</v>
      </c>
      <c r="K31" s="11"/>
      <c r="L31" s="11">
        <v>4</v>
      </c>
      <c r="M31" s="11"/>
      <c r="N31" s="11">
        <v>4</v>
      </c>
      <c r="O31" s="11"/>
      <c r="P31" s="11">
        <v>3</v>
      </c>
      <c r="Q31" s="11"/>
      <c r="R31" s="11">
        <v>4</v>
      </c>
      <c r="S31" s="11"/>
      <c r="T31" s="11">
        <v>4</v>
      </c>
      <c r="U31" s="11"/>
      <c r="V31" s="11">
        <v>4</v>
      </c>
      <c r="W31" s="11"/>
      <c r="X31" s="11">
        <v>5</v>
      </c>
      <c r="Y31" s="11"/>
      <c r="Z31" s="11">
        <v>4</v>
      </c>
      <c r="AA31" s="11"/>
      <c r="AB31" s="11">
        <v>5</v>
      </c>
      <c r="AC31" s="11"/>
      <c r="AD31" s="11">
        <v>4</v>
      </c>
      <c r="AE31" s="11"/>
      <c r="AF31" s="11">
        <v>3</v>
      </c>
      <c r="AG31" s="11"/>
      <c r="AH31" s="11">
        <v>4</v>
      </c>
      <c r="AI31" s="11"/>
      <c r="AJ31" s="11">
        <v>4</v>
      </c>
      <c r="AK31" s="11"/>
      <c r="AL31" s="11">
        <v>4</v>
      </c>
      <c r="AM31" s="11"/>
      <c r="AN31" s="11">
        <v>4</v>
      </c>
      <c r="AO31" s="11"/>
      <c r="AP31" s="11">
        <v>3</v>
      </c>
      <c r="AQ31" s="11"/>
      <c r="AR31" s="11">
        <v>3</v>
      </c>
      <c r="AS31" s="11"/>
      <c r="AT31" s="11"/>
    </row>
    <row r="32" spans="1:46">
      <c r="A32" s="301">
        <v>2</v>
      </c>
      <c r="B32" s="301">
        <v>1</v>
      </c>
      <c r="D32" s="301" t="str">
        <f t="shared" ca="1" si="4"/>
        <v>eBusiness</v>
      </c>
      <c r="E32" s="301">
        <v>1</v>
      </c>
      <c r="F32" s="1">
        <v>4</v>
      </c>
      <c r="H32" s="1">
        <v>4</v>
      </c>
      <c r="J32" s="1">
        <v>4</v>
      </c>
      <c r="L32" s="1">
        <v>5</v>
      </c>
      <c r="N32" s="1">
        <v>5</v>
      </c>
      <c r="P32" s="1">
        <v>5</v>
      </c>
      <c r="R32" s="1">
        <v>4</v>
      </c>
      <c r="T32" s="1">
        <v>5</v>
      </c>
      <c r="V32" s="1">
        <v>4</v>
      </c>
      <c r="X32" s="1">
        <v>5</v>
      </c>
      <c r="Z32" s="1">
        <v>5</v>
      </c>
      <c r="AB32" s="1">
        <v>5</v>
      </c>
      <c r="AD32" s="1">
        <v>5</v>
      </c>
      <c r="AF32" s="1">
        <v>5</v>
      </c>
      <c r="AH32" s="1">
        <v>4</v>
      </c>
      <c r="AJ32" s="1">
        <v>5</v>
      </c>
      <c r="AL32" s="1">
        <v>3</v>
      </c>
      <c r="AN32" s="1">
        <v>5</v>
      </c>
      <c r="AO32" s="1" t="s">
        <v>538</v>
      </c>
      <c r="AP32" s="1">
        <v>4</v>
      </c>
      <c r="AR32" s="1">
        <v>4</v>
      </c>
    </row>
    <row r="33" spans="1:46">
      <c r="A33" s="301">
        <v>3</v>
      </c>
      <c r="B33" s="301">
        <v>1</v>
      </c>
      <c r="D33" s="301" t="str">
        <f t="shared" ca="1" si="4"/>
        <v>Product Admin</v>
      </c>
      <c r="E33" s="301">
        <v>7</v>
      </c>
      <c r="F33" s="1">
        <v>3</v>
      </c>
      <c r="H33" s="1">
        <v>5</v>
      </c>
      <c r="J33" s="1">
        <v>4</v>
      </c>
      <c r="L33" s="1">
        <v>4</v>
      </c>
      <c r="N33" s="1">
        <v>5</v>
      </c>
      <c r="P33" s="1">
        <v>3</v>
      </c>
      <c r="R33" s="1">
        <v>4</v>
      </c>
      <c r="T33" s="1">
        <v>4</v>
      </c>
      <c r="V33" s="1">
        <v>4</v>
      </c>
      <c r="X33" s="1">
        <v>5</v>
      </c>
      <c r="Z33" s="1">
        <v>5</v>
      </c>
      <c r="AB33" s="1">
        <v>5</v>
      </c>
      <c r="AD33" s="1">
        <v>3</v>
      </c>
      <c r="AF33" s="1">
        <v>3</v>
      </c>
      <c r="AH33" s="1">
        <v>4</v>
      </c>
      <c r="AJ33" s="1">
        <v>4</v>
      </c>
      <c r="AL33" s="1">
        <v>5</v>
      </c>
      <c r="AN33" s="1">
        <v>5</v>
      </c>
      <c r="AP33" s="1">
        <v>4</v>
      </c>
      <c r="AR33" s="1">
        <v>3</v>
      </c>
    </row>
    <row r="34" spans="1:46">
      <c r="A34" s="301">
        <v>4</v>
      </c>
      <c r="B34" s="301">
        <v>1</v>
      </c>
      <c r="D34" s="301" t="str">
        <f t="shared" ca="1" si="4"/>
        <v>Sales</v>
      </c>
      <c r="E34" s="301">
        <v>8</v>
      </c>
      <c r="F34" s="1">
        <v>4</v>
      </c>
      <c r="H34" s="1">
        <v>4</v>
      </c>
      <c r="J34" s="1">
        <v>4</v>
      </c>
      <c r="L34" s="1">
        <v>4</v>
      </c>
      <c r="N34" s="1">
        <v>4</v>
      </c>
      <c r="P34" s="1">
        <v>4</v>
      </c>
      <c r="R34" s="1">
        <v>4</v>
      </c>
      <c r="T34" s="1">
        <v>4</v>
      </c>
      <c r="V34" s="1">
        <v>4</v>
      </c>
      <c r="X34" s="1">
        <v>4</v>
      </c>
      <c r="Z34" s="1">
        <v>4</v>
      </c>
      <c r="AB34" s="1">
        <v>4</v>
      </c>
      <c r="AD34" s="1">
        <v>4</v>
      </c>
      <c r="AF34" s="1">
        <v>4</v>
      </c>
      <c r="AH34" s="1">
        <v>4</v>
      </c>
      <c r="AJ34" s="1">
        <v>4</v>
      </c>
      <c r="AL34" s="1">
        <v>4</v>
      </c>
      <c r="AN34" s="1">
        <v>4</v>
      </c>
      <c r="AP34" s="1">
        <v>4</v>
      </c>
      <c r="AR34" s="1">
        <v>3</v>
      </c>
    </row>
    <row r="35" spans="1:46">
      <c r="A35" s="301">
        <v>5</v>
      </c>
      <c r="B35" s="301">
        <v>1</v>
      </c>
      <c r="D35" s="301" t="str">
        <f t="shared" ca="1" si="4"/>
        <v>IT Operations - Server</v>
      </c>
      <c r="E35" s="301">
        <v>13</v>
      </c>
      <c r="F35" s="1">
        <v>4</v>
      </c>
      <c r="H35" s="1">
        <v>4</v>
      </c>
      <c r="J35" s="1">
        <v>4</v>
      </c>
      <c r="L35" s="1">
        <v>1</v>
      </c>
      <c r="N35" s="1">
        <v>4</v>
      </c>
      <c r="P35" s="1">
        <v>4</v>
      </c>
      <c r="R35" s="1">
        <v>4</v>
      </c>
      <c r="T35" s="1">
        <v>4</v>
      </c>
      <c r="V35" s="1">
        <v>4</v>
      </c>
      <c r="X35" s="1">
        <v>5</v>
      </c>
      <c r="Z35" s="1">
        <v>5</v>
      </c>
      <c r="AB35" s="1">
        <v>5</v>
      </c>
      <c r="AD35" s="1">
        <v>1</v>
      </c>
      <c r="AF35" s="1">
        <v>1</v>
      </c>
      <c r="AH35" s="1">
        <v>4</v>
      </c>
      <c r="AJ35" s="1">
        <v>4</v>
      </c>
      <c r="AL35" s="1">
        <v>2</v>
      </c>
      <c r="AN35" s="1">
        <v>4</v>
      </c>
      <c r="AP35" s="1">
        <v>3</v>
      </c>
      <c r="AR35" s="1">
        <v>3</v>
      </c>
    </row>
    <row r="36" spans="1:46">
      <c r="A36" s="301">
        <v>6</v>
      </c>
      <c r="B36" s="301">
        <v>1</v>
      </c>
      <c r="D36" s="301" t="str">
        <f t="shared" ca="1" si="4"/>
        <v>eBusiness</v>
      </c>
      <c r="E36" s="301">
        <v>1</v>
      </c>
      <c r="F36" s="1">
        <v>2</v>
      </c>
      <c r="G36" s="1" t="s">
        <v>539</v>
      </c>
      <c r="H36" s="1">
        <v>4</v>
      </c>
      <c r="J36" s="1">
        <v>4</v>
      </c>
      <c r="L36" s="1">
        <v>4</v>
      </c>
      <c r="N36" s="1">
        <v>4</v>
      </c>
      <c r="P36" s="1">
        <v>4</v>
      </c>
      <c r="R36" s="1">
        <v>4</v>
      </c>
      <c r="T36" s="1">
        <v>4</v>
      </c>
      <c r="V36" s="1">
        <v>3</v>
      </c>
      <c r="W36" s="1" t="s">
        <v>540</v>
      </c>
      <c r="X36" s="1">
        <v>4</v>
      </c>
      <c r="Z36" s="1">
        <v>5</v>
      </c>
      <c r="AB36" s="1">
        <v>5</v>
      </c>
      <c r="AD36" s="1">
        <v>4</v>
      </c>
      <c r="AF36" s="1">
        <v>3</v>
      </c>
      <c r="AH36" s="1">
        <v>4</v>
      </c>
      <c r="AJ36" s="1">
        <v>4</v>
      </c>
      <c r="AL36" s="1">
        <v>3</v>
      </c>
      <c r="AN36" s="1">
        <v>5</v>
      </c>
      <c r="AP36" s="1">
        <v>3</v>
      </c>
      <c r="AR36" s="1">
        <v>3</v>
      </c>
    </row>
    <row r="37" spans="1:46">
      <c r="A37" s="301">
        <v>7</v>
      </c>
      <c r="B37" s="301">
        <v>1</v>
      </c>
      <c r="D37" s="301" t="str">
        <f t="shared" ca="1" si="4"/>
        <v>Producer Admin</v>
      </c>
      <c r="E37" s="301">
        <v>5</v>
      </c>
      <c r="F37" s="1">
        <v>3</v>
      </c>
      <c r="H37" s="1">
        <v>3</v>
      </c>
      <c r="J37" s="1">
        <v>4</v>
      </c>
      <c r="L37" s="1">
        <v>5</v>
      </c>
      <c r="N37" s="1">
        <v>5</v>
      </c>
      <c r="P37" s="1">
        <v>4</v>
      </c>
      <c r="R37" s="1">
        <v>4</v>
      </c>
      <c r="T37" s="1">
        <v>4</v>
      </c>
      <c r="V37" s="1">
        <v>4</v>
      </c>
      <c r="X37" s="1">
        <v>3</v>
      </c>
      <c r="Z37" s="1">
        <v>4</v>
      </c>
      <c r="AB37" s="1">
        <v>4</v>
      </c>
      <c r="AD37" s="1">
        <v>4</v>
      </c>
      <c r="AF37" s="1">
        <v>4</v>
      </c>
      <c r="AH37" s="1">
        <v>4</v>
      </c>
      <c r="AJ37" s="1">
        <v>4</v>
      </c>
      <c r="AL37" s="1">
        <v>4</v>
      </c>
      <c r="AN37" s="1">
        <v>4</v>
      </c>
      <c r="AP37" s="1">
        <v>4</v>
      </c>
      <c r="AR37" s="1">
        <v>4</v>
      </c>
    </row>
    <row r="38" spans="1:46">
      <c r="A38" s="301">
        <v>8</v>
      </c>
      <c r="B38" s="301">
        <v>1</v>
      </c>
      <c r="D38" s="301" t="str">
        <f t="shared" ca="1" si="4"/>
        <v>Other</v>
      </c>
      <c r="E38" s="301">
        <v>14</v>
      </c>
      <c r="F38" s="1">
        <v>4</v>
      </c>
      <c r="H38" s="1">
        <v>4</v>
      </c>
      <c r="J38" s="1">
        <v>4</v>
      </c>
      <c r="L38" s="1">
        <v>2</v>
      </c>
      <c r="M38" s="1" t="s">
        <v>541</v>
      </c>
      <c r="N38" s="1">
        <v>4</v>
      </c>
      <c r="P38" s="1">
        <v>4</v>
      </c>
      <c r="R38" s="1">
        <v>4</v>
      </c>
      <c r="T38" s="1">
        <v>4</v>
      </c>
      <c r="V38" s="1">
        <v>4</v>
      </c>
      <c r="X38" s="1">
        <v>3</v>
      </c>
      <c r="Y38" s="1" t="s">
        <v>542</v>
      </c>
      <c r="Z38" s="1">
        <v>4</v>
      </c>
      <c r="AB38" s="1">
        <v>3</v>
      </c>
      <c r="AD38" s="1">
        <v>6</v>
      </c>
      <c r="AF38" s="1">
        <v>6</v>
      </c>
      <c r="AH38" s="1">
        <v>4</v>
      </c>
      <c r="AJ38" s="1">
        <v>6</v>
      </c>
      <c r="AL38" s="1">
        <v>2</v>
      </c>
      <c r="AM38" s="1" t="s">
        <v>543</v>
      </c>
      <c r="AN38" s="1">
        <v>6</v>
      </c>
      <c r="AP38" s="1">
        <v>4</v>
      </c>
      <c r="AR38" s="1">
        <v>6</v>
      </c>
      <c r="AT38" s="1" t="s">
        <v>544</v>
      </c>
    </row>
    <row r="39" spans="1:46">
      <c r="A39" s="301">
        <v>9</v>
      </c>
      <c r="B39" s="301">
        <v>1</v>
      </c>
      <c r="D39" s="301" t="str">
        <f t="shared" ca="1" si="4"/>
        <v>Product Admin</v>
      </c>
      <c r="E39" s="301">
        <v>7</v>
      </c>
      <c r="F39" s="1">
        <v>4</v>
      </c>
      <c r="H39" s="1">
        <v>4</v>
      </c>
      <c r="J39" s="1">
        <v>4</v>
      </c>
      <c r="L39" s="1">
        <v>4</v>
      </c>
      <c r="N39" s="1">
        <v>4</v>
      </c>
      <c r="P39" s="1">
        <v>4</v>
      </c>
      <c r="R39" s="1">
        <v>4</v>
      </c>
      <c r="T39" s="1">
        <v>4</v>
      </c>
      <c r="V39" s="1">
        <v>4</v>
      </c>
      <c r="X39" s="1">
        <v>5</v>
      </c>
      <c r="Z39" s="1">
        <v>4</v>
      </c>
      <c r="AB39" s="1">
        <v>4</v>
      </c>
      <c r="AD39" s="1">
        <v>4</v>
      </c>
      <c r="AF39" s="1">
        <v>4</v>
      </c>
      <c r="AH39" s="1">
        <v>4</v>
      </c>
      <c r="AJ39" s="1">
        <v>4</v>
      </c>
      <c r="AL39" s="1">
        <v>4</v>
      </c>
      <c r="AN39" s="1">
        <v>5</v>
      </c>
      <c r="AP39" s="1">
        <v>4</v>
      </c>
      <c r="AR39" s="1">
        <v>4</v>
      </c>
    </row>
    <row r="40" spans="1:46">
      <c r="A40" s="301">
        <v>10</v>
      </c>
      <c r="B40" s="301">
        <v>1</v>
      </c>
      <c r="D40" s="301" t="str">
        <f t="shared" ca="1" si="4"/>
        <v>Service</v>
      </c>
      <c r="E40" s="301">
        <v>9</v>
      </c>
      <c r="F40" s="1">
        <v>3</v>
      </c>
      <c r="H40" s="1">
        <v>2</v>
      </c>
      <c r="I40" s="1" t="s">
        <v>545</v>
      </c>
      <c r="J40" s="1">
        <v>4</v>
      </c>
      <c r="L40" s="1">
        <v>3</v>
      </c>
      <c r="N40" s="1">
        <v>3</v>
      </c>
      <c r="P40" s="1">
        <v>3</v>
      </c>
      <c r="R40" s="1">
        <v>4</v>
      </c>
      <c r="T40" s="1">
        <v>4</v>
      </c>
      <c r="V40" s="1">
        <v>2</v>
      </c>
      <c r="X40" s="1">
        <v>3</v>
      </c>
      <c r="Z40" s="1">
        <v>4</v>
      </c>
      <c r="AB40" s="1">
        <v>4</v>
      </c>
      <c r="AD40" s="1">
        <v>4</v>
      </c>
      <c r="AF40" s="1">
        <v>3</v>
      </c>
      <c r="AH40" s="1">
        <v>4</v>
      </c>
      <c r="AJ40" s="1">
        <v>3</v>
      </c>
      <c r="AL40" s="1">
        <v>4</v>
      </c>
      <c r="AN40" s="1">
        <v>5</v>
      </c>
      <c r="AP40" s="1">
        <v>4</v>
      </c>
      <c r="AR40" s="1">
        <v>4</v>
      </c>
    </row>
    <row r="41" spans="1:46">
      <c r="A41" s="301">
        <v>11</v>
      </c>
      <c r="B41" s="301">
        <v>1</v>
      </c>
      <c r="D41" s="301" t="str">
        <f t="shared" ca="1" si="4"/>
        <v>Service</v>
      </c>
      <c r="E41" s="301">
        <v>9</v>
      </c>
      <c r="F41" s="1">
        <v>4</v>
      </c>
      <c r="H41" s="1">
        <v>4</v>
      </c>
      <c r="J41" s="1">
        <v>3</v>
      </c>
      <c r="L41" s="1">
        <v>4</v>
      </c>
      <c r="N41" s="1">
        <v>3</v>
      </c>
      <c r="P41" s="1">
        <v>4</v>
      </c>
      <c r="R41" s="1">
        <v>4</v>
      </c>
      <c r="T41" s="1">
        <v>4</v>
      </c>
      <c r="V41" s="1">
        <v>3</v>
      </c>
      <c r="X41" s="1">
        <v>4</v>
      </c>
      <c r="Z41" s="1">
        <v>4</v>
      </c>
      <c r="AB41" s="1">
        <v>4</v>
      </c>
      <c r="AD41" s="1">
        <v>4</v>
      </c>
      <c r="AF41" s="1">
        <v>4</v>
      </c>
      <c r="AH41" s="1">
        <v>3</v>
      </c>
      <c r="AJ41" s="1">
        <v>3</v>
      </c>
      <c r="AL41" s="1">
        <v>4</v>
      </c>
      <c r="AN41" s="1">
        <v>4</v>
      </c>
      <c r="AP41" s="1">
        <v>4</v>
      </c>
      <c r="AR41" s="1">
        <v>4</v>
      </c>
    </row>
    <row r="42" spans="1:46">
      <c r="A42" s="301">
        <v>12</v>
      </c>
      <c r="B42" s="301">
        <v>1</v>
      </c>
      <c r="D42" s="301" t="str">
        <f t="shared" ca="1" si="4"/>
        <v>Technology Services</v>
      </c>
      <c r="E42" s="301">
        <v>11</v>
      </c>
      <c r="F42" s="1">
        <v>4</v>
      </c>
      <c r="H42" s="1">
        <v>4</v>
      </c>
      <c r="J42" s="1">
        <v>3</v>
      </c>
      <c r="L42" s="1">
        <v>4</v>
      </c>
      <c r="N42" s="1">
        <v>4</v>
      </c>
      <c r="P42" s="1">
        <v>5</v>
      </c>
      <c r="R42" s="1">
        <v>4</v>
      </c>
      <c r="T42" s="1">
        <v>4</v>
      </c>
      <c r="V42" s="1">
        <v>4</v>
      </c>
      <c r="X42" s="1">
        <v>4</v>
      </c>
      <c r="Z42" s="1">
        <v>4</v>
      </c>
      <c r="AB42" s="1">
        <v>4</v>
      </c>
      <c r="AD42" s="1">
        <v>4</v>
      </c>
      <c r="AF42" s="1">
        <v>5</v>
      </c>
      <c r="AH42" s="1">
        <v>4</v>
      </c>
      <c r="AJ42" s="1">
        <v>3</v>
      </c>
      <c r="AL42" s="1">
        <v>4</v>
      </c>
      <c r="AN42" s="1">
        <v>4</v>
      </c>
      <c r="AP42" s="1">
        <v>3</v>
      </c>
      <c r="AR42" s="1">
        <v>4</v>
      </c>
    </row>
    <row r="43" spans="1:46">
      <c r="A43" s="301">
        <v>13</v>
      </c>
      <c r="B43" s="301">
        <v>1</v>
      </c>
      <c r="D43" s="301" t="str">
        <f t="shared" ca="1" si="4"/>
        <v>Service</v>
      </c>
      <c r="E43" s="301">
        <v>9</v>
      </c>
      <c r="F43" s="1">
        <v>3</v>
      </c>
      <c r="H43" s="1">
        <v>3</v>
      </c>
      <c r="J43" s="1">
        <v>4</v>
      </c>
      <c r="L43" s="1">
        <v>4</v>
      </c>
      <c r="N43" s="1">
        <v>4</v>
      </c>
      <c r="P43" s="1">
        <v>5</v>
      </c>
      <c r="R43" s="1">
        <v>4</v>
      </c>
      <c r="T43" s="1">
        <v>5</v>
      </c>
      <c r="V43" s="1">
        <v>4</v>
      </c>
      <c r="X43" s="1">
        <v>4</v>
      </c>
      <c r="Z43" s="1">
        <v>3</v>
      </c>
      <c r="AB43" s="1">
        <v>4</v>
      </c>
      <c r="AD43" s="1">
        <v>5</v>
      </c>
      <c r="AF43" s="1">
        <v>5</v>
      </c>
      <c r="AH43" s="1">
        <v>5</v>
      </c>
      <c r="AJ43" s="1">
        <v>5</v>
      </c>
      <c r="AL43" s="1">
        <v>4</v>
      </c>
      <c r="AN43" s="1">
        <v>5</v>
      </c>
      <c r="AP43" s="1">
        <v>5</v>
      </c>
      <c r="AR43" s="1">
        <v>4</v>
      </c>
    </row>
    <row r="44" spans="1:46" ht="38.25">
      <c r="A44" s="301">
        <v>14</v>
      </c>
      <c r="B44" s="301">
        <v>1</v>
      </c>
      <c r="D44" s="301" t="str">
        <f t="shared" ca="1" si="4"/>
        <v>IT Operations - Help Desk</v>
      </c>
      <c r="E44" s="301">
        <v>12</v>
      </c>
      <c r="F44" s="1">
        <v>3</v>
      </c>
      <c r="H44" s="1">
        <v>1</v>
      </c>
      <c r="I44" s="1" t="s">
        <v>546</v>
      </c>
      <c r="J44" s="1">
        <v>2</v>
      </c>
      <c r="K44" s="1" t="s">
        <v>547</v>
      </c>
      <c r="L44" s="1">
        <v>1</v>
      </c>
      <c r="M44" s="1" t="s">
        <v>548</v>
      </c>
      <c r="N44" s="1">
        <v>1</v>
      </c>
      <c r="O44" s="1" t="s">
        <v>549</v>
      </c>
      <c r="P44" s="1">
        <v>5</v>
      </c>
      <c r="R44" s="1">
        <v>5</v>
      </c>
      <c r="T44" s="1">
        <v>4</v>
      </c>
      <c r="V44" s="1">
        <v>4</v>
      </c>
      <c r="X44" s="1">
        <v>3</v>
      </c>
      <c r="Z44" s="1">
        <v>1</v>
      </c>
      <c r="AA44" s="1" t="s">
        <v>550</v>
      </c>
      <c r="AB44" s="1">
        <v>4</v>
      </c>
      <c r="AD44" s="1">
        <v>1</v>
      </c>
      <c r="AE44" s="1" t="s">
        <v>551</v>
      </c>
      <c r="AF44" s="1">
        <v>1</v>
      </c>
      <c r="AG44" s="1" t="s">
        <v>552</v>
      </c>
      <c r="AH44" s="1">
        <v>5</v>
      </c>
      <c r="AJ44" s="1">
        <v>1</v>
      </c>
      <c r="AL44" s="1">
        <v>5</v>
      </c>
      <c r="AN44" s="1">
        <v>1</v>
      </c>
      <c r="AO44" s="1" t="s">
        <v>553</v>
      </c>
      <c r="AP44" s="1">
        <v>1</v>
      </c>
      <c r="AQ44" s="1" t="s">
        <v>554</v>
      </c>
      <c r="AR44" s="1">
        <v>3</v>
      </c>
      <c r="AT44" s="1" t="s">
        <v>555</v>
      </c>
    </row>
    <row r="45" spans="1:46">
      <c r="A45" s="301">
        <v>15</v>
      </c>
      <c r="B45" s="301">
        <v>1</v>
      </c>
      <c r="D45" s="301" t="str">
        <f t="shared" ca="1" si="4"/>
        <v>Service</v>
      </c>
      <c r="E45" s="301">
        <v>9</v>
      </c>
      <c r="F45" s="1">
        <v>4</v>
      </c>
      <c r="H45" s="1">
        <v>3</v>
      </c>
      <c r="J45" s="1">
        <v>5</v>
      </c>
      <c r="L45" s="1">
        <v>4</v>
      </c>
      <c r="N45" s="1">
        <v>5</v>
      </c>
      <c r="P45" s="1">
        <v>3</v>
      </c>
      <c r="R45" s="1">
        <v>3</v>
      </c>
      <c r="T45" s="1">
        <v>4</v>
      </c>
      <c r="V45" s="1">
        <v>3</v>
      </c>
      <c r="X45" s="1">
        <v>4</v>
      </c>
      <c r="Z45" s="1">
        <v>5</v>
      </c>
      <c r="AB45" s="1">
        <v>5</v>
      </c>
      <c r="AD45" s="1">
        <v>3</v>
      </c>
      <c r="AF45" s="1">
        <v>2</v>
      </c>
      <c r="AG45" s="1" t="s">
        <v>556</v>
      </c>
      <c r="AH45" s="1">
        <v>3</v>
      </c>
      <c r="AJ45" s="1">
        <v>2</v>
      </c>
      <c r="AK45" s="1" t="s">
        <v>557</v>
      </c>
      <c r="AL45" s="1">
        <v>3</v>
      </c>
      <c r="AN45" s="1">
        <v>3</v>
      </c>
      <c r="AP45" s="1">
        <v>3</v>
      </c>
      <c r="AR45" s="1">
        <v>3</v>
      </c>
    </row>
    <row r="46" spans="1:46">
      <c r="A46" s="301">
        <v>16</v>
      </c>
      <c r="B46" s="301">
        <v>1</v>
      </c>
      <c r="D46" s="301" t="str">
        <f t="shared" ca="1" si="4"/>
        <v>New Business Workflow</v>
      </c>
      <c r="E46" s="301">
        <v>4</v>
      </c>
      <c r="F46" s="1">
        <v>5</v>
      </c>
      <c r="H46" s="1">
        <v>5</v>
      </c>
      <c r="J46" s="1">
        <v>5</v>
      </c>
      <c r="L46" s="1">
        <v>5</v>
      </c>
      <c r="N46" s="1">
        <v>5</v>
      </c>
      <c r="P46" s="1">
        <v>5</v>
      </c>
      <c r="R46" s="1">
        <v>5</v>
      </c>
      <c r="T46" s="1">
        <v>5</v>
      </c>
      <c r="V46" s="1">
        <v>5</v>
      </c>
      <c r="X46" s="1">
        <v>5</v>
      </c>
      <c r="Z46" s="1">
        <v>5</v>
      </c>
      <c r="AB46" s="1">
        <v>5</v>
      </c>
      <c r="AD46" s="1">
        <v>4</v>
      </c>
      <c r="AF46" s="1">
        <v>4</v>
      </c>
      <c r="AH46" s="1">
        <v>5</v>
      </c>
      <c r="AJ46" s="1">
        <v>5</v>
      </c>
      <c r="AL46" s="1">
        <v>4</v>
      </c>
      <c r="AN46" s="1">
        <v>5</v>
      </c>
      <c r="AP46" s="1">
        <v>4</v>
      </c>
      <c r="AR46" s="1">
        <v>4</v>
      </c>
    </row>
    <row r="47" spans="1:46">
      <c r="A47" s="301">
        <v>17</v>
      </c>
      <c r="B47" s="301">
        <v>1</v>
      </c>
      <c r="D47" s="301" t="str">
        <f t="shared" ca="1" si="4"/>
        <v>Product Admin</v>
      </c>
      <c r="E47" s="301">
        <v>7</v>
      </c>
      <c r="F47" s="1">
        <v>4</v>
      </c>
      <c r="H47" s="1">
        <v>5</v>
      </c>
      <c r="J47" s="1">
        <v>4</v>
      </c>
      <c r="L47" s="1">
        <v>4</v>
      </c>
      <c r="N47" s="1">
        <v>4</v>
      </c>
      <c r="P47" s="1">
        <v>4</v>
      </c>
      <c r="R47" s="1">
        <v>4</v>
      </c>
      <c r="T47" s="1">
        <v>4</v>
      </c>
      <c r="V47" s="1">
        <v>4</v>
      </c>
      <c r="X47" s="1">
        <v>5</v>
      </c>
      <c r="Z47" s="1">
        <v>5</v>
      </c>
      <c r="AB47" s="1">
        <v>4</v>
      </c>
      <c r="AD47" s="1">
        <v>4</v>
      </c>
      <c r="AF47" s="1">
        <v>4</v>
      </c>
      <c r="AH47" s="1">
        <v>4</v>
      </c>
      <c r="AJ47" s="1">
        <v>4</v>
      </c>
      <c r="AL47" s="1">
        <v>4</v>
      </c>
      <c r="AN47" s="1">
        <v>4</v>
      </c>
      <c r="AP47" s="1">
        <v>4</v>
      </c>
      <c r="AR47" s="1">
        <v>4</v>
      </c>
    </row>
    <row r="48" spans="1:46">
      <c r="A48" s="301">
        <v>18</v>
      </c>
      <c r="B48" s="301">
        <v>1</v>
      </c>
      <c r="D48" s="301" t="str">
        <f t="shared" ca="1" si="4"/>
        <v>Technology Services</v>
      </c>
      <c r="E48" s="301">
        <v>11</v>
      </c>
      <c r="F48" s="1">
        <v>4</v>
      </c>
      <c r="H48" s="1">
        <v>4</v>
      </c>
      <c r="J48" s="1">
        <v>3</v>
      </c>
      <c r="K48" s="1" t="s">
        <v>558</v>
      </c>
      <c r="L48" s="1">
        <v>3</v>
      </c>
      <c r="M48" s="1" t="s">
        <v>559</v>
      </c>
      <c r="N48" s="1">
        <v>4</v>
      </c>
      <c r="P48" s="1">
        <v>5</v>
      </c>
      <c r="R48" s="1">
        <v>5</v>
      </c>
      <c r="T48" s="1">
        <v>5</v>
      </c>
      <c r="V48" s="1">
        <v>4</v>
      </c>
      <c r="X48" s="1">
        <v>4</v>
      </c>
      <c r="Z48" s="1">
        <v>4</v>
      </c>
      <c r="AB48" s="1">
        <v>4</v>
      </c>
      <c r="AD48" s="1">
        <v>3</v>
      </c>
      <c r="AF48" s="1">
        <v>3</v>
      </c>
      <c r="AH48" s="1">
        <v>4</v>
      </c>
      <c r="AJ48" s="1">
        <v>3</v>
      </c>
      <c r="AL48" s="1">
        <v>4</v>
      </c>
      <c r="AN48" s="1">
        <v>3</v>
      </c>
      <c r="AO48" s="1" t="s">
        <v>560</v>
      </c>
      <c r="AP48" s="1">
        <v>4</v>
      </c>
      <c r="AR48" s="1">
        <v>4</v>
      </c>
      <c r="AS48" s="1" t="s">
        <v>561</v>
      </c>
    </row>
    <row r="49" spans="1:46" ht="114.75">
      <c r="A49" s="301">
        <v>19</v>
      </c>
      <c r="B49" s="301">
        <v>1</v>
      </c>
      <c r="D49" s="301" t="str">
        <f t="shared" ca="1" si="4"/>
        <v>Product Admin</v>
      </c>
      <c r="E49" s="301">
        <v>7</v>
      </c>
      <c r="F49" s="1">
        <v>3</v>
      </c>
      <c r="H49" s="1">
        <v>4</v>
      </c>
      <c r="J49" s="1">
        <v>4</v>
      </c>
      <c r="L49" s="1">
        <v>5</v>
      </c>
      <c r="N49" s="1">
        <v>5</v>
      </c>
      <c r="P49" s="1">
        <v>5</v>
      </c>
      <c r="R49" s="1">
        <v>5</v>
      </c>
      <c r="T49" s="1">
        <v>5</v>
      </c>
      <c r="V49" s="1">
        <v>3</v>
      </c>
      <c r="X49" s="1">
        <v>4</v>
      </c>
      <c r="Z49" s="1">
        <v>4</v>
      </c>
      <c r="AB49" s="1">
        <v>4</v>
      </c>
      <c r="AD49" s="1">
        <v>5</v>
      </c>
      <c r="AF49" s="1">
        <v>4</v>
      </c>
      <c r="AH49" s="1">
        <v>4</v>
      </c>
      <c r="AJ49" s="1">
        <v>4</v>
      </c>
      <c r="AL49" s="1">
        <v>4</v>
      </c>
      <c r="AN49" s="1">
        <v>5</v>
      </c>
      <c r="AP49" s="1">
        <v>4</v>
      </c>
      <c r="AR49" s="1">
        <v>4</v>
      </c>
      <c r="AT49" s="1" t="s">
        <v>562</v>
      </c>
    </row>
    <row r="50" spans="1:46">
      <c r="A50" s="301">
        <v>20</v>
      </c>
      <c r="B50" s="301">
        <v>1</v>
      </c>
      <c r="D50" s="301" t="str">
        <f t="shared" ca="1" si="4"/>
        <v>Technology Services</v>
      </c>
      <c r="E50" s="301">
        <v>11</v>
      </c>
      <c r="F50" s="1">
        <v>5</v>
      </c>
      <c r="H50" s="1">
        <v>5</v>
      </c>
      <c r="J50" s="1">
        <v>4</v>
      </c>
      <c r="L50" s="1">
        <v>4</v>
      </c>
      <c r="N50" s="1">
        <v>4</v>
      </c>
      <c r="P50" s="1">
        <v>5</v>
      </c>
      <c r="R50" s="1">
        <v>5</v>
      </c>
      <c r="T50" s="1">
        <v>5</v>
      </c>
      <c r="V50" s="1">
        <v>5</v>
      </c>
      <c r="X50" s="1">
        <v>5</v>
      </c>
      <c r="Z50" s="1">
        <v>5</v>
      </c>
      <c r="AB50" s="1">
        <v>5</v>
      </c>
      <c r="AD50" s="1">
        <v>5</v>
      </c>
      <c r="AF50" s="1">
        <v>4</v>
      </c>
      <c r="AH50" s="1">
        <v>4</v>
      </c>
      <c r="AJ50" s="1">
        <v>3</v>
      </c>
      <c r="AL50" s="1">
        <v>4</v>
      </c>
      <c r="AN50" s="1">
        <v>5</v>
      </c>
      <c r="AP50" s="1">
        <v>4</v>
      </c>
      <c r="AR50" s="1">
        <v>4</v>
      </c>
    </row>
    <row r="51" spans="1:46">
      <c r="A51" s="301">
        <v>21</v>
      </c>
      <c r="B51" s="301">
        <v>1</v>
      </c>
      <c r="D51" s="301" t="str">
        <f t="shared" ca="1" si="4"/>
        <v>Inforce Workflow</v>
      </c>
      <c r="E51" s="301">
        <v>3</v>
      </c>
      <c r="F51" s="1">
        <v>4</v>
      </c>
      <c r="H51" s="1">
        <v>4</v>
      </c>
      <c r="J51" s="1">
        <v>4</v>
      </c>
      <c r="L51" s="1">
        <v>4</v>
      </c>
      <c r="N51" s="1">
        <v>4</v>
      </c>
      <c r="P51" s="1">
        <v>4</v>
      </c>
      <c r="R51" s="1">
        <v>4</v>
      </c>
      <c r="T51" s="1">
        <v>4</v>
      </c>
      <c r="V51" s="1">
        <v>4</v>
      </c>
      <c r="X51" s="1">
        <v>4</v>
      </c>
      <c r="Z51" s="1">
        <v>4</v>
      </c>
      <c r="AB51" s="1">
        <v>4</v>
      </c>
      <c r="AD51" s="1">
        <v>4</v>
      </c>
      <c r="AF51" s="1">
        <v>4</v>
      </c>
      <c r="AH51" s="1">
        <v>4</v>
      </c>
      <c r="AJ51" s="1">
        <v>4</v>
      </c>
      <c r="AL51" s="1">
        <v>4</v>
      </c>
      <c r="AN51" s="1">
        <v>4</v>
      </c>
      <c r="AP51" s="1">
        <v>4</v>
      </c>
      <c r="AR51" s="1">
        <v>4</v>
      </c>
    </row>
    <row r="52" spans="1:46" ht="63.75">
      <c r="A52" s="301">
        <v>22</v>
      </c>
      <c r="B52" s="301">
        <v>1</v>
      </c>
      <c r="D52" s="301" t="str">
        <f t="shared" ca="1" si="4"/>
        <v>IT Operations - Help Desk</v>
      </c>
      <c r="E52" s="301">
        <v>12</v>
      </c>
      <c r="F52" s="1">
        <v>2</v>
      </c>
      <c r="G52" s="1" t="s">
        <v>563</v>
      </c>
      <c r="H52" s="1">
        <v>1</v>
      </c>
      <c r="I52" s="1" t="s">
        <v>564</v>
      </c>
      <c r="J52" s="1">
        <v>2</v>
      </c>
      <c r="K52" s="1" t="s">
        <v>565</v>
      </c>
      <c r="L52" s="1">
        <v>1</v>
      </c>
      <c r="M52" s="1" t="s">
        <v>566</v>
      </c>
      <c r="N52" s="1">
        <v>4</v>
      </c>
      <c r="P52" s="1">
        <v>4</v>
      </c>
      <c r="Q52" s="1" t="s">
        <v>567</v>
      </c>
      <c r="R52" s="1">
        <v>4</v>
      </c>
      <c r="S52" s="1" t="s">
        <v>568</v>
      </c>
      <c r="T52" s="1">
        <v>4</v>
      </c>
      <c r="V52" s="1">
        <v>4</v>
      </c>
      <c r="X52" s="1">
        <v>2</v>
      </c>
      <c r="Y52" s="1" t="s">
        <v>569</v>
      </c>
      <c r="Z52" s="1">
        <v>2</v>
      </c>
      <c r="AA52" s="1" t="s">
        <v>570</v>
      </c>
      <c r="AB52" s="1">
        <v>4</v>
      </c>
      <c r="AC52" s="1" t="s">
        <v>571</v>
      </c>
      <c r="AD52" s="1">
        <v>4</v>
      </c>
      <c r="AF52" s="1">
        <v>6</v>
      </c>
      <c r="AG52" s="1" t="s">
        <v>572</v>
      </c>
      <c r="AH52" s="1">
        <v>4</v>
      </c>
      <c r="AJ52" s="1">
        <v>2</v>
      </c>
      <c r="AK52" s="1" t="s">
        <v>573</v>
      </c>
      <c r="AL52" s="1">
        <v>2</v>
      </c>
      <c r="AM52" s="1" t="s">
        <v>574</v>
      </c>
      <c r="AN52" s="1">
        <v>2</v>
      </c>
      <c r="AO52" s="1" t="s">
        <v>575</v>
      </c>
      <c r="AP52" s="1">
        <v>3</v>
      </c>
      <c r="AR52" s="1">
        <v>4</v>
      </c>
      <c r="AS52" s="1" t="s">
        <v>576</v>
      </c>
      <c r="AT52" s="1" t="s">
        <v>577</v>
      </c>
    </row>
    <row r="53" spans="1:46">
      <c r="A53" s="301">
        <v>23</v>
      </c>
      <c r="B53" s="301">
        <v>1</v>
      </c>
      <c r="D53" s="301" t="str">
        <f t="shared" ca="1" si="4"/>
        <v>Service</v>
      </c>
      <c r="E53" s="301">
        <v>9</v>
      </c>
      <c r="F53" s="1">
        <v>5</v>
      </c>
      <c r="H53" s="1">
        <v>5</v>
      </c>
      <c r="J53" s="1">
        <v>4</v>
      </c>
      <c r="L53" s="1">
        <v>4</v>
      </c>
      <c r="N53" s="1">
        <v>4</v>
      </c>
      <c r="P53" s="1">
        <v>4</v>
      </c>
      <c r="R53" s="1">
        <v>5</v>
      </c>
      <c r="T53" s="1">
        <v>5</v>
      </c>
      <c r="V53" s="1">
        <v>5</v>
      </c>
      <c r="X53" s="1">
        <v>5</v>
      </c>
      <c r="Z53" s="1">
        <v>5</v>
      </c>
      <c r="AB53" s="1">
        <v>5</v>
      </c>
      <c r="AD53" s="1">
        <v>5</v>
      </c>
      <c r="AF53" s="1">
        <v>4</v>
      </c>
      <c r="AH53" s="1">
        <v>5</v>
      </c>
      <c r="AJ53" s="1">
        <v>5</v>
      </c>
      <c r="AL53" s="1">
        <v>4</v>
      </c>
      <c r="AN53" s="1">
        <v>4</v>
      </c>
      <c r="AP53" s="1">
        <v>4</v>
      </c>
      <c r="AR53" s="1">
        <v>4</v>
      </c>
    </row>
    <row r="54" spans="1:46">
      <c r="A54" s="301">
        <v>24</v>
      </c>
      <c r="B54" s="301">
        <v>1</v>
      </c>
      <c r="D54" s="301" t="str">
        <f t="shared" ca="1" si="4"/>
        <v>Product Admin</v>
      </c>
      <c r="E54" s="301">
        <v>7</v>
      </c>
      <c r="F54" s="1">
        <v>4</v>
      </c>
      <c r="H54" s="1">
        <v>4</v>
      </c>
      <c r="J54" s="1">
        <v>5</v>
      </c>
      <c r="L54" s="1">
        <v>5</v>
      </c>
      <c r="N54" s="1">
        <v>4</v>
      </c>
      <c r="P54" s="1">
        <v>5</v>
      </c>
      <c r="R54" s="1">
        <v>5</v>
      </c>
      <c r="T54" s="1">
        <v>5</v>
      </c>
      <c r="V54" s="1">
        <v>4</v>
      </c>
      <c r="X54" s="1">
        <v>5</v>
      </c>
      <c r="Z54" s="1">
        <v>5</v>
      </c>
      <c r="AB54" s="1">
        <v>5</v>
      </c>
      <c r="AD54" s="1">
        <v>4</v>
      </c>
      <c r="AF54" s="1">
        <v>4</v>
      </c>
      <c r="AH54" s="1">
        <v>4</v>
      </c>
      <c r="AJ54" s="1">
        <v>4</v>
      </c>
      <c r="AL54" s="1">
        <v>4</v>
      </c>
      <c r="AN54" s="1">
        <v>5</v>
      </c>
      <c r="AP54" s="1">
        <v>4</v>
      </c>
      <c r="AR54" s="1">
        <v>4</v>
      </c>
    </row>
    <row r="55" spans="1:46" ht="38.25">
      <c r="A55" s="301">
        <v>25</v>
      </c>
      <c r="B55" s="301">
        <v>1</v>
      </c>
      <c r="D55" s="301" t="str">
        <f t="shared" ca="1" si="4"/>
        <v>Service</v>
      </c>
      <c r="E55" s="301">
        <v>9</v>
      </c>
      <c r="F55" s="1">
        <v>3</v>
      </c>
      <c r="H55" s="1">
        <v>2</v>
      </c>
      <c r="I55" s="1" t="s">
        <v>578</v>
      </c>
      <c r="J55" s="1">
        <v>4</v>
      </c>
      <c r="L55" s="1">
        <v>4</v>
      </c>
      <c r="N55" s="1">
        <v>3</v>
      </c>
      <c r="P55" s="1">
        <v>3</v>
      </c>
      <c r="R55" s="1">
        <v>5</v>
      </c>
      <c r="T55" s="1">
        <v>5</v>
      </c>
      <c r="V55" s="1">
        <v>4</v>
      </c>
      <c r="W55" s="1" t="s">
        <v>579</v>
      </c>
      <c r="X55" s="1">
        <v>5</v>
      </c>
      <c r="Z55" s="1">
        <v>5</v>
      </c>
      <c r="AB55" s="1">
        <v>5</v>
      </c>
      <c r="AD55" s="1">
        <v>3</v>
      </c>
      <c r="AF55" s="1">
        <v>1</v>
      </c>
      <c r="AG55" s="1" t="s">
        <v>580</v>
      </c>
      <c r="AH55" s="1">
        <v>4</v>
      </c>
      <c r="AJ55" s="1">
        <v>5</v>
      </c>
      <c r="AL55" s="1">
        <v>3</v>
      </c>
      <c r="AN55" s="1">
        <v>5</v>
      </c>
      <c r="AP55" s="1">
        <v>3</v>
      </c>
      <c r="AQ55" s="1" t="s">
        <v>581</v>
      </c>
      <c r="AR55" s="1">
        <v>3</v>
      </c>
    </row>
    <row r="56" spans="1:46" ht="25.5">
      <c r="A56" s="301">
        <v>26</v>
      </c>
      <c r="B56" s="301">
        <v>1</v>
      </c>
      <c r="D56" s="301" t="str">
        <f t="shared" ca="1" si="4"/>
        <v>Service</v>
      </c>
      <c r="E56" s="301">
        <v>9</v>
      </c>
      <c r="F56" s="1">
        <v>3</v>
      </c>
      <c r="H56" s="1">
        <v>3</v>
      </c>
      <c r="J56" s="1">
        <v>2</v>
      </c>
      <c r="K56" s="1" t="s">
        <v>582</v>
      </c>
      <c r="L56" s="1">
        <v>4</v>
      </c>
      <c r="N56" s="1">
        <v>3</v>
      </c>
      <c r="P56" s="1">
        <v>4</v>
      </c>
      <c r="R56" s="1">
        <v>3</v>
      </c>
      <c r="T56" s="1">
        <v>4</v>
      </c>
      <c r="V56" s="1">
        <v>4</v>
      </c>
      <c r="X56" s="1">
        <v>4</v>
      </c>
      <c r="Z56" s="1">
        <v>4</v>
      </c>
      <c r="AB56" s="1">
        <v>4</v>
      </c>
      <c r="AD56" s="1">
        <v>3</v>
      </c>
      <c r="AF56" s="1">
        <v>3</v>
      </c>
      <c r="AH56" s="1">
        <v>4</v>
      </c>
      <c r="AJ56" s="1">
        <v>3</v>
      </c>
      <c r="AL56" s="1">
        <v>3</v>
      </c>
      <c r="AN56" s="1">
        <v>3</v>
      </c>
      <c r="AP56" s="1">
        <v>4</v>
      </c>
      <c r="AR56" s="1">
        <v>3</v>
      </c>
    </row>
    <row r="57" spans="1:46" ht="25.5">
      <c r="A57" s="301">
        <v>27</v>
      </c>
      <c r="B57" s="301">
        <v>1</v>
      </c>
      <c r="D57" s="301" t="str">
        <f t="shared" ca="1" si="4"/>
        <v>IT Operations - Help Desk</v>
      </c>
      <c r="E57" s="301">
        <v>12</v>
      </c>
      <c r="F57" s="1">
        <v>3</v>
      </c>
      <c r="H57" s="1">
        <v>2</v>
      </c>
      <c r="I57" s="1" t="s">
        <v>583</v>
      </c>
      <c r="J57" s="1">
        <v>3</v>
      </c>
      <c r="L57" s="1">
        <v>3</v>
      </c>
      <c r="N57" s="1">
        <v>2</v>
      </c>
      <c r="O57" s="1" t="s">
        <v>584</v>
      </c>
      <c r="P57" s="1">
        <v>4</v>
      </c>
      <c r="R57" s="1">
        <v>5</v>
      </c>
      <c r="T57" s="1">
        <v>4</v>
      </c>
      <c r="V57" s="1">
        <v>3</v>
      </c>
      <c r="X57" s="1">
        <v>3</v>
      </c>
      <c r="Z57" s="1">
        <v>3</v>
      </c>
      <c r="AB57" s="1">
        <v>3</v>
      </c>
      <c r="AD57" s="1">
        <v>3</v>
      </c>
      <c r="AF57" s="1">
        <v>3</v>
      </c>
      <c r="AH57" s="1">
        <v>3</v>
      </c>
      <c r="AJ57" s="1">
        <v>4</v>
      </c>
      <c r="AL57" s="1">
        <v>2</v>
      </c>
      <c r="AN57" s="1">
        <v>5</v>
      </c>
      <c r="AP57" s="1">
        <v>4</v>
      </c>
      <c r="AR57" s="1">
        <v>4</v>
      </c>
    </row>
    <row r="58" spans="1:46">
      <c r="A58" s="301">
        <v>28</v>
      </c>
      <c r="B58" s="301">
        <v>1</v>
      </c>
      <c r="D58" s="301" t="str">
        <f t="shared" ca="1" si="4"/>
        <v>Technology Services</v>
      </c>
      <c r="E58" s="301">
        <v>11</v>
      </c>
      <c r="F58" s="1">
        <v>4</v>
      </c>
      <c r="H58" s="1">
        <v>4</v>
      </c>
      <c r="J58" s="1">
        <v>4</v>
      </c>
      <c r="L58" s="1">
        <v>4</v>
      </c>
      <c r="N58" s="1">
        <v>4</v>
      </c>
      <c r="P58" s="1">
        <v>4</v>
      </c>
      <c r="R58" s="1">
        <v>4</v>
      </c>
      <c r="T58" s="1">
        <v>4</v>
      </c>
      <c r="V58" s="1">
        <v>4</v>
      </c>
      <c r="X58" s="1">
        <v>4</v>
      </c>
      <c r="Z58" s="1">
        <v>4</v>
      </c>
      <c r="AB58" s="1">
        <v>4</v>
      </c>
      <c r="AD58" s="1">
        <v>3</v>
      </c>
      <c r="AF58" s="1">
        <v>3</v>
      </c>
      <c r="AH58" s="1">
        <v>4</v>
      </c>
      <c r="AJ58" s="1">
        <v>3</v>
      </c>
      <c r="AL58" s="1">
        <v>3</v>
      </c>
      <c r="AN58" s="1">
        <v>4</v>
      </c>
      <c r="AP58" s="1">
        <v>4</v>
      </c>
      <c r="AR58" s="1">
        <v>4</v>
      </c>
    </row>
    <row r="59" spans="1:46">
      <c r="A59" s="301">
        <v>29</v>
      </c>
      <c r="B59" s="301">
        <v>1</v>
      </c>
      <c r="D59" s="301" t="str">
        <f t="shared" ca="1" si="4"/>
        <v>IT Operations - Server</v>
      </c>
      <c r="E59" s="301">
        <v>13</v>
      </c>
      <c r="F59" s="1">
        <v>2</v>
      </c>
      <c r="H59" s="1">
        <v>3</v>
      </c>
      <c r="J59" s="1">
        <v>4</v>
      </c>
      <c r="L59" s="1">
        <v>3</v>
      </c>
      <c r="N59" s="1">
        <v>4</v>
      </c>
      <c r="P59" s="1">
        <v>5</v>
      </c>
      <c r="R59" s="1">
        <v>5</v>
      </c>
      <c r="T59" s="1">
        <v>4</v>
      </c>
      <c r="V59" s="1">
        <v>3</v>
      </c>
      <c r="X59" s="1">
        <v>4</v>
      </c>
      <c r="Z59" s="1">
        <v>3</v>
      </c>
      <c r="AB59" s="1">
        <v>3</v>
      </c>
      <c r="AD59" s="1">
        <v>5</v>
      </c>
      <c r="AF59" s="1">
        <v>4</v>
      </c>
      <c r="AH59" s="1">
        <v>5</v>
      </c>
      <c r="AJ59" s="1">
        <v>1</v>
      </c>
      <c r="AL59" s="1">
        <v>3</v>
      </c>
      <c r="AN59" s="1">
        <v>5</v>
      </c>
      <c r="AP59" s="1">
        <v>4</v>
      </c>
      <c r="AR59" s="1">
        <v>4</v>
      </c>
    </row>
    <row r="60" spans="1:46">
      <c r="A60" s="301">
        <v>30</v>
      </c>
      <c r="B60" s="301">
        <v>1</v>
      </c>
      <c r="D60" s="301" t="str">
        <f t="shared" ca="1" si="4"/>
        <v>Technology Services</v>
      </c>
      <c r="E60" s="301">
        <v>11</v>
      </c>
      <c r="F60" s="1">
        <v>3</v>
      </c>
      <c r="H60" s="1">
        <v>3</v>
      </c>
      <c r="J60" s="1">
        <v>4</v>
      </c>
      <c r="L60" s="1">
        <v>4</v>
      </c>
      <c r="N60" s="1">
        <v>4</v>
      </c>
      <c r="P60" s="1">
        <v>4</v>
      </c>
      <c r="R60" s="1">
        <v>4</v>
      </c>
      <c r="T60" s="1">
        <v>4</v>
      </c>
      <c r="V60" s="1">
        <v>4</v>
      </c>
      <c r="X60" s="1">
        <v>3</v>
      </c>
      <c r="Z60" s="1">
        <v>3</v>
      </c>
      <c r="AB60" s="1">
        <v>4</v>
      </c>
      <c r="AD60" s="1">
        <v>3</v>
      </c>
      <c r="AF60" s="1">
        <v>3</v>
      </c>
      <c r="AH60" s="1">
        <v>4</v>
      </c>
      <c r="AJ60" s="1">
        <v>3</v>
      </c>
      <c r="AL60" s="1">
        <v>3</v>
      </c>
      <c r="AN60" s="1">
        <v>3</v>
      </c>
      <c r="AP60" s="1">
        <v>4</v>
      </c>
      <c r="AR60" s="1">
        <v>6</v>
      </c>
    </row>
    <row r="61" spans="1:46">
      <c r="A61" s="301">
        <v>31</v>
      </c>
      <c r="B61" s="301">
        <v>1</v>
      </c>
      <c r="D61" s="301" t="str">
        <f t="shared" ca="1" si="4"/>
        <v>New Business Workflow</v>
      </c>
      <c r="E61" s="301">
        <v>4</v>
      </c>
      <c r="F61" s="1">
        <v>4</v>
      </c>
      <c r="H61" s="1">
        <v>3</v>
      </c>
      <c r="J61" s="1">
        <v>4</v>
      </c>
      <c r="L61" s="1">
        <v>4</v>
      </c>
      <c r="N61" s="1">
        <v>4</v>
      </c>
      <c r="P61" s="1">
        <v>4</v>
      </c>
      <c r="R61" s="1">
        <v>4</v>
      </c>
      <c r="T61" s="1">
        <v>4</v>
      </c>
      <c r="V61" s="1">
        <v>4</v>
      </c>
      <c r="X61" s="1">
        <v>4</v>
      </c>
      <c r="Z61" s="1">
        <v>3</v>
      </c>
      <c r="AB61" s="1">
        <v>3</v>
      </c>
      <c r="AD61" s="1">
        <v>4</v>
      </c>
      <c r="AF61" s="1">
        <v>4</v>
      </c>
      <c r="AH61" s="1">
        <v>4</v>
      </c>
      <c r="AJ61" s="1">
        <v>4</v>
      </c>
      <c r="AL61" s="1">
        <v>3</v>
      </c>
      <c r="AN61" s="1">
        <v>3</v>
      </c>
      <c r="AP61" s="1">
        <v>3</v>
      </c>
      <c r="AR61" s="1">
        <v>3</v>
      </c>
    </row>
    <row r="62" spans="1:46">
      <c r="A62" s="301">
        <v>32</v>
      </c>
      <c r="B62" s="301">
        <v>1</v>
      </c>
      <c r="D62" s="301" t="str">
        <f t="shared" ca="1" si="4"/>
        <v>Sales</v>
      </c>
      <c r="E62" s="301">
        <v>8</v>
      </c>
      <c r="F62" s="1">
        <v>2</v>
      </c>
      <c r="H62" s="1">
        <v>1</v>
      </c>
      <c r="J62" s="1">
        <v>2</v>
      </c>
      <c r="L62" s="1">
        <v>3</v>
      </c>
      <c r="N62" s="1">
        <v>3</v>
      </c>
      <c r="P62" s="1">
        <v>3</v>
      </c>
      <c r="R62" s="1">
        <v>4</v>
      </c>
      <c r="T62" s="1">
        <v>4</v>
      </c>
      <c r="V62" s="1">
        <v>4</v>
      </c>
      <c r="X62" s="1">
        <v>4</v>
      </c>
      <c r="Z62" s="1">
        <v>4</v>
      </c>
      <c r="AB62" s="1">
        <v>4</v>
      </c>
      <c r="AD62" s="1">
        <v>4</v>
      </c>
      <c r="AF62" s="1">
        <v>1</v>
      </c>
      <c r="AH62" s="1">
        <v>4</v>
      </c>
      <c r="AJ62" s="1">
        <v>1</v>
      </c>
      <c r="AL62" s="1">
        <v>2</v>
      </c>
      <c r="AN62" s="1">
        <v>3</v>
      </c>
      <c r="AP62" s="1">
        <v>3</v>
      </c>
      <c r="AR62" s="1">
        <v>2</v>
      </c>
    </row>
    <row r="63" spans="1:46">
      <c r="A63" s="301">
        <v>33</v>
      </c>
      <c r="B63" s="301">
        <v>1</v>
      </c>
      <c r="D63" s="301" t="str">
        <f t="shared" ref="D63:D94" ca="1" si="5">LOOKUP(E63,INDIRECT(Team_Name_Lookup))</f>
        <v>Technology Services</v>
      </c>
      <c r="E63" s="301">
        <v>11</v>
      </c>
      <c r="F63" s="1">
        <v>4</v>
      </c>
      <c r="H63" s="1">
        <v>4</v>
      </c>
      <c r="J63" s="1">
        <v>4</v>
      </c>
      <c r="L63" s="1">
        <v>4</v>
      </c>
      <c r="N63" s="1">
        <v>4</v>
      </c>
      <c r="P63" s="1">
        <v>4</v>
      </c>
      <c r="R63" s="1">
        <v>4</v>
      </c>
      <c r="T63" s="1">
        <v>4</v>
      </c>
      <c r="V63" s="1">
        <v>4</v>
      </c>
      <c r="X63" s="1">
        <v>4</v>
      </c>
      <c r="Z63" s="1">
        <v>4</v>
      </c>
      <c r="AB63" s="1">
        <v>4</v>
      </c>
      <c r="AD63" s="1">
        <v>4</v>
      </c>
      <c r="AF63" s="1">
        <v>4</v>
      </c>
      <c r="AH63" s="1">
        <v>3</v>
      </c>
      <c r="AJ63" s="1">
        <v>4</v>
      </c>
      <c r="AL63" s="1">
        <v>4</v>
      </c>
      <c r="AN63" s="1">
        <v>4</v>
      </c>
      <c r="AP63" s="1">
        <v>4</v>
      </c>
      <c r="AR63" s="1">
        <v>4</v>
      </c>
    </row>
    <row r="64" spans="1:46">
      <c r="A64" s="301">
        <v>34</v>
      </c>
      <c r="B64" s="301">
        <v>1</v>
      </c>
      <c r="D64" s="301" t="str">
        <f t="shared" ca="1" si="5"/>
        <v>Service</v>
      </c>
      <c r="E64" s="301">
        <v>9</v>
      </c>
      <c r="F64" s="1">
        <v>3</v>
      </c>
      <c r="H64" s="1">
        <v>5</v>
      </c>
      <c r="J64" s="1">
        <v>2</v>
      </c>
      <c r="K64" s="1" t="s">
        <v>585</v>
      </c>
      <c r="L64" s="1">
        <v>4</v>
      </c>
      <c r="N64" s="1">
        <v>2</v>
      </c>
      <c r="O64" s="1" t="s">
        <v>586</v>
      </c>
      <c r="P64" s="1">
        <v>5</v>
      </c>
      <c r="R64" s="1">
        <v>4</v>
      </c>
      <c r="T64" s="1">
        <v>3</v>
      </c>
      <c r="V64" s="1">
        <v>4</v>
      </c>
      <c r="X64" s="1">
        <v>2</v>
      </c>
      <c r="Y64" s="1" t="s">
        <v>587</v>
      </c>
      <c r="Z64" s="1">
        <v>3</v>
      </c>
      <c r="AB64" s="1">
        <v>3</v>
      </c>
      <c r="AD64" s="1">
        <v>4</v>
      </c>
      <c r="AF64" s="1">
        <v>4</v>
      </c>
      <c r="AH64" s="1">
        <v>4</v>
      </c>
      <c r="AJ64" s="1">
        <v>5</v>
      </c>
      <c r="AL64" s="1">
        <v>4</v>
      </c>
      <c r="AN64" s="1">
        <v>4</v>
      </c>
      <c r="AP64" s="1">
        <v>4</v>
      </c>
      <c r="AR64" s="1">
        <v>5</v>
      </c>
    </row>
    <row r="65" spans="1:46">
      <c r="A65" s="301">
        <v>35</v>
      </c>
      <c r="B65" s="301">
        <v>1</v>
      </c>
      <c r="D65" s="301" t="str">
        <f t="shared" ca="1" si="5"/>
        <v>IT Operations - Help Desk</v>
      </c>
      <c r="E65" s="301">
        <v>12</v>
      </c>
      <c r="F65" s="1">
        <v>4</v>
      </c>
      <c r="H65" s="1">
        <v>4</v>
      </c>
      <c r="J65" s="1">
        <v>5</v>
      </c>
      <c r="L65" s="1">
        <v>3</v>
      </c>
      <c r="N65" s="1">
        <v>5</v>
      </c>
      <c r="P65" s="1">
        <v>5</v>
      </c>
      <c r="R65" s="1">
        <v>5</v>
      </c>
      <c r="T65" s="1">
        <v>5</v>
      </c>
      <c r="V65" s="1">
        <v>4</v>
      </c>
      <c r="X65" s="1">
        <v>5</v>
      </c>
      <c r="Z65" s="1">
        <v>5</v>
      </c>
      <c r="AB65" s="1">
        <v>5</v>
      </c>
      <c r="AD65" s="1">
        <v>3</v>
      </c>
      <c r="AF65" s="1">
        <v>4</v>
      </c>
      <c r="AH65" s="1">
        <v>4</v>
      </c>
      <c r="AJ65" s="1">
        <v>5</v>
      </c>
      <c r="AL65" s="1">
        <v>5</v>
      </c>
      <c r="AN65" s="1">
        <v>4</v>
      </c>
      <c r="AP65" s="1">
        <v>4</v>
      </c>
      <c r="AR65" s="1">
        <v>3</v>
      </c>
    </row>
    <row r="66" spans="1:46">
      <c r="A66" s="301">
        <v>36</v>
      </c>
      <c r="B66" s="301">
        <v>1</v>
      </c>
      <c r="D66" s="301" t="str">
        <f t="shared" ca="1" si="5"/>
        <v>Technology Services</v>
      </c>
      <c r="E66" s="301">
        <v>11</v>
      </c>
      <c r="F66" s="1">
        <v>4</v>
      </c>
      <c r="H66" s="1">
        <v>4</v>
      </c>
      <c r="J66" s="1">
        <v>4</v>
      </c>
      <c r="L66" s="1">
        <v>4</v>
      </c>
      <c r="N66" s="1">
        <v>4</v>
      </c>
      <c r="P66" s="1">
        <v>4</v>
      </c>
      <c r="R66" s="1">
        <v>4</v>
      </c>
      <c r="T66" s="1">
        <v>4</v>
      </c>
      <c r="V66" s="1">
        <v>4</v>
      </c>
      <c r="X66" s="1">
        <v>4</v>
      </c>
      <c r="Z66" s="1">
        <v>4</v>
      </c>
      <c r="AB66" s="1">
        <v>4</v>
      </c>
      <c r="AD66" s="1">
        <v>4</v>
      </c>
      <c r="AF66" s="1">
        <v>4</v>
      </c>
      <c r="AH66" s="1">
        <v>3</v>
      </c>
      <c r="AJ66" s="1">
        <v>4</v>
      </c>
      <c r="AL66" s="1">
        <v>3</v>
      </c>
      <c r="AN66" s="1">
        <v>5</v>
      </c>
      <c r="AP66" s="1">
        <v>4</v>
      </c>
      <c r="AR66" s="1">
        <v>4</v>
      </c>
    </row>
    <row r="67" spans="1:46">
      <c r="A67" s="301">
        <v>37</v>
      </c>
      <c r="B67" s="301">
        <v>1</v>
      </c>
      <c r="D67" s="301" t="str">
        <f t="shared" ca="1" si="5"/>
        <v>Product Admin</v>
      </c>
      <c r="E67" s="301">
        <v>7</v>
      </c>
      <c r="F67" s="1">
        <v>4</v>
      </c>
      <c r="H67" s="1">
        <v>3</v>
      </c>
      <c r="J67" s="1">
        <v>4</v>
      </c>
      <c r="L67" s="1">
        <v>4</v>
      </c>
      <c r="N67" s="1">
        <v>4</v>
      </c>
      <c r="P67" s="1">
        <v>5</v>
      </c>
      <c r="R67" s="1">
        <v>4</v>
      </c>
      <c r="T67" s="1">
        <v>4</v>
      </c>
      <c r="V67" s="1">
        <v>4</v>
      </c>
      <c r="X67" s="1">
        <v>4</v>
      </c>
      <c r="Z67" s="1">
        <v>3</v>
      </c>
      <c r="AB67" s="1">
        <v>4</v>
      </c>
      <c r="AD67" s="1">
        <v>4</v>
      </c>
      <c r="AF67" s="1">
        <v>5</v>
      </c>
      <c r="AH67" s="1">
        <v>5</v>
      </c>
      <c r="AJ67" s="1">
        <v>4</v>
      </c>
      <c r="AL67" s="1">
        <v>4</v>
      </c>
      <c r="AN67" s="1">
        <v>4</v>
      </c>
      <c r="AP67" s="1">
        <v>4</v>
      </c>
      <c r="AR67" s="1">
        <v>4</v>
      </c>
    </row>
    <row r="68" spans="1:46">
      <c r="A68" s="301">
        <v>38</v>
      </c>
      <c r="B68" s="301">
        <v>1</v>
      </c>
      <c r="D68" s="301" t="str">
        <f t="shared" ca="1" si="5"/>
        <v>Product Admin</v>
      </c>
      <c r="E68" s="301">
        <v>7</v>
      </c>
      <c r="F68" s="1">
        <v>5</v>
      </c>
      <c r="H68" s="1">
        <v>5</v>
      </c>
      <c r="J68" s="1">
        <v>4</v>
      </c>
      <c r="L68" s="1">
        <v>4</v>
      </c>
      <c r="N68" s="1">
        <v>4</v>
      </c>
      <c r="P68" s="1">
        <v>5</v>
      </c>
      <c r="R68" s="1">
        <v>5</v>
      </c>
      <c r="T68" s="1">
        <v>5</v>
      </c>
      <c r="V68" s="1">
        <v>5</v>
      </c>
      <c r="X68" s="1">
        <v>4</v>
      </c>
      <c r="Z68" s="1">
        <v>4</v>
      </c>
      <c r="AB68" s="1">
        <v>4</v>
      </c>
      <c r="AD68" s="1">
        <v>4</v>
      </c>
      <c r="AF68" s="1">
        <v>4</v>
      </c>
      <c r="AH68" s="1">
        <v>4</v>
      </c>
      <c r="AJ68" s="1">
        <v>5</v>
      </c>
      <c r="AL68" s="1">
        <v>5</v>
      </c>
      <c r="AN68" s="1">
        <v>4</v>
      </c>
      <c r="AP68" s="1">
        <v>5</v>
      </c>
      <c r="AR68" s="1">
        <v>5</v>
      </c>
    </row>
    <row r="69" spans="1:46" ht="25.5">
      <c r="A69" s="301">
        <v>39</v>
      </c>
      <c r="B69" s="301">
        <v>1</v>
      </c>
      <c r="D69" s="301" t="str">
        <f t="shared" ca="1" si="5"/>
        <v>Technology Services</v>
      </c>
      <c r="E69" s="301">
        <v>11</v>
      </c>
      <c r="F69" s="1">
        <v>4</v>
      </c>
      <c r="H69" s="1">
        <v>4</v>
      </c>
      <c r="J69" s="1">
        <v>4</v>
      </c>
      <c r="L69" s="1">
        <v>4</v>
      </c>
      <c r="N69" s="1">
        <v>1</v>
      </c>
      <c r="O69" s="1" t="s">
        <v>588</v>
      </c>
      <c r="P69" s="1">
        <v>5</v>
      </c>
      <c r="R69" s="1">
        <v>4</v>
      </c>
      <c r="T69" s="1">
        <v>4</v>
      </c>
      <c r="V69" s="1">
        <v>4</v>
      </c>
      <c r="X69" s="1">
        <v>4</v>
      </c>
      <c r="Z69" s="1">
        <v>4</v>
      </c>
      <c r="AB69" s="1">
        <v>4</v>
      </c>
      <c r="AD69" s="1">
        <v>4</v>
      </c>
      <c r="AF69" s="1">
        <v>3</v>
      </c>
      <c r="AH69" s="1">
        <v>3</v>
      </c>
      <c r="AJ69" s="1">
        <v>4</v>
      </c>
      <c r="AL69" s="1">
        <v>2</v>
      </c>
      <c r="AN69" s="1">
        <v>3</v>
      </c>
      <c r="AP69" s="1">
        <v>2</v>
      </c>
      <c r="AQ69" s="1" t="s">
        <v>589</v>
      </c>
      <c r="AR69" s="1">
        <v>1</v>
      </c>
    </row>
    <row r="70" spans="1:46">
      <c r="A70" s="301">
        <v>40</v>
      </c>
      <c r="B70" s="301">
        <v>1</v>
      </c>
      <c r="D70" s="301" t="str">
        <f t="shared" ca="1" si="5"/>
        <v>Producer CRM</v>
      </c>
      <c r="E70" s="301">
        <v>6</v>
      </c>
      <c r="F70" s="1">
        <v>4</v>
      </c>
      <c r="H70" s="1">
        <v>4</v>
      </c>
      <c r="J70" s="1">
        <v>4</v>
      </c>
      <c r="L70" s="1">
        <v>4</v>
      </c>
      <c r="N70" s="1">
        <v>4</v>
      </c>
      <c r="P70" s="1">
        <v>5</v>
      </c>
      <c r="R70" s="1">
        <v>5</v>
      </c>
      <c r="T70" s="1">
        <v>5</v>
      </c>
      <c r="V70" s="1">
        <v>5</v>
      </c>
      <c r="X70" s="1">
        <v>5</v>
      </c>
      <c r="Z70" s="1">
        <v>5</v>
      </c>
      <c r="AB70" s="1">
        <v>5</v>
      </c>
      <c r="AD70" s="1">
        <v>5</v>
      </c>
      <c r="AF70" s="1">
        <v>5</v>
      </c>
      <c r="AH70" s="1">
        <v>4</v>
      </c>
      <c r="AJ70" s="1">
        <v>6</v>
      </c>
      <c r="AL70" s="1">
        <v>5</v>
      </c>
      <c r="AN70" s="1">
        <v>4</v>
      </c>
      <c r="AP70" s="1">
        <v>3</v>
      </c>
      <c r="AR70" s="1">
        <v>4</v>
      </c>
    </row>
    <row r="71" spans="1:46" ht="51">
      <c r="A71" s="301">
        <v>41</v>
      </c>
      <c r="B71" s="301">
        <v>1</v>
      </c>
      <c r="D71" s="301" t="str">
        <f t="shared" ca="1" si="5"/>
        <v>Product Admin</v>
      </c>
      <c r="E71" s="301">
        <v>7</v>
      </c>
      <c r="F71" s="1">
        <v>4</v>
      </c>
      <c r="H71" s="1">
        <v>5</v>
      </c>
      <c r="J71" s="1">
        <v>4</v>
      </c>
      <c r="L71" s="1">
        <v>5</v>
      </c>
      <c r="N71" s="1">
        <v>4</v>
      </c>
      <c r="O71" s="1" t="s">
        <v>590</v>
      </c>
      <c r="P71" s="1">
        <v>5</v>
      </c>
      <c r="R71" s="1">
        <v>5</v>
      </c>
      <c r="T71" s="1">
        <v>5</v>
      </c>
      <c r="V71" s="1">
        <v>4</v>
      </c>
      <c r="X71" s="1">
        <v>5</v>
      </c>
      <c r="Z71" s="1">
        <v>5</v>
      </c>
      <c r="AB71" s="1">
        <v>5</v>
      </c>
      <c r="AD71" s="1">
        <v>5</v>
      </c>
      <c r="AF71" s="1">
        <v>4</v>
      </c>
      <c r="AH71" s="1">
        <v>5</v>
      </c>
      <c r="AJ71" s="1">
        <v>5</v>
      </c>
      <c r="AL71" s="1">
        <v>5</v>
      </c>
      <c r="AN71" s="1">
        <v>4</v>
      </c>
      <c r="AP71" s="1">
        <v>4</v>
      </c>
      <c r="AR71" s="1">
        <v>4</v>
      </c>
    </row>
    <row r="72" spans="1:46">
      <c r="A72" s="301">
        <v>42</v>
      </c>
      <c r="B72" s="301">
        <v>1</v>
      </c>
      <c r="D72" s="301" t="str">
        <f t="shared" ca="1" si="5"/>
        <v>Service</v>
      </c>
      <c r="E72" s="301">
        <v>9</v>
      </c>
      <c r="F72" s="1">
        <v>3</v>
      </c>
      <c r="H72" s="1">
        <v>3</v>
      </c>
      <c r="J72" s="1">
        <v>3</v>
      </c>
      <c r="L72" s="1">
        <v>4</v>
      </c>
      <c r="N72" s="1">
        <v>4</v>
      </c>
      <c r="P72" s="1">
        <v>4</v>
      </c>
      <c r="R72" s="1">
        <v>4</v>
      </c>
      <c r="T72" s="1">
        <v>5</v>
      </c>
      <c r="V72" s="1">
        <v>3</v>
      </c>
      <c r="X72" s="1">
        <v>4</v>
      </c>
      <c r="Z72" s="1">
        <v>5</v>
      </c>
      <c r="AB72" s="1">
        <v>5</v>
      </c>
      <c r="AD72" s="1">
        <v>4</v>
      </c>
      <c r="AF72" s="1">
        <v>3</v>
      </c>
      <c r="AH72" s="1">
        <v>4</v>
      </c>
      <c r="AJ72" s="1">
        <v>3</v>
      </c>
      <c r="AL72" s="1">
        <v>4</v>
      </c>
      <c r="AN72" s="1">
        <v>4</v>
      </c>
      <c r="AP72" s="1">
        <v>3</v>
      </c>
      <c r="AR72" s="1">
        <v>6</v>
      </c>
    </row>
    <row r="73" spans="1:46">
      <c r="A73" s="301">
        <v>43</v>
      </c>
      <c r="B73" s="301">
        <v>1</v>
      </c>
      <c r="D73" s="301" t="str">
        <f t="shared" ca="1" si="5"/>
        <v>IT Operations - Help Desk</v>
      </c>
      <c r="E73" s="301">
        <v>12</v>
      </c>
      <c r="F73" s="1">
        <v>2</v>
      </c>
      <c r="H73" s="1">
        <v>4</v>
      </c>
      <c r="J73" s="1">
        <v>4</v>
      </c>
      <c r="L73" s="1">
        <v>6</v>
      </c>
      <c r="N73" s="1">
        <v>4</v>
      </c>
      <c r="P73" s="1">
        <v>4</v>
      </c>
      <c r="R73" s="1">
        <v>4</v>
      </c>
      <c r="T73" s="1">
        <v>4</v>
      </c>
      <c r="V73" s="1">
        <v>4</v>
      </c>
      <c r="X73" s="1">
        <v>2</v>
      </c>
      <c r="Z73" s="1">
        <v>4</v>
      </c>
      <c r="AB73" s="1">
        <v>4</v>
      </c>
      <c r="AD73" s="1">
        <v>6</v>
      </c>
      <c r="AF73" s="1">
        <v>6</v>
      </c>
      <c r="AH73" s="1">
        <v>3</v>
      </c>
      <c r="AJ73" s="1">
        <v>2</v>
      </c>
      <c r="AL73" s="1">
        <v>2</v>
      </c>
      <c r="AN73" s="1">
        <v>3</v>
      </c>
      <c r="AP73" s="1">
        <v>3</v>
      </c>
      <c r="AR73" s="1">
        <v>4</v>
      </c>
    </row>
    <row r="74" spans="1:46">
      <c r="A74" s="301">
        <v>44</v>
      </c>
      <c r="B74" s="301">
        <v>1</v>
      </c>
      <c r="D74" s="301" t="str">
        <f t="shared" ca="1" si="5"/>
        <v>Technology Services</v>
      </c>
      <c r="E74" s="301">
        <v>11</v>
      </c>
      <c r="F74" s="1">
        <v>5</v>
      </c>
      <c r="H74" s="1">
        <v>5</v>
      </c>
      <c r="J74" s="1">
        <v>4</v>
      </c>
      <c r="L74" s="1">
        <v>4</v>
      </c>
      <c r="N74" s="1">
        <v>4</v>
      </c>
      <c r="P74" s="1">
        <v>4</v>
      </c>
      <c r="R74" s="1">
        <v>4</v>
      </c>
      <c r="T74" s="1">
        <v>4</v>
      </c>
      <c r="V74" s="1">
        <v>4</v>
      </c>
      <c r="X74" s="1">
        <v>4</v>
      </c>
      <c r="Z74" s="1">
        <v>4</v>
      </c>
      <c r="AB74" s="1">
        <v>4</v>
      </c>
      <c r="AD74" s="1">
        <v>4</v>
      </c>
      <c r="AF74" s="1">
        <v>4</v>
      </c>
      <c r="AH74" s="1">
        <v>4</v>
      </c>
      <c r="AJ74" s="1">
        <v>4</v>
      </c>
      <c r="AL74" s="1">
        <v>4</v>
      </c>
      <c r="AN74" s="1">
        <v>4</v>
      </c>
      <c r="AP74" s="1">
        <v>4</v>
      </c>
      <c r="AR74" s="1">
        <v>4</v>
      </c>
    </row>
    <row r="75" spans="1:46">
      <c r="A75" s="301">
        <v>45</v>
      </c>
      <c r="B75" s="301">
        <v>1</v>
      </c>
      <c r="D75" s="301" t="str">
        <f t="shared" ca="1" si="5"/>
        <v>Producer CRM</v>
      </c>
      <c r="E75" s="301">
        <v>6</v>
      </c>
      <c r="F75" s="1">
        <v>4</v>
      </c>
      <c r="H75" s="1">
        <v>4</v>
      </c>
      <c r="J75" s="1">
        <v>4</v>
      </c>
      <c r="L75" s="1">
        <v>4</v>
      </c>
      <c r="N75" s="1">
        <v>4</v>
      </c>
      <c r="P75" s="1">
        <v>4</v>
      </c>
      <c r="R75" s="1">
        <v>4</v>
      </c>
      <c r="T75" s="1">
        <v>4</v>
      </c>
      <c r="V75" s="1">
        <v>4</v>
      </c>
      <c r="X75" s="1">
        <v>4</v>
      </c>
      <c r="Z75" s="1">
        <v>4</v>
      </c>
      <c r="AB75" s="1">
        <v>4</v>
      </c>
      <c r="AD75" s="1">
        <v>4</v>
      </c>
      <c r="AF75" s="1">
        <v>4</v>
      </c>
      <c r="AH75" s="1">
        <v>4</v>
      </c>
      <c r="AJ75" s="1">
        <v>4</v>
      </c>
      <c r="AL75" s="1">
        <v>3</v>
      </c>
      <c r="AN75" s="1">
        <v>4</v>
      </c>
      <c r="AP75" s="1">
        <v>3</v>
      </c>
      <c r="AR75" s="1">
        <v>4</v>
      </c>
    </row>
    <row r="76" spans="1:46">
      <c r="A76" s="301">
        <v>46</v>
      </c>
      <c r="B76" s="301">
        <v>1</v>
      </c>
      <c r="D76" s="301" t="str">
        <f t="shared" ca="1" si="5"/>
        <v>Technology Services</v>
      </c>
      <c r="E76" s="301">
        <v>11</v>
      </c>
      <c r="F76" s="1">
        <v>5</v>
      </c>
      <c r="H76" s="1">
        <v>5</v>
      </c>
      <c r="J76" s="1">
        <v>5</v>
      </c>
      <c r="L76" s="1">
        <v>5</v>
      </c>
      <c r="N76" s="1">
        <v>5</v>
      </c>
      <c r="P76" s="1">
        <v>5</v>
      </c>
      <c r="R76" s="1">
        <v>5</v>
      </c>
      <c r="T76" s="1">
        <v>5</v>
      </c>
      <c r="V76" s="1">
        <v>5</v>
      </c>
      <c r="X76" s="1">
        <v>5</v>
      </c>
      <c r="Z76" s="1">
        <v>5</v>
      </c>
      <c r="AB76" s="1">
        <v>5</v>
      </c>
      <c r="AD76" s="1">
        <v>5</v>
      </c>
      <c r="AF76" s="1">
        <v>5</v>
      </c>
      <c r="AH76" s="1">
        <v>5</v>
      </c>
      <c r="AJ76" s="1">
        <v>5</v>
      </c>
      <c r="AL76" s="1">
        <v>5</v>
      </c>
      <c r="AN76" s="1">
        <v>5</v>
      </c>
      <c r="AP76" s="1">
        <v>5</v>
      </c>
      <c r="AR76" s="1">
        <v>5</v>
      </c>
    </row>
    <row r="77" spans="1:46">
      <c r="A77" s="301">
        <v>47</v>
      </c>
      <c r="B77" s="301">
        <v>1</v>
      </c>
      <c r="D77" s="301" t="str">
        <f t="shared" ca="1" si="5"/>
        <v>Service</v>
      </c>
      <c r="E77" s="301">
        <v>9</v>
      </c>
      <c r="F77" s="1">
        <v>4</v>
      </c>
      <c r="H77" s="1">
        <v>4</v>
      </c>
      <c r="J77" s="1">
        <v>4</v>
      </c>
      <c r="L77" s="1">
        <v>4</v>
      </c>
      <c r="N77" s="1">
        <v>4</v>
      </c>
      <c r="P77" s="1">
        <v>4</v>
      </c>
      <c r="R77" s="1">
        <v>5</v>
      </c>
      <c r="T77" s="1">
        <v>5</v>
      </c>
      <c r="V77" s="1">
        <v>4</v>
      </c>
      <c r="X77" s="1">
        <v>4</v>
      </c>
      <c r="Z77" s="1">
        <v>5</v>
      </c>
      <c r="AB77" s="1">
        <v>5</v>
      </c>
      <c r="AD77" s="1">
        <v>4</v>
      </c>
      <c r="AF77" s="1">
        <v>4</v>
      </c>
      <c r="AH77" s="1">
        <v>4</v>
      </c>
      <c r="AJ77" s="1">
        <v>5</v>
      </c>
      <c r="AL77" s="1">
        <v>3</v>
      </c>
      <c r="AN77" s="1">
        <v>5</v>
      </c>
      <c r="AP77" s="1">
        <v>4</v>
      </c>
      <c r="AR77" s="1">
        <v>4</v>
      </c>
    </row>
    <row r="78" spans="1:46">
      <c r="A78" s="301">
        <v>48</v>
      </c>
      <c r="B78" s="301">
        <v>1</v>
      </c>
      <c r="D78" s="301" t="str">
        <f t="shared" ca="1" si="5"/>
        <v>eBusiness</v>
      </c>
      <c r="E78" s="301">
        <v>1</v>
      </c>
      <c r="F78" s="1">
        <v>3</v>
      </c>
      <c r="H78" s="1">
        <v>3</v>
      </c>
      <c r="J78" s="1">
        <v>3</v>
      </c>
      <c r="L78" s="1">
        <v>3</v>
      </c>
      <c r="N78" s="1">
        <v>3</v>
      </c>
      <c r="P78" s="1">
        <v>3</v>
      </c>
      <c r="R78" s="1">
        <v>3</v>
      </c>
      <c r="T78" s="1">
        <v>3</v>
      </c>
      <c r="V78" s="1">
        <v>3</v>
      </c>
      <c r="X78" s="1">
        <v>3</v>
      </c>
      <c r="Z78" s="1">
        <v>3</v>
      </c>
      <c r="AB78" s="1">
        <v>3</v>
      </c>
      <c r="AD78" s="1">
        <v>3</v>
      </c>
      <c r="AF78" s="1">
        <v>3</v>
      </c>
      <c r="AH78" s="1">
        <v>3</v>
      </c>
      <c r="AJ78" s="1">
        <v>3</v>
      </c>
      <c r="AL78" s="1">
        <v>3</v>
      </c>
      <c r="AN78" s="1">
        <v>3</v>
      </c>
      <c r="AP78" s="1">
        <v>3</v>
      </c>
      <c r="AR78" s="1">
        <v>3</v>
      </c>
    </row>
    <row r="79" spans="1:46" ht="25.5">
      <c r="A79" s="301">
        <v>49</v>
      </c>
      <c r="B79" s="301">
        <v>1</v>
      </c>
      <c r="D79" s="301" t="str">
        <f t="shared" ca="1" si="5"/>
        <v>eBusiness</v>
      </c>
      <c r="E79" s="301">
        <v>1</v>
      </c>
      <c r="F79" s="1">
        <v>3</v>
      </c>
      <c r="G79" s="1" t="s">
        <v>591</v>
      </c>
      <c r="H79" s="1">
        <v>3</v>
      </c>
      <c r="I79" s="1" t="s">
        <v>592</v>
      </c>
      <c r="J79" s="1">
        <v>4</v>
      </c>
      <c r="L79" s="1">
        <v>4</v>
      </c>
      <c r="N79" s="1">
        <v>4</v>
      </c>
      <c r="P79" s="1">
        <v>4</v>
      </c>
      <c r="R79" s="1">
        <v>4</v>
      </c>
      <c r="T79" s="1">
        <v>4</v>
      </c>
      <c r="V79" s="1">
        <v>4</v>
      </c>
      <c r="X79" s="1">
        <v>4</v>
      </c>
      <c r="Z79" s="1">
        <v>4</v>
      </c>
      <c r="AB79" s="1">
        <v>4</v>
      </c>
      <c r="AD79" s="1">
        <v>4</v>
      </c>
      <c r="AF79" s="1">
        <v>3</v>
      </c>
      <c r="AG79" s="1" t="s">
        <v>593</v>
      </c>
      <c r="AH79" s="1">
        <v>4</v>
      </c>
      <c r="AJ79" s="1">
        <v>2</v>
      </c>
      <c r="AK79" s="1" t="s">
        <v>594</v>
      </c>
      <c r="AL79" s="1">
        <v>3</v>
      </c>
      <c r="AN79" s="1">
        <v>3</v>
      </c>
      <c r="AO79" s="1" t="s">
        <v>595</v>
      </c>
      <c r="AP79" s="1">
        <v>3</v>
      </c>
      <c r="AR79" s="1">
        <v>2</v>
      </c>
      <c r="AS79" s="1" t="s">
        <v>596</v>
      </c>
    </row>
    <row r="80" spans="1:46" ht="51">
      <c r="A80" s="301">
        <v>50</v>
      </c>
      <c r="B80" s="301">
        <v>1</v>
      </c>
      <c r="D80" s="301" t="str">
        <f t="shared" ca="1" si="5"/>
        <v>IT Operations - Help Desk</v>
      </c>
      <c r="E80" s="301">
        <v>12</v>
      </c>
      <c r="F80" s="1">
        <v>2</v>
      </c>
      <c r="G80" s="1" t="s">
        <v>597</v>
      </c>
      <c r="H80" s="1">
        <v>4</v>
      </c>
      <c r="J80" s="1">
        <v>4</v>
      </c>
      <c r="K80" s="1" t="s">
        <v>598</v>
      </c>
      <c r="L80" s="1">
        <v>3</v>
      </c>
      <c r="M80" s="1" t="s">
        <v>599</v>
      </c>
      <c r="N80" s="1">
        <v>5</v>
      </c>
      <c r="P80" s="1">
        <v>5</v>
      </c>
      <c r="R80" s="1">
        <v>5</v>
      </c>
      <c r="T80" s="1">
        <v>5</v>
      </c>
      <c r="V80" s="1">
        <v>3</v>
      </c>
      <c r="W80" s="1" t="s">
        <v>600</v>
      </c>
      <c r="X80" s="1">
        <v>3</v>
      </c>
      <c r="Y80" s="1" t="s">
        <v>601</v>
      </c>
      <c r="Z80" s="1">
        <v>5</v>
      </c>
      <c r="AB80" s="1">
        <v>5</v>
      </c>
      <c r="AD80" s="1">
        <v>3</v>
      </c>
      <c r="AE80" s="1" t="s">
        <v>602</v>
      </c>
      <c r="AF80" s="1">
        <v>3</v>
      </c>
      <c r="AG80" s="1" t="s">
        <v>603</v>
      </c>
      <c r="AH80" s="1">
        <v>4</v>
      </c>
      <c r="AJ80" s="1">
        <v>1</v>
      </c>
      <c r="AK80" s="1" t="s">
        <v>604</v>
      </c>
      <c r="AL80" s="1">
        <v>3</v>
      </c>
      <c r="AM80" s="1" t="s">
        <v>605</v>
      </c>
      <c r="AN80" s="1">
        <v>5</v>
      </c>
      <c r="AP80" s="1">
        <v>3</v>
      </c>
      <c r="AQ80" s="1" t="s">
        <v>606</v>
      </c>
      <c r="AR80" s="1">
        <v>2</v>
      </c>
      <c r="AS80" s="1" t="s">
        <v>607</v>
      </c>
      <c r="AT80" s="1" t="s">
        <v>608</v>
      </c>
    </row>
    <row r="81" spans="1:45">
      <c r="A81" s="301">
        <v>51</v>
      </c>
      <c r="B81" s="301">
        <v>1</v>
      </c>
      <c r="D81" s="301" t="str">
        <f t="shared" ca="1" si="5"/>
        <v>Other</v>
      </c>
      <c r="E81" s="301">
        <v>14</v>
      </c>
      <c r="F81" s="1">
        <v>4</v>
      </c>
      <c r="H81" s="1">
        <v>4</v>
      </c>
      <c r="J81" s="1">
        <v>4</v>
      </c>
      <c r="L81" s="1">
        <v>3</v>
      </c>
      <c r="N81" s="1">
        <v>4</v>
      </c>
      <c r="P81" s="1">
        <v>4</v>
      </c>
      <c r="R81" s="1">
        <v>4</v>
      </c>
      <c r="T81" s="1">
        <v>4</v>
      </c>
      <c r="V81" s="1">
        <v>4</v>
      </c>
      <c r="X81" s="1">
        <v>3</v>
      </c>
      <c r="Z81" s="1">
        <v>4</v>
      </c>
      <c r="AB81" s="1">
        <v>4</v>
      </c>
      <c r="AD81" s="1">
        <v>6</v>
      </c>
      <c r="AF81" s="1">
        <v>6</v>
      </c>
      <c r="AH81" s="1">
        <v>3</v>
      </c>
      <c r="AJ81" s="1">
        <v>6</v>
      </c>
      <c r="AL81" s="1">
        <v>6</v>
      </c>
      <c r="AN81" s="1">
        <v>6</v>
      </c>
      <c r="AP81" s="1">
        <v>4</v>
      </c>
      <c r="AR81" s="1">
        <v>6</v>
      </c>
    </row>
    <row r="82" spans="1:45" ht="25.5">
      <c r="A82" s="301">
        <v>52</v>
      </c>
      <c r="B82" s="301">
        <v>1</v>
      </c>
      <c r="D82" s="301" t="str">
        <f t="shared" ca="1" si="5"/>
        <v>eBusiness</v>
      </c>
      <c r="E82" s="301">
        <v>1</v>
      </c>
      <c r="F82" s="1">
        <v>4</v>
      </c>
      <c r="H82" s="1">
        <v>4</v>
      </c>
      <c r="J82" s="1">
        <v>4</v>
      </c>
      <c r="L82" s="1">
        <v>5</v>
      </c>
      <c r="N82" s="1">
        <v>5</v>
      </c>
      <c r="P82" s="1">
        <v>4</v>
      </c>
      <c r="R82" s="1">
        <v>4</v>
      </c>
      <c r="T82" s="1">
        <v>4</v>
      </c>
      <c r="V82" s="1">
        <v>2</v>
      </c>
      <c r="W82" s="1" t="s">
        <v>609</v>
      </c>
      <c r="X82" s="1">
        <v>4</v>
      </c>
      <c r="Z82" s="1">
        <v>4</v>
      </c>
      <c r="AB82" s="1">
        <v>4</v>
      </c>
      <c r="AD82" s="1">
        <v>4</v>
      </c>
      <c r="AF82" s="1">
        <v>5</v>
      </c>
      <c r="AH82" s="1">
        <v>3</v>
      </c>
      <c r="AJ82" s="1">
        <v>4</v>
      </c>
      <c r="AL82" s="1">
        <v>3</v>
      </c>
      <c r="AN82" s="1">
        <v>4</v>
      </c>
      <c r="AP82" s="1">
        <v>3</v>
      </c>
      <c r="AR82" s="1">
        <v>3</v>
      </c>
    </row>
    <row r="83" spans="1:45">
      <c r="A83" s="301">
        <v>53</v>
      </c>
      <c r="B83" s="301">
        <v>1</v>
      </c>
      <c r="D83" s="301" t="str">
        <f t="shared" ca="1" si="5"/>
        <v>Product Admin</v>
      </c>
      <c r="E83" s="301">
        <v>7</v>
      </c>
      <c r="F83" s="1">
        <v>4</v>
      </c>
      <c r="H83" s="1">
        <v>4</v>
      </c>
      <c r="J83" s="1">
        <v>4</v>
      </c>
      <c r="L83" s="1">
        <v>4</v>
      </c>
      <c r="N83" s="1">
        <v>4</v>
      </c>
      <c r="P83" s="1">
        <v>4</v>
      </c>
      <c r="R83" s="1">
        <v>4</v>
      </c>
      <c r="T83" s="1">
        <v>4</v>
      </c>
      <c r="V83" s="1">
        <v>4</v>
      </c>
      <c r="X83" s="1">
        <v>4</v>
      </c>
      <c r="Z83" s="1">
        <v>5</v>
      </c>
      <c r="AB83" s="1">
        <v>5</v>
      </c>
      <c r="AD83" s="1">
        <v>4</v>
      </c>
      <c r="AF83" s="1">
        <v>4</v>
      </c>
      <c r="AH83" s="1">
        <v>5</v>
      </c>
      <c r="AJ83" s="1">
        <v>4</v>
      </c>
      <c r="AL83" s="1">
        <v>5</v>
      </c>
      <c r="AN83" s="1">
        <v>5</v>
      </c>
      <c r="AP83" s="1">
        <v>5</v>
      </c>
      <c r="AR83" s="1">
        <v>4</v>
      </c>
    </row>
    <row r="84" spans="1:45">
      <c r="A84" s="301">
        <v>54</v>
      </c>
      <c r="B84" s="301">
        <v>1</v>
      </c>
      <c r="D84" s="301" t="str">
        <f t="shared" ca="1" si="5"/>
        <v>eBusiness</v>
      </c>
      <c r="E84" s="301">
        <v>1</v>
      </c>
      <c r="F84" s="1">
        <v>5</v>
      </c>
      <c r="H84" s="1">
        <v>5</v>
      </c>
      <c r="J84" s="1">
        <v>4</v>
      </c>
      <c r="L84" s="1">
        <v>4</v>
      </c>
      <c r="N84" s="1">
        <v>5</v>
      </c>
      <c r="P84" s="1">
        <v>5</v>
      </c>
      <c r="R84" s="1">
        <v>4</v>
      </c>
      <c r="T84" s="1">
        <v>5</v>
      </c>
      <c r="V84" s="1">
        <v>5</v>
      </c>
      <c r="X84" s="1">
        <v>5</v>
      </c>
      <c r="Z84" s="1">
        <v>5</v>
      </c>
      <c r="AB84" s="1">
        <v>5</v>
      </c>
      <c r="AD84" s="1">
        <v>5</v>
      </c>
      <c r="AF84" s="1">
        <v>5</v>
      </c>
      <c r="AH84" s="1">
        <v>5</v>
      </c>
      <c r="AJ84" s="1">
        <v>5</v>
      </c>
      <c r="AL84" s="1">
        <v>3</v>
      </c>
      <c r="AN84" s="1">
        <v>4</v>
      </c>
      <c r="AP84" s="1">
        <v>4</v>
      </c>
      <c r="AR84" s="1">
        <v>4</v>
      </c>
    </row>
    <row r="85" spans="1:45">
      <c r="A85" s="301">
        <v>55</v>
      </c>
      <c r="B85" s="301">
        <v>1</v>
      </c>
      <c r="D85" s="301" t="str">
        <f t="shared" ca="1" si="5"/>
        <v>Service</v>
      </c>
      <c r="E85" s="301">
        <v>9</v>
      </c>
      <c r="F85" s="1">
        <v>4</v>
      </c>
      <c r="H85" s="1">
        <v>3</v>
      </c>
      <c r="J85" s="1">
        <v>4</v>
      </c>
      <c r="L85" s="1">
        <v>4</v>
      </c>
      <c r="N85" s="1">
        <v>4</v>
      </c>
      <c r="P85" s="1">
        <v>5</v>
      </c>
      <c r="R85" s="1">
        <v>4</v>
      </c>
      <c r="T85" s="1">
        <v>4</v>
      </c>
      <c r="V85" s="1">
        <v>3</v>
      </c>
      <c r="X85" s="1">
        <v>4</v>
      </c>
      <c r="Z85" s="1">
        <v>4</v>
      </c>
      <c r="AB85" s="1">
        <v>4</v>
      </c>
      <c r="AD85" s="1">
        <v>4</v>
      </c>
      <c r="AF85" s="1">
        <v>4</v>
      </c>
      <c r="AH85" s="1">
        <v>4</v>
      </c>
      <c r="AJ85" s="1">
        <v>4</v>
      </c>
      <c r="AL85" s="1">
        <v>4</v>
      </c>
      <c r="AN85" s="1">
        <v>4</v>
      </c>
      <c r="AP85" s="1">
        <v>4</v>
      </c>
      <c r="AR85" s="1">
        <v>3</v>
      </c>
      <c r="AS85" s="1" t="s">
        <v>610</v>
      </c>
    </row>
    <row r="86" spans="1:45">
      <c r="A86" s="301">
        <v>56</v>
      </c>
      <c r="B86" s="301">
        <v>1</v>
      </c>
      <c r="D86" s="301" t="str">
        <f t="shared" ca="1" si="5"/>
        <v>Service</v>
      </c>
      <c r="E86" s="301">
        <v>9</v>
      </c>
      <c r="F86" s="1">
        <v>5</v>
      </c>
      <c r="H86" s="1">
        <v>5</v>
      </c>
      <c r="J86" s="1">
        <v>4</v>
      </c>
      <c r="L86" s="1">
        <v>5</v>
      </c>
      <c r="N86" s="1">
        <v>5</v>
      </c>
      <c r="P86" s="1">
        <v>5</v>
      </c>
      <c r="R86" s="1">
        <v>5</v>
      </c>
      <c r="T86" s="1">
        <v>5</v>
      </c>
      <c r="V86" s="1">
        <v>5</v>
      </c>
      <c r="X86" s="1">
        <v>5</v>
      </c>
      <c r="Z86" s="1">
        <v>5</v>
      </c>
      <c r="AB86" s="1">
        <v>5</v>
      </c>
      <c r="AD86" s="1">
        <v>5</v>
      </c>
      <c r="AF86" s="1">
        <v>4</v>
      </c>
      <c r="AH86" s="1">
        <v>6</v>
      </c>
      <c r="AJ86" s="1">
        <v>5</v>
      </c>
      <c r="AL86" s="1">
        <v>5</v>
      </c>
      <c r="AN86" s="1">
        <v>5</v>
      </c>
      <c r="AP86" s="1">
        <v>3</v>
      </c>
      <c r="AR86" s="1">
        <v>4</v>
      </c>
    </row>
    <row r="87" spans="1:45">
      <c r="A87" s="301">
        <v>57</v>
      </c>
      <c r="B87" s="301">
        <v>1</v>
      </c>
      <c r="D87" s="301" t="str">
        <f t="shared" ca="1" si="5"/>
        <v>IT Operations - Server</v>
      </c>
      <c r="E87" s="301">
        <v>13</v>
      </c>
      <c r="F87" s="1">
        <v>4</v>
      </c>
      <c r="H87" s="1">
        <v>4</v>
      </c>
      <c r="J87" s="1">
        <v>4</v>
      </c>
      <c r="L87" s="1">
        <v>4</v>
      </c>
      <c r="N87" s="1">
        <v>3</v>
      </c>
      <c r="P87" s="1">
        <v>4</v>
      </c>
      <c r="R87" s="1">
        <v>4</v>
      </c>
      <c r="T87" s="1">
        <v>4</v>
      </c>
      <c r="V87" s="1">
        <v>4</v>
      </c>
      <c r="X87" s="1">
        <v>4</v>
      </c>
      <c r="Z87" s="1">
        <v>4</v>
      </c>
      <c r="AB87" s="1">
        <v>4</v>
      </c>
      <c r="AD87" s="1">
        <v>3</v>
      </c>
      <c r="AF87" s="1">
        <v>3</v>
      </c>
      <c r="AH87" s="1">
        <v>4</v>
      </c>
      <c r="AJ87" s="1">
        <v>3</v>
      </c>
      <c r="AL87" s="1">
        <v>3</v>
      </c>
      <c r="AN87" s="1">
        <v>4</v>
      </c>
      <c r="AP87" s="1">
        <v>4</v>
      </c>
      <c r="AR87" s="1">
        <v>4</v>
      </c>
    </row>
    <row r="88" spans="1:45">
      <c r="A88" s="301">
        <v>58</v>
      </c>
      <c r="B88" s="301">
        <v>1</v>
      </c>
      <c r="D88" s="301" t="str">
        <f t="shared" ca="1" si="5"/>
        <v>Service</v>
      </c>
      <c r="E88" s="301">
        <v>9</v>
      </c>
      <c r="F88" s="1">
        <v>3</v>
      </c>
      <c r="H88" s="1">
        <v>3</v>
      </c>
      <c r="J88" s="1">
        <v>3</v>
      </c>
      <c r="L88" s="1">
        <v>4</v>
      </c>
      <c r="N88" s="1">
        <v>3</v>
      </c>
      <c r="P88" s="1">
        <v>4</v>
      </c>
      <c r="R88" s="1">
        <v>4</v>
      </c>
      <c r="T88" s="1">
        <v>4</v>
      </c>
      <c r="V88" s="1">
        <v>3</v>
      </c>
      <c r="X88" s="1">
        <v>4</v>
      </c>
      <c r="Z88" s="1">
        <v>4</v>
      </c>
      <c r="AB88" s="1">
        <v>4</v>
      </c>
      <c r="AD88" s="1">
        <v>3</v>
      </c>
      <c r="AF88" s="1">
        <v>3</v>
      </c>
      <c r="AH88" s="1">
        <v>3</v>
      </c>
      <c r="AJ88" s="1">
        <v>4</v>
      </c>
      <c r="AL88" s="1">
        <v>3</v>
      </c>
      <c r="AN88" s="1">
        <v>3</v>
      </c>
      <c r="AP88" s="1">
        <v>3</v>
      </c>
      <c r="AR88" s="1">
        <v>3</v>
      </c>
    </row>
    <row r="89" spans="1:45">
      <c r="A89" s="301">
        <v>59</v>
      </c>
      <c r="B89" s="301">
        <v>1</v>
      </c>
      <c r="D89" s="301" t="str">
        <f t="shared" ca="1" si="5"/>
        <v>Product Admin</v>
      </c>
      <c r="E89" s="301">
        <v>7</v>
      </c>
      <c r="F89" s="1">
        <v>4</v>
      </c>
      <c r="H89" s="1">
        <v>4</v>
      </c>
      <c r="J89" s="1">
        <v>3</v>
      </c>
      <c r="L89" s="1">
        <v>3</v>
      </c>
      <c r="N89" s="1">
        <v>4</v>
      </c>
      <c r="P89" s="1">
        <v>4</v>
      </c>
      <c r="R89" s="1">
        <v>4</v>
      </c>
      <c r="T89" s="1">
        <v>4</v>
      </c>
      <c r="V89" s="1">
        <v>4</v>
      </c>
      <c r="X89" s="1">
        <v>4</v>
      </c>
      <c r="Z89" s="1">
        <v>4</v>
      </c>
      <c r="AB89" s="1">
        <v>4</v>
      </c>
      <c r="AD89" s="1">
        <v>4</v>
      </c>
      <c r="AF89" s="1">
        <v>4</v>
      </c>
      <c r="AH89" s="1">
        <v>4</v>
      </c>
      <c r="AJ89" s="1">
        <v>4</v>
      </c>
      <c r="AL89" s="1">
        <v>4</v>
      </c>
      <c r="AN89" s="1">
        <v>4</v>
      </c>
      <c r="AP89" s="1">
        <v>4</v>
      </c>
      <c r="AR89" s="1">
        <v>4</v>
      </c>
    </row>
    <row r="90" spans="1:45">
      <c r="A90" s="301">
        <v>60</v>
      </c>
      <c r="B90" s="301">
        <v>1</v>
      </c>
      <c r="D90" s="301" t="str">
        <f t="shared" ca="1" si="5"/>
        <v>Other</v>
      </c>
      <c r="E90" s="301">
        <v>14</v>
      </c>
      <c r="F90" s="1">
        <v>5</v>
      </c>
      <c r="H90" s="1">
        <v>4</v>
      </c>
      <c r="J90" s="1">
        <v>4</v>
      </c>
      <c r="L90" s="1">
        <v>4</v>
      </c>
      <c r="N90" s="1">
        <v>4</v>
      </c>
      <c r="P90" s="1">
        <v>4</v>
      </c>
      <c r="R90" s="1">
        <v>4</v>
      </c>
      <c r="T90" s="1">
        <v>5</v>
      </c>
      <c r="V90" s="1">
        <v>5</v>
      </c>
      <c r="X90" s="1">
        <v>5</v>
      </c>
      <c r="Z90" s="1">
        <v>5</v>
      </c>
      <c r="AB90" s="1">
        <v>5</v>
      </c>
      <c r="AD90" s="1">
        <v>4</v>
      </c>
      <c r="AF90" s="1">
        <v>4</v>
      </c>
      <c r="AH90" s="1">
        <v>4</v>
      </c>
      <c r="AJ90" s="1">
        <v>4</v>
      </c>
      <c r="AL90" s="1">
        <v>4</v>
      </c>
      <c r="AN90" s="1">
        <v>4</v>
      </c>
      <c r="AP90" s="1">
        <v>4</v>
      </c>
      <c r="AR90" s="1">
        <v>4</v>
      </c>
    </row>
    <row r="91" spans="1:45">
      <c r="A91" s="301">
        <v>61</v>
      </c>
      <c r="B91" s="301">
        <v>1</v>
      </c>
      <c r="D91" s="301" t="str">
        <f t="shared" ca="1" si="5"/>
        <v>Sales</v>
      </c>
      <c r="E91" s="301">
        <v>8</v>
      </c>
      <c r="F91" s="1">
        <v>5</v>
      </c>
      <c r="H91" s="1">
        <v>4</v>
      </c>
      <c r="J91" s="1">
        <v>5</v>
      </c>
      <c r="L91" s="1">
        <v>4</v>
      </c>
      <c r="N91" s="1">
        <v>4</v>
      </c>
      <c r="P91" s="1">
        <v>4</v>
      </c>
      <c r="R91" s="1">
        <v>4</v>
      </c>
      <c r="T91" s="1">
        <v>5</v>
      </c>
      <c r="V91" s="1">
        <v>5</v>
      </c>
      <c r="X91" s="1">
        <v>5</v>
      </c>
      <c r="Z91" s="1">
        <v>5</v>
      </c>
      <c r="AB91" s="1">
        <v>5</v>
      </c>
      <c r="AD91" s="1">
        <v>4</v>
      </c>
      <c r="AF91" s="1">
        <v>4</v>
      </c>
      <c r="AH91" s="1">
        <v>4</v>
      </c>
      <c r="AJ91" s="1">
        <v>4</v>
      </c>
      <c r="AL91" s="1">
        <v>3</v>
      </c>
      <c r="AN91" s="1">
        <v>4</v>
      </c>
      <c r="AP91" s="1">
        <v>4</v>
      </c>
      <c r="AR91" s="1">
        <v>4</v>
      </c>
    </row>
    <row r="92" spans="1:45">
      <c r="A92" s="301">
        <v>62</v>
      </c>
      <c r="B92" s="301">
        <v>1</v>
      </c>
      <c r="D92" s="301" t="str">
        <f t="shared" ca="1" si="5"/>
        <v>Service</v>
      </c>
      <c r="E92" s="301">
        <v>9</v>
      </c>
      <c r="F92" s="1">
        <v>4</v>
      </c>
      <c r="H92" s="1">
        <v>4</v>
      </c>
      <c r="J92" s="1">
        <v>4</v>
      </c>
      <c r="L92" s="1">
        <v>4</v>
      </c>
      <c r="N92" s="1">
        <v>4</v>
      </c>
      <c r="P92" s="1">
        <v>4</v>
      </c>
      <c r="R92" s="1">
        <v>4</v>
      </c>
      <c r="T92" s="1">
        <v>5</v>
      </c>
      <c r="V92" s="1">
        <v>4</v>
      </c>
      <c r="X92" s="1">
        <v>4</v>
      </c>
      <c r="Z92" s="1">
        <v>4</v>
      </c>
      <c r="AB92" s="1">
        <v>5</v>
      </c>
      <c r="AD92" s="1">
        <v>4</v>
      </c>
      <c r="AF92" s="1">
        <v>4</v>
      </c>
      <c r="AH92" s="1">
        <v>3</v>
      </c>
      <c r="AJ92" s="1">
        <v>3</v>
      </c>
      <c r="AL92" s="1">
        <v>4</v>
      </c>
      <c r="AN92" s="1">
        <v>5</v>
      </c>
      <c r="AP92" s="1">
        <v>4</v>
      </c>
      <c r="AR92" s="1">
        <v>4</v>
      </c>
    </row>
    <row r="93" spans="1:45">
      <c r="A93" s="301">
        <v>63</v>
      </c>
      <c r="B93" s="301">
        <v>1</v>
      </c>
      <c r="D93" s="301" t="str">
        <f t="shared" ca="1" si="5"/>
        <v>New Business Workflow</v>
      </c>
      <c r="E93" s="301">
        <v>4</v>
      </c>
      <c r="F93" s="1">
        <v>4</v>
      </c>
      <c r="H93" s="1">
        <v>4</v>
      </c>
      <c r="J93" s="1">
        <v>2</v>
      </c>
      <c r="L93" s="1">
        <v>4</v>
      </c>
      <c r="N93" s="1">
        <v>4</v>
      </c>
      <c r="P93" s="1">
        <v>4</v>
      </c>
      <c r="R93" s="1">
        <v>4</v>
      </c>
      <c r="T93" s="1">
        <v>4</v>
      </c>
      <c r="V93" s="1">
        <v>4</v>
      </c>
      <c r="X93" s="1">
        <v>4</v>
      </c>
      <c r="Z93" s="1">
        <v>4</v>
      </c>
      <c r="AB93" s="1">
        <v>4</v>
      </c>
      <c r="AD93" s="1">
        <v>2</v>
      </c>
      <c r="AF93" s="1">
        <v>2</v>
      </c>
      <c r="AH93" s="1">
        <v>3</v>
      </c>
      <c r="AJ93" s="1">
        <v>3</v>
      </c>
      <c r="AL93" s="1">
        <v>3</v>
      </c>
      <c r="AN93" s="1">
        <v>4</v>
      </c>
      <c r="AP93" s="1">
        <v>3</v>
      </c>
      <c r="AR93" s="1">
        <v>4</v>
      </c>
    </row>
    <row r="94" spans="1:45">
      <c r="A94" s="301">
        <v>64</v>
      </c>
      <c r="B94" s="301">
        <v>1</v>
      </c>
      <c r="D94" s="301" t="str">
        <f t="shared" ca="1" si="5"/>
        <v>Technology Services</v>
      </c>
      <c r="E94" s="301">
        <v>11</v>
      </c>
      <c r="F94" s="1">
        <v>4</v>
      </c>
      <c r="H94" s="1">
        <v>4</v>
      </c>
      <c r="J94" s="1">
        <v>4</v>
      </c>
      <c r="L94" s="1">
        <v>3</v>
      </c>
      <c r="N94" s="1">
        <v>4</v>
      </c>
      <c r="P94" s="1">
        <v>4</v>
      </c>
      <c r="R94" s="1">
        <v>4</v>
      </c>
      <c r="T94" s="1">
        <v>4</v>
      </c>
      <c r="V94" s="1">
        <v>4</v>
      </c>
      <c r="X94" s="1">
        <v>4</v>
      </c>
      <c r="Z94" s="1">
        <v>4</v>
      </c>
      <c r="AB94" s="1">
        <v>4</v>
      </c>
      <c r="AD94" s="1">
        <v>4</v>
      </c>
      <c r="AF94" s="1">
        <v>4</v>
      </c>
      <c r="AH94" s="1">
        <v>4</v>
      </c>
      <c r="AJ94" s="1">
        <v>4</v>
      </c>
      <c r="AL94" s="1">
        <v>3</v>
      </c>
      <c r="AN94" s="1">
        <v>4</v>
      </c>
      <c r="AP94" s="1">
        <v>3</v>
      </c>
      <c r="AR94" s="1">
        <v>3</v>
      </c>
    </row>
    <row r="95" spans="1:45" ht="25.5">
      <c r="A95" s="301">
        <v>65</v>
      </c>
      <c r="B95" s="301">
        <v>1</v>
      </c>
      <c r="D95" s="301" t="str">
        <f t="shared" ref="D95:D126" ca="1" si="6">LOOKUP(E95,INDIRECT(Team_Name_Lookup))</f>
        <v>Product Admin</v>
      </c>
      <c r="E95" s="301">
        <v>7</v>
      </c>
      <c r="F95" s="1">
        <v>3</v>
      </c>
      <c r="H95" s="1">
        <v>3</v>
      </c>
      <c r="J95" s="1">
        <v>3</v>
      </c>
      <c r="L95" s="1">
        <v>4</v>
      </c>
      <c r="N95" s="1">
        <v>4</v>
      </c>
      <c r="P95" s="1">
        <v>4</v>
      </c>
      <c r="R95" s="1">
        <v>4</v>
      </c>
      <c r="T95" s="1">
        <v>4</v>
      </c>
      <c r="V95" s="1">
        <v>4</v>
      </c>
      <c r="X95" s="1">
        <v>2</v>
      </c>
      <c r="Y95" s="1" t="s">
        <v>611</v>
      </c>
      <c r="Z95" s="1">
        <v>4</v>
      </c>
      <c r="AB95" s="1">
        <v>4</v>
      </c>
      <c r="AD95" s="1">
        <v>4</v>
      </c>
      <c r="AF95" s="1">
        <v>4</v>
      </c>
      <c r="AH95" s="1">
        <v>4</v>
      </c>
      <c r="AJ95" s="1">
        <v>4</v>
      </c>
      <c r="AL95" s="1">
        <v>4</v>
      </c>
      <c r="AN95" s="1">
        <v>4</v>
      </c>
      <c r="AP95" s="1">
        <v>4</v>
      </c>
      <c r="AR95" s="1">
        <v>2</v>
      </c>
      <c r="AS95" s="1" t="s">
        <v>612</v>
      </c>
    </row>
    <row r="96" spans="1:45">
      <c r="A96" s="301">
        <v>66</v>
      </c>
      <c r="B96" s="301">
        <v>1</v>
      </c>
      <c r="D96" s="301" t="str">
        <f t="shared" ca="1" si="6"/>
        <v>Service</v>
      </c>
      <c r="E96" s="301">
        <v>9</v>
      </c>
      <c r="F96" s="1">
        <v>5</v>
      </c>
      <c r="H96" s="1">
        <v>5</v>
      </c>
      <c r="J96" s="1">
        <v>5</v>
      </c>
      <c r="L96" s="1">
        <v>5</v>
      </c>
      <c r="N96" s="1">
        <v>5</v>
      </c>
      <c r="P96" s="1">
        <v>5</v>
      </c>
      <c r="R96" s="1">
        <v>5</v>
      </c>
      <c r="T96" s="1">
        <v>5</v>
      </c>
      <c r="V96" s="1">
        <v>5</v>
      </c>
      <c r="X96" s="1">
        <v>5</v>
      </c>
      <c r="Z96" s="1">
        <v>5</v>
      </c>
      <c r="AB96" s="1">
        <v>5</v>
      </c>
      <c r="AD96" s="1">
        <v>5</v>
      </c>
      <c r="AF96" s="1">
        <v>5</v>
      </c>
      <c r="AH96" s="1">
        <v>5</v>
      </c>
      <c r="AJ96" s="1">
        <v>5</v>
      </c>
      <c r="AL96" s="1">
        <v>4</v>
      </c>
      <c r="AN96" s="1">
        <v>4</v>
      </c>
      <c r="AP96" s="1">
        <v>4</v>
      </c>
      <c r="AR96" s="1">
        <v>6</v>
      </c>
    </row>
    <row r="97" spans="1:46">
      <c r="A97" s="301">
        <v>67</v>
      </c>
      <c r="B97" s="301">
        <v>1</v>
      </c>
      <c r="D97" s="301" t="str">
        <f t="shared" ca="1" si="6"/>
        <v>Technology Services</v>
      </c>
      <c r="E97" s="301">
        <v>11</v>
      </c>
      <c r="F97" s="1">
        <v>4</v>
      </c>
      <c r="H97" s="1">
        <v>4</v>
      </c>
      <c r="J97" s="1">
        <v>4</v>
      </c>
      <c r="L97" s="1">
        <v>5</v>
      </c>
      <c r="N97" s="1">
        <v>5</v>
      </c>
      <c r="P97" s="1">
        <v>4</v>
      </c>
      <c r="R97" s="1">
        <v>4</v>
      </c>
      <c r="T97" s="1">
        <v>4</v>
      </c>
      <c r="V97" s="1">
        <v>4</v>
      </c>
      <c r="X97" s="1">
        <v>5</v>
      </c>
      <c r="Z97" s="1">
        <v>5</v>
      </c>
      <c r="AB97" s="1">
        <v>5</v>
      </c>
      <c r="AD97" s="1">
        <v>4</v>
      </c>
      <c r="AF97" s="1">
        <v>4</v>
      </c>
      <c r="AH97" s="1">
        <v>6</v>
      </c>
      <c r="AJ97" s="1">
        <v>6</v>
      </c>
      <c r="AL97" s="1">
        <v>3</v>
      </c>
      <c r="AN97" s="1">
        <v>4</v>
      </c>
      <c r="AP97" s="1">
        <v>4</v>
      </c>
      <c r="AR97" s="1">
        <v>4</v>
      </c>
    </row>
    <row r="98" spans="1:46">
      <c r="A98" s="301">
        <v>68</v>
      </c>
      <c r="B98" s="301">
        <v>1</v>
      </c>
      <c r="D98" s="301" t="str">
        <f t="shared" ca="1" si="6"/>
        <v>eBusiness</v>
      </c>
      <c r="E98" s="301">
        <v>1</v>
      </c>
      <c r="F98" s="1">
        <v>5</v>
      </c>
      <c r="H98" s="1">
        <v>4</v>
      </c>
      <c r="J98" s="1">
        <v>4</v>
      </c>
      <c r="L98" s="1">
        <v>5</v>
      </c>
      <c r="N98" s="1">
        <v>4</v>
      </c>
      <c r="P98" s="1">
        <v>5</v>
      </c>
      <c r="R98" s="1">
        <v>5</v>
      </c>
      <c r="T98" s="1">
        <v>5</v>
      </c>
      <c r="V98" s="1">
        <v>5</v>
      </c>
      <c r="X98" s="1">
        <v>5</v>
      </c>
      <c r="Z98" s="1">
        <v>5</v>
      </c>
      <c r="AB98" s="1">
        <v>5</v>
      </c>
      <c r="AD98" s="1">
        <v>4</v>
      </c>
      <c r="AF98" s="1">
        <v>4</v>
      </c>
      <c r="AH98" s="1">
        <v>5</v>
      </c>
      <c r="AJ98" s="1">
        <v>4</v>
      </c>
      <c r="AL98" s="1">
        <v>4</v>
      </c>
      <c r="AN98" s="1">
        <v>4</v>
      </c>
      <c r="AP98" s="1">
        <v>3</v>
      </c>
      <c r="AR98" s="1">
        <v>4</v>
      </c>
    </row>
    <row r="99" spans="1:46">
      <c r="A99" s="301">
        <v>69</v>
      </c>
      <c r="B99" s="301">
        <v>1</v>
      </c>
      <c r="D99" s="301" t="str">
        <f t="shared" ca="1" si="6"/>
        <v>Sales</v>
      </c>
      <c r="E99" s="301">
        <v>8</v>
      </c>
      <c r="F99" s="1">
        <v>3</v>
      </c>
      <c r="H99" s="1">
        <v>3</v>
      </c>
      <c r="J99" s="1">
        <v>4</v>
      </c>
      <c r="L99" s="1">
        <v>4</v>
      </c>
      <c r="N99" s="1">
        <v>4</v>
      </c>
      <c r="P99" s="1">
        <v>4</v>
      </c>
      <c r="R99" s="1">
        <v>5</v>
      </c>
      <c r="T99" s="1">
        <v>5</v>
      </c>
      <c r="V99" s="1">
        <v>4</v>
      </c>
      <c r="X99" s="1">
        <v>4</v>
      </c>
      <c r="Z99" s="1">
        <v>4</v>
      </c>
      <c r="AB99" s="1">
        <v>4</v>
      </c>
      <c r="AD99" s="1">
        <v>3</v>
      </c>
      <c r="AF99" s="1">
        <v>3</v>
      </c>
      <c r="AH99" s="1">
        <v>3</v>
      </c>
      <c r="AJ99" s="1">
        <v>2</v>
      </c>
      <c r="AL99" s="1">
        <v>4</v>
      </c>
      <c r="AN99" s="1">
        <v>4</v>
      </c>
      <c r="AP99" s="1">
        <v>3</v>
      </c>
      <c r="AR99" s="1">
        <v>2</v>
      </c>
    </row>
    <row r="100" spans="1:46" ht="25.5">
      <c r="A100" s="301">
        <v>70</v>
      </c>
      <c r="B100" s="301">
        <v>1</v>
      </c>
      <c r="D100" s="301" t="str">
        <f t="shared" ca="1" si="6"/>
        <v>Service</v>
      </c>
      <c r="E100" s="301">
        <v>9</v>
      </c>
      <c r="F100" s="1">
        <v>4</v>
      </c>
      <c r="H100" s="1">
        <v>3</v>
      </c>
      <c r="J100" s="1">
        <v>4</v>
      </c>
      <c r="L100" s="1">
        <v>5</v>
      </c>
      <c r="N100" s="1">
        <v>5</v>
      </c>
      <c r="P100" s="1">
        <v>5</v>
      </c>
      <c r="R100" s="1">
        <v>4</v>
      </c>
      <c r="T100" s="1">
        <v>5</v>
      </c>
      <c r="V100" s="1">
        <v>5</v>
      </c>
      <c r="X100" s="1">
        <v>4</v>
      </c>
      <c r="Z100" s="1">
        <v>5</v>
      </c>
      <c r="AB100" s="1">
        <v>5</v>
      </c>
      <c r="AD100" s="1">
        <v>4</v>
      </c>
      <c r="AF100" s="1">
        <v>3</v>
      </c>
      <c r="AH100" s="1">
        <v>5</v>
      </c>
      <c r="AJ100" s="1">
        <v>3</v>
      </c>
      <c r="AL100" s="1">
        <v>4</v>
      </c>
      <c r="AN100" s="1">
        <v>3</v>
      </c>
      <c r="AO100" s="1" t="s">
        <v>613</v>
      </c>
      <c r="AP100" s="1">
        <v>4</v>
      </c>
      <c r="AR100" s="1">
        <v>4</v>
      </c>
    </row>
    <row r="101" spans="1:46">
      <c r="A101" s="301">
        <v>71</v>
      </c>
      <c r="B101" s="301">
        <v>1</v>
      </c>
      <c r="D101" s="301" t="str">
        <f t="shared" ca="1" si="6"/>
        <v>Sales</v>
      </c>
      <c r="E101" s="301">
        <v>8</v>
      </c>
      <c r="F101" s="1">
        <v>4</v>
      </c>
      <c r="H101" s="1">
        <v>2</v>
      </c>
      <c r="I101" s="1" t="s">
        <v>614</v>
      </c>
      <c r="J101" s="1">
        <v>4</v>
      </c>
      <c r="L101" s="1">
        <v>4</v>
      </c>
      <c r="N101" s="1">
        <v>4</v>
      </c>
      <c r="P101" s="1">
        <v>4</v>
      </c>
      <c r="R101" s="1">
        <v>4</v>
      </c>
      <c r="T101" s="1">
        <v>4</v>
      </c>
      <c r="V101" s="1">
        <v>4</v>
      </c>
      <c r="X101" s="1">
        <v>5</v>
      </c>
      <c r="Z101" s="1">
        <v>4</v>
      </c>
      <c r="AB101" s="1">
        <v>4</v>
      </c>
      <c r="AD101" s="1">
        <v>3</v>
      </c>
      <c r="AF101" s="1">
        <v>3</v>
      </c>
      <c r="AH101" s="1">
        <v>4</v>
      </c>
      <c r="AJ101" s="1">
        <v>2</v>
      </c>
      <c r="AL101" s="1">
        <v>4</v>
      </c>
      <c r="AN101" s="1">
        <v>3</v>
      </c>
      <c r="AP101" s="1">
        <v>3</v>
      </c>
      <c r="AR101" s="1">
        <v>2</v>
      </c>
      <c r="AT101" s="1" t="s">
        <v>615</v>
      </c>
    </row>
    <row r="102" spans="1:46">
      <c r="A102" s="301">
        <v>72</v>
      </c>
      <c r="B102" s="301">
        <v>1</v>
      </c>
      <c r="D102" s="301" t="str">
        <f t="shared" ca="1" si="6"/>
        <v>Service</v>
      </c>
      <c r="E102" s="301">
        <v>9</v>
      </c>
      <c r="F102" s="1">
        <v>4</v>
      </c>
      <c r="H102" s="1">
        <v>4</v>
      </c>
      <c r="J102" s="1">
        <v>4</v>
      </c>
      <c r="L102" s="1">
        <v>4</v>
      </c>
      <c r="N102" s="1">
        <v>4</v>
      </c>
      <c r="P102" s="1">
        <v>4</v>
      </c>
      <c r="R102" s="1">
        <v>4</v>
      </c>
      <c r="T102" s="1">
        <v>4</v>
      </c>
      <c r="V102" s="1">
        <v>4</v>
      </c>
      <c r="X102" s="1">
        <v>5</v>
      </c>
      <c r="Z102" s="1">
        <v>5</v>
      </c>
      <c r="AB102" s="1">
        <v>5</v>
      </c>
      <c r="AD102" s="1">
        <v>3</v>
      </c>
      <c r="AF102" s="1">
        <v>3</v>
      </c>
      <c r="AH102" s="1">
        <v>4</v>
      </c>
      <c r="AJ102" s="1">
        <v>4</v>
      </c>
      <c r="AL102" s="1">
        <v>3</v>
      </c>
      <c r="AN102" s="1">
        <v>4</v>
      </c>
      <c r="AP102" s="1">
        <v>4</v>
      </c>
      <c r="AR102" s="1">
        <v>4</v>
      </c>
    </row>
    <row r="103" spans="1:46">
      <c r="A103" s="301">
        <v>73</v>
      </c>
      <c r="B103" s="301">
        <v>1</v>
      </c>
      <c r="D103" s="301" t="str">
        <f t="shared" ca="1" si="6"/>
        <v>Inforce Workflow</v>
      </c>
      <c r="E103" s="301">
        <v>3</v>
      </c>
      <c r="F103" s="1">
        <v>4</v>
      </c>
      <c r="H103" s="1">
        <v>4</v>
      </c>
      <c r="J103" s="1">
        <v>3</v>
      </c>
      <c r="L103" s="1">
        <v>4</v>
      </c>
      <c r="N103" s="1">
        <v>4</v>
      </c>
      <c r="P103" s="1">
        <v>4</v>
      </c>
      <c r="R103" s="1">
        <v>4</v>
      </c>
      <c r="T103" s="1">
        <v>4</v>
      </c>
      <c r="V103" s="1">
        <v>4</v>
      </c>
      <c r="X103" s="1">
        <v>4</v>
      </c>
      <c r="Z103" s="1">
        <v>4</v>
      </c>
      <c r="AB103" s="1">
        <v>4</v>
      </c>
      <c r="AD103" s="1">
        <v>4</v>
      </c>
      <c r="AF103" s="1">
        <v>3</v>
      </c>
      <c r="AH103" s="1">
        <v>4</v>
      </c>
      <c r="AJ103" s="1">
        <v>3</v>
      </c>
      <c r="AL103" s="1">
        <v>4</v>
      </c>
      <c r="AN103" s="1">
        <v>4</v>
      </c>
      <c r="AP103" s="1">
        <v>3</v>
      </c>
      <c r="AR103" s="1">
        <v>3</v>
      </c>
    </row>
    <row r="104" spans="1:46">
      <c r="A104" s="301">
        <v>74</v>
      </c>
      <c r="B104" s="301">
        <v>1</v>
      </c>
      <c r="D104" s="301" t="str">
        <f t="shared" ca="1" si="6"/>
        <v>Service</v>
      </c>
      <c r="E104" s="301">
        <v>9</v>
      </c>
      <c r="F104" s="1">
        <v>4</v>
      </c>
      <c r="H104" s="1">
        <v>4</v>
      </c>
      <c r="J104" s="1">
        <v>5</v>
      </c>
      <c r="L104" s="1">
        <v>5</v>
      </c>
      <c r="N104" s="1">
        <v>4</v>
      </c>
      <c r="P104" s="1">
        <v>5</v>
      </c>
      <c r="R104" s="1">
        <v>5</v>
      </c>
      <c r="T104" s="1">
        <v>5</v>
      </c>
      <c r="V104" s="1">
        <v>4</v>
      </c>
      <c r="X104" s="1">
        <v>2</v>
      </c>
      <c r="Y104" s="1" t="s">
        <v>616</v>
      </c>
      <c r="Z104" s="1">
        <v>4</v>
      </c>
      <c r="AB104" s="1">
        <v>4</v>
      </c>
      <c r="AD104" s="1">
        <v>5</v>
      </c>
      <c r="AF104" s="1">
        <v>5</v>
      </c>
      <c r="AH104" s="1">
        <v>5</v>
      </c>
      <c r="AJ104" s="1">
        <v>5</v>
      </c>
      <c r="AL104" s="1">
        <v>5</v>
      </c>
      <c r="AN104" s="1">
        <v>4</v>
      </c>
      <c r="AP104" s="1">
        <v>4</v>
      </c>
      <c r="AR104" s="1">
        <v>3</v>
      </c>
    </row>
    <row r="105" spans="1:46">
      <c r="A105" s="301">
        <v>75</v>
      </c>
      <c r="B105" s="301">
        <v>1</v>
      </c>
      <c r="D105" s="301" t="str">
        <f t="shared" ca="1" si="6"/>
        <v>Sales</v>
      </c>
      <c r="E105" s="301">
        <v>8</v>
      </c>
      <c r="F105" s="1">
        <v>4</v>
      </c>
      <c r="H105" s="1">
        <v>5</v>
      </c>
      <c r="J105" s="1">
        <v>5</v>
      </c>
      <c r="L105" s="1">
        <v>5</v>
      </c>
      <c r="N105" s="1">
        <v>5</v>
      </c>
      <c r="P105" s="1">
        <v>5</v>
      </c>
      <c r="R105" s="1">
        <v>4</v>
      </c>
      <c r="T105" s="1">
        <v>5</v>
      </c>
      <c r="V105" s="1">
        <v>5</v>
      </c>
      <c r="X105" s="1">
        <v>5</v>
      </c>
      <c r="Z105" s="1">
        <v>5</v>
      </c>
      <c r="AB105" s="1">
        <v>5</v>
      </c>
      <c r="AD105" s="1">
        <v>4</v>
      </c>
      <c r="AF105" s="1">
        <v>3</v>
      </c>
      <c r="AH105" s="1">
        <v>4</v>
      </c>
      <c r="AJ105" s="1">
        <v>5</v>
      </c>
      <c r="AL105" s="1">
        <v>5</v>
      </c>
      <c r="AN105" s="1">
        <v>4</v>
      </c>
      <c r="AP105" s="1">
        <v>3</v>
      </c>
      <c r="AR105" s="1">
        <v>3</v>
      </c>
    </row>
    <row r="106" spans="1:46">
      <c r="A106" s="301">
        <v>76</v>
      </c>
      <c r="B106" s="301">
        <v>1</v>
      </c>
      <c r="D106" s="301" t="str">
        <f t="shared" ca="1" si="6"/>
        <v>Product Admin</v>
      </c>
      <c r="E106" s="301">
        <v>7</v>
      </c>
      <c r="F106" s="1">
        <v>4</v>
      </c>
      <c r="H106" s="1">
        <v>5</v>
      </c>
      <c r="J106" s="1">
        <v>4</v>
      </c>
      <c r="L106" s="1">
        <v>5</v>
      </c>
      <c r="N106" s="1">
        <v>4</v>
      </c>
      <c r="P106" s="1">
        <v>5</v>
      </c>
      <c r="R106" s="1">
        <v>4</v>
      </c>
      <c r="T106" s="1">
        <v>4</v>
      </c>
      <c r="V106" s="1">
        <v>4</v>
      </c>
      <c r="X106" s="1">
        <v>5</v>
      </c>
      <c r="Z106" s="1">
        <v>5</v>
      </c>
      <c r="AB106" s="1">
        <v>5</v>
      </c>
      <c r="AD106" s="1">
        <v>3</v>
      </c>
      <c r="AF106" s="1">
        <v>5</v>
      </c>
      <c r="AH106" s="1">
        <v>5</v>
      </c>
      <c r="AJ106" s="1">
        <v>5</v>
      </c>
      <c r="AL106" s="1">
        <v>5</v>
      </c>
      <c r="AN106" s="1">
        <v>3</v>
      </c>
      <c r="AP106" s="1">
        <v>3</v>
      </c>
      <c r="AR106" s="1">
        <v>3</v>
      </c>
    </row>
    <row r="107" spans="1:46">
      <c r="A107" s="301">
        <v>77</v>
      </c>
      <c r="B107" s="301">
        <v>1</v>
      </c>
      <c r="D107" s="301" t="str">
        <f t="shared" ca="1" si="6"/>
        <v>IT Operations - Server</v>
      </c>
      <c r="E107" s="301">
        <v>13</v>
      </c>
      <c r="F107" s="1">
        <v>4</v>
      </c>
      <c r="H107" s="1">
        <v>4</v>
      </c>
      <c r="J107" s="1">
        <v>3</v>
      </c>
      <c r="L107" s="1">
        <v>3</v>
      </c>
      <c r="N107" s="1">
        <v>4</v>
      </c>
      <c r="P107" s="1">
        <v>4</v>
      </c>
      <c r="R107" s="1">
        <v>4</v>
      </c>
      <c r="T107" s="1">
        <v>4</v>
      </c>
      <c r="V107" s="1">
        <v>4</v>
      </c>
      <c r="X107" s="1">
        <v>5</v>
      </c>
      <c r="Z107" s="1">
        <v>5</v>
      </c>
      <c r="AB107" s="1">
        <v>4</v>
      </c>
      <c r="AD107" s="1">
        <v>3</v>
      </c>
      <c r="AF107" s="1">
        <v>3</v>
      </c>
      <c r="AH107" s="1">
        <v>4</v>
      </c>
      <c r="AJ107" s="1">
        <v>4</v>
      </c>
      <c r="AL107" s="1">
        <v>4</v>
      </c>
      <c r="AN107" s="1">
        <v>4</v>
      </c>
      <c r="AP107" s="1">
        <v>3</v>
      </c>
      <c r="AR107" s="1">
        <v>4</v>
      </c>
    </row>
    <row r="108" spans="1:46">
      <c r="A108" s="301">
        <v>78</v>
      </c>
      <c r="B108" s="301">
        <v>1</v>
      </c>
      <c r="D108" s="301" t="str">
        <f t="shared" ca="1" si="6"/>
        <v>Product Admin</v>
      </c>
      <c r="E108" s="301">
        <v>7</v>
      </c>
      <c r="F108" s="1">
        <v>4</v>
      </c>
      <c r="H108" s="1">
        <v>4</v>
      </c>
      <c r="J108" s="1">
        <v>3</v>
      </c>
      <c r="L108" s="1">
        <v>4</v>
      </c>
      <c r="N108" s="1">
        <v>4</v>
      </c>
      <c r="P108" s="1">
        <v>4</v>
      </c>
      <c r="R108" s="1">
        <v>4</v>
      </c>
      <c r="T108" s="1">
        <v>4</v>
      </c>
      <c r="V108" s="1">
        <v>4</v>
      </c>
      <c r="X108" s="1">
        <v>5</v>
      </c>
      <c r="Z108" s="1">
        <v>5</v>
      </c>
      <c r="AB108" s="1">
        <v>5</v>
      </c>
      <c r="AD108" s="1">
        <v>4</v>
      </c>
      <c r="AF108" s="1">
        <v>4</v>
      </c>
      <c r="AH108" s="1">
        <v>4</v>
      </c>
      <c r="AJ108" s="1">
        <v>4</v>
      </c>
      <c r="AL108" s="1">
        <v>5</v>
      </c>
      <c r="AN108" s="1">
        <v>4</v>
      </c>
      <c r="AP108" s="1">
        <v>4</v>
      </c>
      <c r="AR108" s="1">
        <v>3</v>
      </c>
    </row>
    <row r="109" spans="1:46">
      <c r="A109" s="301">
        <v>79</v>
      </c>
      <c r="B109" s="301">
        <v>1</v>
      </c>
      <c r="D109" s="301" t="str">
        <f t="shared" ca="1" si="6"/>
        <v>Technology Services</v>
      </c>
      <c r="E109" s="301">
        <v>11</v>
      </c>
      <c r="F109" s="1">
        <v>4</v>
      </c>
      <c r="H109" s="1">
        <v>4</v>
      </c>
      <c r="J109" s="1">
        <v>4</v>
      </c>
      <c r="L109" s="1">
        <v>4</v>
      </c>
      <c r="N109" s="1">
        <v>4</v>
      </c>
      <c r="P109" s="1">
        <v>5</v>
      </c>
      <c r="R109" s="1">
        <v>4</v>
      </c>
      <c r="T109" s="1">
        <v>4</v>
      </c>
      <c r="V109" s="1">
        <v>3</v>
      </c>
      <c r="X109" s="1">
        <v>3</v>
      </c>
      <c r="Z109" s="1">
        <v>4</v>
      </c>
      <c r="AB109" s="1">
        <v>4</v>
      </c>
      <c r="AD109" s="1">
        <v>4</v>
      </c>
      <c r="AF109" s="1">
        <v>4</v>
      </c>
      <c r="AH109" s="1">
        <v>4</v>
      </c>
      <c r="AJ109" s="1">
        <v>4</v>
      </c>
      <c r="AL109" s="1">
        <v>4</v>
      </c>
      <c r="AN109" s="1">
        <v>5</v>
      </c>
      <c r="AP109" s="1">
        <v>5</v>
      </c>
      <c r="AR109" s="1">
        <v>4</v>
      </c>
    </row>
    <row r="110" spans="1:46">
      <c r="A110" s="301">
        <v>80</v>
      </c>
      <c r="B110" s="301">
        <v>1</v>
      </c>
      <c r="D110" s="301" t="str">
        <f t="shared" ca="1" si="6"/>
        <v>Product Admin</v>
      </c>
      <c r="E110" s="301">
        <v>7</v>
      </c>
      <c r="F110" s="1">
        <v>4</v>
      </c>
      <c r="H110" s="1">
        <v>5</v>
      </c>
      <c r="J110" s="1">
        <v>4</v>
      </c>
      <c r="L110" s="1">
        <v>4</v>
      </c>
      <c r="N110" s="1">
        <v>4</v>
      </c>
      <c r="P110" s="1">
        <v>5</v>
      </c>
      <c r="R110" s="1">
        <v>4</v>
      </c>
      <c r="T110" s="1">
        <v>5</v>
      </c>
      <c r="V110" s="1">
        <v>4</v>
      </c>
      <c r="X110" s="1">
        <v>5</v>
      </c>
      <c r="Z110" s="1">
        <v>4</v>
      </c>
      <c r="AB110" s="1">
        <v>5</v>
      </c>
      <c r="AD110" s="1">
        <v>4</v>
      </c>
      <c r="AF110" s="1">
        <v>5</v>
      </c>
      <c r="AH110" s="1">
        <v>4</v>
      </c>
      <c r="AJ110" s="1">
        <v>4</v>
      </c>
      <c r="AL110" s="1">
        <v>4</v>
      </c>
      <c r="AN110" s="1">
        <v>4</v>
      </c>
      <c r="AP110" s="1">
        <v>3</v>
      </c>
      <c r="AR110" s="1">
        <v>3</v>
      </c>
    </row>
    <row r="111" spans="1:46">
      <c r="A111" s="301">
        <v>81</v>
      </c>
      <c r="B111" s="301">
        <v>1</v>
      </c>
      <c r="D111" s="301" t="str">
        <f t="shared" ca="1" si="6"/>
        <v>Product Admin</v>
      </c>
      <c r="E111" s="301">
        <v>7</v>
      </c>
      <c r="F111" s="1">
        <v>5</v>
      </c>
      <c r="H111" s="1">
        <v>5</v>
      </c>
      <c r="J111" s="1">
        <v>4</v>
      </c>
      <c r="L111" s="1">
        <v>5</v>
      </c>
      <c r="N111" s="1">
        <v>4</v>
      </c>
      <c r="P111" s="1">
        <v>4</v>
      </c>
      <c r="R111" s="1">
        <v>5</v>
      </c>
      <c r="T111" s="1">
        <v>5</v>
      </c>
      <c r="V111" s="1">
        <v>5</v>
      </c>
      <c r="X111" s="1">
        <v>4</v>
      </c>
      <c r="Z111" s="1">
        <v>5</v>
      </c>
      <c r="AB111" s="1">
        <v>5</v>
      </c>
      <c r="AD111" s="1">
        <v>4</v>
      </c>
      <c r="AF111" s="1">
        <v>4</v>
      </c>
      <c r="AH111" s="1">
        <v>5</v>
      </c>
      <c r="AJ111" s="1">
        <v>5</v>
      </c>
      <c r="AL111" s="1">
        <v>5</v>
      </c>
      <c r="AN111" s="1">
        <v>4</v>
      </c>
      <c r="AP111" s="1">
        <v>4</v>
      </c>
      <c r="AR111" s="1">
        <v>4</v>
      </c>
    </row>
    <row r="112" spans="1:46" ht="25.5">
      <c r="A112" s="301">
        <v>82</v>
      </c>
      <c r="B112" s="301">
        <v>1</v>
      </c>
      <c r="D112" s="301" t="str">
        <f t="shared" ca="1" si="6"/>
        <v>Sales</v>
      </c>
      <c r="E112" s="301">
        <v>8</v>
      </c>
      <c r="F112" s="1">
        <v>5</v>
      </c>
      <c r="H112" s="1">
        <v>4</v>
      </c>
      <c r="J112" s="1">
        <v>4</v>
      </c>
      <c r="L112" s="1">
        <v>4</v>
      </c>
      <c r="N112" s="1">
        <v>4</v>
      </c>
      <c r="P112" s="1">
        <v>4</v>
      </c>
      <c r="R112" s="1">
        <v>4</v>
      </c>
      <c r="T112" s="1">
        <v>4</v>
      </c>
      <c r="V112" s="1">
        <v>4</v>
      </c>
      <c r="X112" s="1">
        <v>4</v>
      </c>
      <c r="Z112" s="1">
        <v>4</v>
      </c>
      <c r="AB112" s="1">
        <v>4</v>
      </c>
      <c r="AD112" s="1">
        <v>4</v>
      </c>
      <c r="AF112" s="1">
        <v>4</v>
      </c>
      <c r="AH112" s="1">
        <v>4</v>
      </c>
      <c r="AJ112" s="1">
        <v>4</v>
      </c>
      <c r="AL112" s="1">
        <v>4</v>
      </c>
      <c r="AN112" s="1">
        <v>4</v>
      </c>
      <c r="AP112" s="1">
        <v>4</v>
      </c>
      <c r="AR112" s="1">
        <v>2</v>
      </c>
      <c r="AS112" s="1" t="s">
        <v>617</v>
      </c>
    </row>
    <row r="113" spans="1:46">
      <c r="A113" s="301">
        <v>83</v>
      </c>
      <c r="B113" s="301">
        <v>1</v>
      </c>
      <c r="D113" s="301" t="str">
        <f t="shared" ca="1" si="6"/>
        <v>New Business Workflow</v>
      </c>
      <c r="E113" s="301">
        <v>4</v>
      </c>
      <c r="F113" s="1">
        <v>5</v>
      </c>
      <c r="H113" s="1">
        <v>5</v>
      </c>
      <c r="J113" s="1">
        <v>4</v>
      </c>
      <c r="L113" s="1">
        <v>5</v>
      </c>
      <c r="N113" s="1">
        <v>4</v>
      </c>
      <c r="P113" s="1">
        <v>5</v>
      </c>
      <c r="R113" s="1">
        <v>5</v>
      </c>
      <c r="T113" s="1">
        <v>5</v>
      </c>
      <c r="V113" s="1">
        <v>5</v>
      </c>
      <c r="X113" s="1">
        <v>5</v>
      </c>
      <c r="Z113" s="1">
        <v>5</v>
      </c>
      <c r="AB113" s="1">
        <v>5</v>
      </c>
      <c r="AD113" s="1">
        <v>3</v>
      </c>
      <c r="AF113" s="1">
        <v>4</v>
      </c>
      <c r="AH113" s="1">
        <v>5</v>
      </c>
      <c r="AJ113" s="1">
        <v>4</v>
      </c>
      <c r="AL113" s="1">
        <v>5</v>
      </c>
      <c r="AN113" s="1">
        <v>4</v>
      </c>
      <c r="AP113" s="1">
        <v>4</v>
      </c>
      <c r="AR113" s="1">
        <v>4</v>
      </c>
    </row>
    <row r="114" spans="1:46">
      <c r="A114" s="301">
        <v>84</v>
      </c>
      <c r="B114" s="301">
        <v>1</v>
      </c>
      <c r="D114" s="301" t="str">
        <f t="shared" ca="1" si="6"/>
        <v>Product Admin</v>
      </c>
      <c r="E114" s="301">
        <v>7</v>
      </c>
      <c r="F114" s="1">
        <v>4</v>
      </c>
      <c r="H114" s="1">
        <v>4</v>
      </c>
      <c r="J114" s="1">
        <v>4</v>
      </c>
      <c r="L114" s="1">
        <v>5</v>
      </c>
      <c r="N114" s="1">
        <v>4</v>
      </c>
      <c r="P114" s="1">
        <v>5</v>
      </c>
      <c r="R114" s="1">
        <v>4</v>
      </c>
      <c r="T114" s="1">
        <v>4</v>
      </c>
      <c r="V114" s="1">
        <v>4</v>
      </c>
      <c r="X114" s="1">
        <v>4</v>
      </c>
      <c r="Z114" s="1">
        <v>4</v>
      </c>
      <c r="AB114" s="1">
        <v>4</v>
      </c>
      <c r="AD114" s="1">
        <v>4</v>
      </c>
      <c r="AF114" s="1">
        <v>5</v>
      </c>
      <c r="AH114" s="1">
        <v>4</v>
      </c>
      <c r="AJ114" s="1">
        <v>4</v>
      </c>
      <c r="AL114" s="1">
        <v>4</v>
      </c>
      <c r="AN114" s="1">
        <v>4</v>
      </c>
      <c r="AP114" s="1">
        <v>4</v>
      </c>
      <c r="AR114" s="1">
        <v>4</v>
      </c>
    </row>
    <row r="115" spans="1:46" ht="38.25">
      <c r="A115" s="301">
        <v>85</v>
      </c>
      <c r="B115" s="301">
        <v>1</v>
      </c>
      <c r="D115" s="301" t="str">
        <f t="shared" ca="1" si="6"/>
        <v>Product Admin</v>
      </c>
      <c r="E115" s="301">
        <v>7</v>
      </c>
      <c r="F115" s="1">
        <v>2</v>
      </c>
      <c r="G115" s="1" t="s">
        <v>618</v>
      </c>
      <c r="H115" s="1">
        <v>4</v>
      </c>
      <c r="J115" s="1">
        <v>4</v>
      </c>
      <c r="L115" s="1">
        <v>4</v>
      </c>
      <c r="N115" s="1">
        <v>5</v>
      </c>
      <c r="P115" s="1">
        <v>5</v>
      </c>
      <c r="R115" s="1">
        <v>5</v>
      </c>
      <c r="T115" s="1">
        <v>5</v>
      </c>
      <c r="V115" s="1">
        <v>4</v>
      </c>
      <c r="X115" s="1">
        <v>5</v>
      </c>
      <c r="Z115" s="1">
        <v>4</v>
      </c>
      <c r="AB115" s="1">
        <v>4</v>
      </c>
      <c r="AD115" s="1">
        <v>4</v>
      </c>
      <c r="AF115" s="1">
        <v>5</v>
      </c>
      <c r="AH115" s="1">
        <v>5</v>
      </c>
      <c r="AJ115" s="1">
        <v>4</v>
      </c>
      <c r="AL115" s="1">
        <v>4</v>
      </c>
      <c r="AN115" s="1">
        <v>4</v>
      </c>
      <c r="AP115" s="1">
        <v>4</v>
      </c>
      <c r="AR115" s="1">
        <v>4</v>
      </c>
    </row>
    <row r="116" spans="1:46" ht="38.25">
      <c r="A116" s="301">
        <v>86</v>
      </c>
      <c r="B116" s="301">
        <v>1</v>
      </c>
      <c r="D116" s="301" t="str">
        <f t="shared" ca="1" si="6"/>
        <v>Producer Admin</v>
      </c>
      <c r="E116" s="301">
        <v>5</v>
      </c>
      <c r="F116" s="1">
        <v>4</v>
      </c>
      <c r="H116" s="1">
        <v>5</v>
      </c>
      <c r="J116" s="1">
        <v>4</v>
      </c>
      <c r="L116" s="1">
        <v>4</v>
      </c>
      <c r="N116" s="1">
        <v>4</v>
      </c>
      <c r="P116" s="1">
        <v>4</v>
      </c>
      <c r="R116" s="1">
        <v>4</v>
      </c>
      <c r="T116" s="1">
        <v>4</v>
      </c>
      <c r="V116" s="1">
        <v>4</v>
      </c>
      <c r="X116" s="1">
        <v>4</v>
      </c>
      <c r="Z116" s="1">
        <v>4</v>
      </c>
      <c r="AB116" s="1">
        <v>4</v>
      </c>
      <c r="AD116" s="1">
        <v>4</v>
      </c>
      <c r="AF116" s="1">
        <v>5</v>
      </c>
      <c r="AH116" s="1">
        <v>3</v>
      </c>
      <c r="AI116" s="1" t="s">
        <v>619</v>
      </c>
      <c r="AJ116" s="1">
        <v>4</v>
      </c>
      <c r="AL116" s="1">
        <v>4</v>
      </c>
      <c r="AN116" s="1">
        <v>4</v>
      </c>
      <c r="AP116" s="1">
        <v>4</v>
      </c>
      <c r="AR116" s="1">
        <v>4</v>
      </c>
    </row>
    <row r="117" spans="1:46">
      <c r="A117" s="301">
        <v>87</v>
      </c>
      <c r="B117" s="301">
        <v>1</v>
      </c>
      <c r="D117" s="301" t="str">
        <f t="shared" ca="1" si="6"/>
        <v>Sales System Integration</v>
      </c>
      <c r="E117" s="301">
        <v>10</v>
      </c>
      <c r="F117" s="1">
        <v>5</v>
      </c>
      <c r="H117" s="1">
        <v>5</v>
      </c>
      <c r="J117" s="1">
        <v>5</v>
      </c>
      <c r="L117" s="1">
        <v>4</v>
      </c>
      <c r="N117" s="1">
        <v>5</v>
      </c>
      <c r="P117" s="1">
        <v>4</v>
      </c>
      <c r="R117" s="1">
        <v>4</v>
      </c>
      <c r="T117" s="1">
        <v>4</v>
      </c>
      <c r="V117" s="1">
        <v>4</v>
      </c>
      <c r="X117" s="1">
        <v>4</v>
      </c>
      <c r="Z117" s="1">
        <v>4</v>
      </c>
      <c r="AB117" s="1">
        <v>5</v>
      </c>
      <c r="AD117" s="1">
        <v>3</v>
      </c>
      <c r="AF117" s="1">
        <v>3</v>
      </c>
      <c r="AH117" s="1">
        <v>4</v>
      </c>
      <c r="AJ117" s="1">
        <v>4</v>
      </c>
      <c r="AL117" s="1">
        <v>3</v>
      </c>
      <c r="AN117" s="1">
        <v>4</v>
      </c>
      <c r="AP117" s="1">
        <v>3</v>
      </c>
      <c r="AR117" s="1">
        <v>3</v>
      </c>
    </row>
    <row r="118" spans="1:46">
      <c r="A118" s="301">
        <v>88</v>
      </c>
      <c r="B118" s="301">
        <v>1</v>
      </c>
      <c r="D118" s="301" t="str">
        <f t="shared" ca="1" si="6"/>
        <v>IT Operations - Help Desk</v>
      </c>
      <c r="E118" s="301">
        <v>12</v>
      </c>
      <c r="F118" s="1">
        <v>4</v>
      </c>
      <c r="H118" s="1">
        <v>4</v>
      </c>
      <c r="J118" s="1">
        <v>4</v>
      </c>
      <c r="L118" s="1">
        <v>3</v>
      </c>
      <c r="N118" s="1">
        <v>4</v>
      </c>
      <c r="P118" s="1">
        <v>4</v>
      </c>
      <c r="R118" s="1">
        <v>4</v>
      </c>
      <c r="T118" s="1">
        <v>4</v>
      </c>
      <c r="V118" s="1">
        <v>3</v>
      </c>
      <c r="X118" s="1">
        <v>3</v>
      </c>
      <c r="Z118" s="1">
        <v>4</v>
      </c>
      <c r="AB118" s="1">
        <v>4</v>
      </c>
      <c r="AD118" s="1">
        <v>3</v>
      </c>
      <c r="AF118" s="1">
        <v>3</v>
      </c>
      <c r="AH118" s="1">
        <v>5</v>
      </c>
      <c r="AJ118" s="1">
        <v>3</v>
      </c>
      <c r="AL118" s="1">
        <v>3</v>
      </c>
      <c r="AN118" s="1">
        <v>4</v>
      </c>
      <c r="AP118" s="1">
        <v>3</v>
      </c>
      <c r="AR118" s="1">
        <v>4</v>
      </c>
    </row>
    <row r="119" spans="1:46">
      <c r="A119" s="301">
        <v>89</v>
      </c>
      <c r="B119" s="301">
        <v>1</v>
      </c>
      <c r="D119" s="301" t="str">
        <f t="shared" ca="1" si="6"/>
        <v>eBusiness</v>
      </c>
      <c r="E119" s="301">
        <v>1</v>
      </c>
      <c r="F119" s="1">
        <v>4</v>
      </c>
      <c r="H119" s="1">
        <v>4</v>
      </c>
      <c r="J119" s="1">
        <v>4</v>
      </c>
      <c r="L119" s="1">
        <v>4</v>
      </c>
      <c r="N119" s="1">
        <v>4</v>
      </c>
      <c r="P119" s="1">
        <v>4</v>
      </c>
      <c r="R119" s="1">
        <v>4</v>
      </c>
      <c r="T119" s="1">
        <v>4</v>
      </c>
      <c r="V119" s="1">
        <v>3</v>
      </c>
      <c r="X119" s="1">
        <v>3</v>
      </c>
      <c r="Z119" s="1">
        <v>4</v>
      </c>
      <c r="AB119" s="1">
        <v>4</v>
      </c>
      <c r="AD119" s="1">
        <v>4</v>
      </c>
      <c r="AF119" s="1">
        <v>4</v>
      </c>
      <c r="AH119" s="1">
        <v>3</v>
      </c>
      <c r="AJ119" s="1">
        <v>3</v>
      </c>
      <c r="AL119" s="1">
        <v>4</v>
      </c>
      <c r="AN119" s="1">
        <v>4</v>
      </c>
      <c r="AP119" s="1">
        <v>3</v>
      </c>
      <c r="AR119" s="1">
        <v>6</v>
      </c>
    </row>
    <row r="120" spans="1:46" ht="38.25">
      <c r="A120" s="301">
        <v>90</v>
      </c>
      <c r="B120" s="301">
        <v>1</v>
      </c>
      <c r="D120" s="301" t="str">
        <f t="shared" ca="1" si="6"/>
        <v>Technology Services</v>
      </c>
      <c r="E120" s="301">
        <v>11</v>
      </c>
      <c r="F120" s="1">
        <v>2</v>
      </c>
      <c r="G120" s="1" t="s">
        <v>620</v>
      </c>
      <c r="H120" s="1">
        <v>2</v>
      </c>
      <c r="I120" s="1" t="s">
        <v>621</v>
      </c>
      <c r="J120" s="1">
        <v>2</v>
      </c>
      <c r="K120" s="1" t="s">
        <v>622</v>
      </c>
      <c r="L120" s="1">
        <v>3</v>
      </c>
      <c r="N120" s="1">
        <v>2</v>
      </c>
      <c r="O120" s="1" t="s">
        <v>623</v>
      </c>
      <c r="P120" s="1">
        <v>5</v>
      </c>
      <c r="R120" s="1">
        <v>3</v>
      </c>
      <c r="T120" s="1">
        <v>4</v>
      </c>
      <c r="V120" s="1">
        <v>2</v>
      </c>
      <c r="W120" s="1" t="s">
        <v>624</v>
      </c>
      <c r="X120" s="1">
        <v>3</v>
      </c>
      <c r="Z120" s="1">
        <v>3</v>
      </c>
      <c r="AB120" s="1">
        <v>2</v>
      </c>
      <c r="AC120" s="1" t="s">
        <v>625</v>
      </c>
      <c r="AD120" s="1">
        <v>2</v>
      </c>
      <c r="AE120" s="1" t="s">
        <v>626</v>
      </c>
      <c r="AF120" s="1">
        <v>3</v>
      </c>
      <c r="AH120" s="1">
        <v>4</v>
      </c>
      <c r="AJ120" s="1">
        <v>4</v>
      </c>
      <c r="AL120" s="1">
        <v>2</v>
      </c>
      <c r="AM120" s="1" t="s">
        <v>627</v>
      </c>
      <c r="AN120" s="1">
        <v>4</v>
      </c>
      <c r="AP120" s="1">
        <v>2</v>
      </c>
      <c r="AQ120" s="1" t="s">
        <v>628</v>
      </c>
      <c r="AR120" s="1">
        <v>6</v>
      </c>
      <c r="AT120" s="1" t="s">
        <v>629</v>
      </c>
    </row>
    <row r="121" spans="1:46">
      <c r="A121" s="301">
        <v>91</v>
      </c>
      <c r="B121" s="301">
        <v>1</v>
      </c>
      <c r="D121" s="301" t="str">
        <f t="shared" ca="1" si="6"/>
        <v>Product Admin</v>
      </c>
      <c r="E121" s="301">
        <v>7</v>
      </c>
      <c r="F121" s="1">
        <v>4</v>
      </c>
      <c r="H121" s="1">
        <v>3</v>
      </c>
      <c r="J121" s="1">
        <v>4</v>
      </c>
      <c r="L121" s="1">
        <v>3</v>
      </c>
      <c r="N121" s="1">
        <v>4</v>
      </c>
      <c r="P121" s="1">
        <v>4</v>
      </c>
      <c r="R121" s="1">
        <v>4</v>
      </c>
      <c r="T121" s="1">
        <v>4</v>
      </c>
      <c r="V121" s="1">
        <v>5</v>
      </c>
      <c r="X121" s="1">
        <v>4</v>
      </c>
      <c r="Z121" s="1">
        <v>3</v>
      </c>
      <c r="AB121" s="1">
        <v>4</v>
      </c>
      <c r="AD121" s="1">
        <v>3</v>
      </c>
      <c r="AF121" s="1">
        <v>3</v>
      </c>
      <c r="AH121" s="1">
        <v>4</v>
      </c>
      <c r="AJ121" s="1">
        <v>3</v>
      </c>
      <c r="AL121" s="1">
        <v>3</v>
      </c>
      <c r="AN121" s="1">
        <v>5</v>
      </c>
      <c r="AP121" s="1">
        <v>4</v>
      </c>
      <c r="AR121" s="1">
        <v>4</v>
      </c>
    </row>
    <row r="122" spans="1:46" ht="25.5">
      <c r="A122" s="301">
        <v>92</v>
      </c>
      <c r="B122" s="301">
        <v>1</v>
      </c>
      <c r="D122" s="301" t="str">
        <f t="shared" ca="1" si="6"/>
        <v>Service</v>
      </c>
      <c r="E122" s="301">
        <v>9</v>
      </c>
      <c r="F122" s="1">
        <v>4</v>
      </c>
      <c r="H122" s="1">
        <v>2</v>
      </c>
      <c r="I122" s="1" t="s">
        <v>630</v>
      </c>
      <c r="J122" s="1">
        <v>3</v>
      </c>
      <c r="L122" s="1">
        <v>3</v>
      </c>
      <c r="N122" s="1">
        <v>4</v>
      </c>
      <c r="P122" s="1">
        <v>3</v>
      </c>
      <c r="R122" s="1">
        <v>4</v>
      </c>
      <c r="T122" s="1">
        <v>4</v>
      </c>
      <c r="V122" s="1">
        <v>3</v>
      </c>
      <c r="X122" s="1">
        <v>3</v>
      </c>
      <c r="Z122" s="1">
        <v>4</v>
      </c>
      <c r="AB122" s="1">
        <v>4</v>
      </c>
      <c r="AD122" s="1">
        <v>4</v>
      </c>
      <c r="AF122" s="1">
        <v>2</v>
      </c>
      <c r="AG122" s="1" t="s">
        <v>631</v>
      </c>
      <c r="AH122" s="1">
        <v>4</v>
      </c>
      <c r="AJ122" s="1">
        <v>4</v>
      </c>
      <c r="AL122" s="1">
        <v>3</v>
      </c>
      <c r="AN122" s="1">
        <v>4</v>
      </c>
      <c r="AP122" s="1">
        <v>3</v>
      </c>
      <c r="AR122" s="1">
        <v>6</v>
      </c>
    </row>
    <row r="123" spans="1:46">
      <c r="A123" s="301">
        <v>93</v>
      </c>
      <c r="B123" s="301">
        <v>1</v>
      </c>
      <c r="D123" s="301" t="str">
        <f t="shared" ca="1" si="6"/>
        <v>Producer Admin</v>
      </c>
      <c r="E123" s="301">
        <v>5</v>
      </c>
      <c r="F123" s="1">
        <v>4</v>
      </c>
      <c r="H123" s="1">
        <v>4</v>
      </c>
      <c r="J123" s="1">
        <v>4</v>
      </c>
      <c r="L123" s="1">
        <v>4</v>
      </c>
      <c r="N123" s="1">
        <v>4</v>
      </c>
      <c r="P123" s="1">
        <v>4</v>
      </c>
      <c r="Q123" s="1" t="s">
        <v>632</v>
      </c>
      <c r="R123" s="1">
        <v>5</v>
      </c>
      <c r="T123" s="1">
        <v>5</v>
      </c>
      <c r="V123" s="1">
        <v>4</v>
      </c>
      <c r="X123" s="1">
        <v>4</v>
      </c>
      <c r="Z123" s="1">
        <v>4</v>
      </c>
      <c r="AB123" s="1">
        <v>4</v>
      </c>
      <c r="AD123" s="1">
        <v>4</v>
      </c>
      <c r="AF123" s="1">
        <v>4</v>
      </c>
      <c r="AH123" s="1">
        <v>4</v>
      </c>
      <c r="AJ123" s="1">
        <v>4</v>
      </c>
      <c r="AL123" s="1">
        <v>5</v>
      </c>
      <c r="AN123" s="1">
        <v>4</v>
      </c>
      <c r="AP123" s="1">
        <v>4</v>
      </c>
      <c r="AR123" s="1">
        <v>4</v>
      </c>
    </row>
    <row r="124" spans="1:46">
      <c r="A124" s="301">
        <v>94</v>
      </c>
      <c r="B124" s="301">
        <v>1</v>
      </c>
      <c r="D124" s="301" t="str">
        <f t="shared" ca="1" si="6"/>
        <v>Product Admin</v>
      </c>
      <c r="E124" s="301">
        <v>7</v>
      </c>
      <c r="F124" s="1">
        <v>4</v>
      </c>
      <c r="H124" s="1">
        <v>5</v>
      </c>
      <c r="J124" s="1">
        <v>4</v>
      </c>
      <c r="L124" s="1">
        <v>5</v>
      </c>
      <c r="N124" s="1">
        <v>4</v>
      </c>
      <c r="P124" s="1">
        <v>5</v>
      </c>
      <c r="R124" s="1">
        <v>5</v>
      </c>
      <c r="T124" s="1">
        <v>5</v>
      </c>
      <c r="V124" s="1">
        <v>5</v>
      </c>
      <c r="X124" s="1">
        <v>5</v>
      </c>
      <c r="Z124" s="1">
        <v>5</v>
      </c>
      <c r="AB124" s="1">
        <v>5</v>
      </c>
      <c r="AD124" s="1">
        <v>5</v>
      </c>
      <c r="AF124" s="1">
        <v>4</v>
      </c>
      <c r="AH124" s="1">
        <v>5</v>
      </c>
      <c r="AJ124" s="1">
        <v>5</v>
      </c>
      <c r="AL124" s="1">
        <v>5</v>
      </c>
      <c r="AN124" s="1">
        <v>5</v>
      </c>
      <c r="AP124" s="1">
        <v>5</v>
      </c>
      <c r="AR124" s="1">
        <v>3</v>
      </c>
    </row>
    <row r="125" spans="1:46">
      <c r="A125" s="301">
        <v>95</v>
      </c>
      <c r="B125" s="301">
        <v>1</v>
      </c>
      <c r="D125" s="301" t="str">
        <f t="shared" ca="1" si="6"/>
        <v>Service</v>
      </c>
      <c r="E125" s="301">
        <v>9</v>
      </c>
      <c r="F125" s="1">
        <v>3</v>
      </c>
      <c r="H125" s="1">
        <v>3</v>
      </c>
      <c r="J125" s="1">
        <v>3</v>
      </c>
      <c r="L125" s="1">
        <v>3</v>
      </c>
      <c r="N125" s="1">
        <v>4</v>
      </c>
      <c r="P125" s="1">
        <v>4</v>
      </c>
      <c r="R125" s="1">
        <v>3</v>
      </c>
      <c r="T125" s="1">
        <v>3</v>
      </c>
      <c r="V125" s="1">
        <v>3</v>
      </c>
      <c r="X125" s="1">
        <v>4</v>
      </c>
      <c r="Z125" s="1">
        <v>4</v>
      </c>
      <c r="AB125" s="1">
        <v>4</v>
      </c>
      <c r="AD125" s="1">
        <v>3</v>
      </c>
      <c r="AF125" s="1">
        <v>3</v>
      </c>
      <c r="AH125" s="1">
        <v>3</v>
      </c>
      <c r="AJ125" s="1">
        <v>3</v>
      </c>
      <c r="AL125" s="1">
        <v>4</v>
      </c>
      <c r="AN125" s="1">
        <v>4</v>
      </c>
      <c r="AP125" s="1">
        <v>4</v>
      </c>
      <c r="AR125" s="1">
        <v>3</v>
      </c>
    </row>
    <row r="126" spans="1:46">
      <c r="A126" s="301">
        <v>96</v>
      </c>
      <c r="B126" s="301">
        <v>1</v>
      </c>
      <c r="D126" s="301" t="str">
        <f t="shared" ca="1" si="6"/>
        <v>Product Admin</v>
      </c>
      <c r="E126" s="301">
        <v>7</v>
      </c>
      <c r="F126" s="1">
        <v>3</v>
      </c>
      <c r="H126" s="1">
        <v>3</v>
      </c>
      <c r="J126" s="1">
        <v>4</v>
      </c>
      <c r="L126" s="1">
        <v>4</v>
      </c>
      <c r="N126" s="1">
        <v>3</v>
      </c>
      <c r="P126" s="1">
        <v>3</v>
      </c>
      <c r="R126" s="1">
        <v>4</v>
      </c>
      <c r="T126" s="1">
        <v>4</v>
      </c>
      <c r="V126" s="1">
        <v>3</v>
      </c>
      <c r="X126" s="1">
        <v>3</v>
      </c>
      <c r="Z126" s="1">
        <v>3</v>
      </c>
      <c r="AB126" s="1">
        <v>3</v>
      </c>
      <c r="AD126" s="1">
        <v>3</v>
      </c>
      <c r="AF126" s="1">
        <v>3</v>
      </c>
      <c r="AH126" s="1">
        <v>3</v>
      </c>
      <c r="AJ126" s="1">
        <v>3</v>
      </c>
      <c r="AL126" s="1">
        <v>4</v>
      </c>
      <c r="AN126" s="1">
        <v>3</v>
      </c>
      <c r="AP126" s="1">
        <v>3</v>
      </c>
      <c r="AR126" s="1">
        <v>4</v>
      </c>
      <c r="AT126" s="1" t="s">
        <v>26</v>
      </c>
    </row>
    <row r="127" spans="1:46">
      <c r="A127" s="301">
        <v>97</v>
      </c>
      <c r="B127" s="301">
        <v>1</v>
      </c>
      <c r="D127" s="301" t="str">
        <f t="shared" ref="D127:D147" ca="1" si="7">LOOKUP(E127,INDIRECT(Team_Name_Lookup))</f>
        <v>Service</v>
      </c>
      <c r="E127" s="301">
        <v>9</v>
      </c>
      <c r="F127" s="1">
        <v>4</v>
      </c>
      <c r="H127" s="1">
        <v>4</v>
      </c>
      <c r="J127" s="1">
        <v>4</v>
      </c>
      <c r="L127" s="1">
        <v>5</v>
      </c>
      <c r="N127" s="1">
        <v>4</v>
      </c>
      <c r="P127" s="1">
        <v>5</v>
      </c>
      <c r="R127" s="1">
        <v>4</v>
      </c>
      <c r="T127" s="1">
        <v>5</v>
      </c>
      <c r="V127" s="1">
        <v>4</v>
      </c>
      <c r="X127" s="1">
        <v>4</v>
      </c>
      <c r="Z127" s="1">
        <v>4</v>
      </c>
      <c r="AB127" s="1">
        <v>5</v>
      </c>
      <c r="AD127" s="1">
        <v>4</v>
      </c>
      <c r="AF127" s="1">
        <v>5</v>
      </c>
      <c r="AH127" s="1">
        <v>3</v>
      </c>
      <c r="AJ127" s="1">
        <v>3</v>
      </c>
      <c r="AL127" s="1">
        <v>3</v>
      </c>
      <c r="AN127" s="1">
        <v>4</v>
      </c>
      <c r="AP127" s="1">
        <v>4</v>
      </c>
      <c r="AR127" s="1">
        <v>6</v>
      </c>
      <c r="AT127" s="1" t="s">
        <v>633</v>
      </c>
    </row>
    <row r="128" spans="1:46">
      <c r="A128" s="301">
        <v>98</v>
      </c>
      <c r="B128" s="301">
        <v>1</v>
      </c>
      <c r="D128" s="301" t="str">
        <f t="shared" ca="1" si="7"/>
        <v>Producer CRM</v>
      </c>
      <c r="E128" s="301">
        <v>6</v>
      </c>
      <c r="F128" s="1">
        <v>5</v>
      </c>
      <c r="H128" s="1">
        <v>4</v>
      </c>
      <c r="J128" s="1">
        <v>4</v>
      </c>
      <c r="L128" s="1">
        <v>4</v>
      </c>
      <c r="N128" s="1">
        <v>4</v>
      </c>
      <c r="P128" s="1">
        <v>4</v>
      </c>
      <c r="R128" s="1">
        <v>5</v>
      </c>
      <c r="T128" s="1">
        <v>5</v>
      </c>
      <c r="V128" s="1">
        <v>4</v>
      </c>
      <c r="X128" s="1">
        <v>5</v>
      </c>
      <c r="Z128" s="1">
        <v>4</v>
      </c>
      <c r="AB128" s="1">
        <v>4</v>
      </c>
      <c r="AD128" s="1">
        <v>4</v>
      </c>
      <c r="AF128" s="1">
        <v>4</v>
      </c>
      <c r="AH128" s="1">
        <v>4</v>
      </c>
      <c r="AJ128" s="1">
        <v>4</v>
      </c>
      <c r="AL128" s="1">
        <v>4</v>
      </c>
      <c r="AN128" s="1">
        <v>4</v>
      </c>
      <c r="AP128" s="1">
        <v>4</v>
      </c>
      <c r="AR128" s="1">
        <v>3</v>
      </c>
      <c r="AT128" s="1" t="s">
        <v>634</v>
      </c>
    </row>
    <row r="129" spans="1:46">
      <c r="A129" s="301">
        <v>99</v>
      </c>
      <c r="B129" s="301">
        <v>1</v>
      </c>
      <c r="D129" s="301" t="str">
        <f t="shared" ca="1" si="7"/>
        <v>eBusiness</v>
      </c>
      <c r="E129" s="301">
        <v>1</v>
      </c>
      <c r="F129" s="1">
        <v>5</v>
      </c>
      <c r="H129" s="1">
        <v>5</v>
      </c>
      <c r="J129" s="1">
        <v>5</v>
      </c>
      <c r="L129" s="1">
        <v>5</v>
      </c>
      <c r="N129" s="1">
        <v>5</v>
      </c>
      <c r="P129" s="1">
        <v>5</v>
      </c>
      <c r="R129" s="1">
        <v>5</v>
      </c>
      <c r="T129" s="1">
        <v>5</v>
      </c>
      <c r="V129" s="1">
        <v>5</v>
      </c>
      <c r="X129" s="1">
        <v>5</v>
      </c>
      <c r="Z129" s="1">
        <v>5</v>
      </c>
      <c r="AB129" s="1">
        <v>5</v>
      </c>
      <c r="AD129" s="1">
        <v>5</v>
      </c>
      <c r="AF129" s="1">
        <v>5</v>
      </c>
      <c r="AH129" s="1">
        <v>5</v>
      </c>
      <c r="AJ129" s="1">
        <v>5</v>
      </c>
      <c r="AL129" s="1">
        <v>5</v>
      </c>
      <c r="AN129" s="1">
        <v>5</v>
      </c>
      <c r="AP129" s="1">
        <v>5</v>
      </c>
      <c r="AR129" s="1">
        <v>5</v>
      </c>
      <c r="AT129" s="1" t="s">
        <v>635</v>
      </c>
    </row>
    <row r="130" spans="1:46">
      <c r="A130" s="301">
        <v>100</v>
      </c>
      <c r="B130" s="301">
        <v>1</v>
      </c>
      <c r="D130" s="301" t="str">
        <f t="shared" ca="1" si="7"/>
        <v>Product Admin</v>
      </c>
      <c r="E130" s="301">
        <v>7</v>
      </c>
      <c r="F130" s="1">
        <v>1</v>
      </c>
      <c r="H130" s="1">
        <v>3</v>
      </c>
      <c r="J130" s="1">
        <v>5</v>
      </c>
      <c r="L130" s="1">
        <v>5</v>
      </c>
      <c r="N130" s="1">
        <v>5</v>
      </c>
      <c r="P130" s="1">
        <v>5</v>
      </c>
      <c r="R130" s="1">
        <v>5</v>
      </c>
      <c r="T130" s="1">
        <v>5</v>
      </c>
      <c r="V130" s="1">
        <v>2</v>
      </c>
      <c r="W130" s="1" t="s">
        <v>636</v>
      </c>
      <c r="X130" s="1">
        <v>4</v>
      </c>
      <c r="Z130" s="1">
        <v>4</v>
      </c>
      <c r="AB130" s="1">
        <v>5</v>
      </c>
      <c r="AD130" s="1">
        <v>3</v>
      </c>
      <c r="AF130" s="1">
        <v>3</v>
      </c>
      <c r="AH130" s="1">
        <v>5</v>
      </c>
      <c r="AJ130" s="1">
        <v>4</v>
      </c>
      <c r="AL130" s="1">
        <v>5</v>
      </c>
      <c r="AN130" s="1">
        <v>5</v>
      </c>
      <c r="AP130" s="1">
        <v>4</v>
      </c>
      <c r="AR130" s="1">
        <v>5</v>
      </c>
    </row>
    <row r="131" spans="1:46" ht="38.25">
      <c r="A131" s="301">
        <v>101</v>
      </c>
      <c r="B131" s="301">
        <v>1</v>
      </c>
      <c r="D131" s="301" t="str">
        <f t="shared" ca="1" si="7"/>
        <v>Sales</v>
      </c>
      <c r="E131" s="301">
        <v>8</v>
      </c>
      <c r="F131" s="1">
        <v>4</v>
      </c>
      <c r="H131" s="1">
        <v>5</v>
      </c>
      <c r="J131" s="1">
        <v>4</v>
      </c>
      <c r="L131" s="1">
        <v>4</v>
      </c>
      <c r="N131" s="1">
        <v>5</v>
      </c>
      <c r="P131" s="1">
        <v>3</v>
      </c>
      <c r="R131" s="1">
        <v>4</v>
      </c>
      <c r="T131" s="1">
        <v>5</v>
      </c>
      <c r="V131" s="1">
        <v>5</v>
      </c>
      <c r="X131" s="1">
        <v>5</v>
      </c>
      <c r="Z131" s="1">
        <v>5</v>
      </c>
      <c r="AB131" s="1">
        <v>5</v>
      </c>
      <c r="AD131" s="1">
        <v>4</v>
      </c>
      <c r="AF131" s="1">
        <v>3</v>
      </c>
      <c r="AH131" s="1">
        <v>4</v>
      </c>
      <c r="AJ131" s="1">
        <v>4</v>
      </c>
      <c r="AL131" s="1">
        <v>4</v>
      </c>
      <c r="AN131" s="1">
        <v>4</v>
      </c>
      <c r="AP131" s="1">
        <v>6</v>
      </c>
      <c r="AQ131" s="1" t="s">
        <v>637</v>
      </c>
      <c r="AR131" s="1">
        <v>2</v>
      </c>
      <c r="AS131" s="1" t="s">
        <v>638</v>
      </c>
    </row>
    <row r="132" spans="1:46">
      <c r="A132" s="301">
        <v>102</v>
      </c>
      <c r="B132" s="301">
        <v>1</v>
      </c>
      <c r="D132" s="301" t="str">
        <f t="shared" ca="1" si="7"/>
        <v>Service</v>
      </c>
      <c r="E132" s="301">
        <v>9</v>
      </c>
      <c r="F132" s="1">
        <v>4</v>
      </c>
      <c r="H132" s="1">
        <v>4</v>
      </c>
      <c r="J132" s="1">
        <v>5</v>
      </c>
      <c r="L132" s="1">
        <v>4</v>
      </c>
      <c r="N132" s="1">
        <v>3</v>
      </c>
      <c r="P132" s="1">
        <v>4</v>
      </c>
      <c r="R132" s="1">
        <v>5</v>
      </c>
      <c r="T132" s="1">
        <v>5</v>
      </c>
      <c r="V132" s="1">
        <v>4</v>
      </c>
      <c r="X132" s="1">
        <v>5</v>
      </c>
      <c r="Z132" s="1">
        <v>5</v>
      </c>
      <c r="AB132" s="1">
        <v>5</v>
      </c>
      <c r="AD132" s="1">
        <v>4</v>
      </c>
      <c r="AF132" s="1">
        <v>4</v>
      </c>
      <c r="AH132" s="1">
        <v>4</v>
      </c>
      <c r="AJ132" s="1">
        <v>4</v>
      </c>
      <c r="AL132" s="1">
        <v>4</v>
      </c>
      <c r="AN132" s="1">
        <v>3</v>
      </c>
      <c r="AP132" s="1">
        <v>4</v>
      </c>
      <c r="AR132" s="1">
        <v>4</v>
      </c>
    </row>
    <row r="133" spans="1:46">
      <c r="A133" s="301">
        <v>103</v>
      </c>
      <c r="B133" s="301">
        <v>1</v>
      </c>
      <c r="D133" s="301" t="str">
        <f t="shared" ca="1" si="7"/>
        <v>IT Operations - Help Desk</v>
      </c>
      <c r="E133" s="301">
        <v>12</v>
      </c>
      <c r="F133" s="1">
        <v>5</v>
      </c>
      <c r="H133" s="1">
        <v>4</v>
      </c>
      <c r="J133" s="1">
        <v>5</v>
      </c>
      <c r="L133" s="1">
        <v>6</v>
      </c>
      <c r="N133" s="1">
        <v>5</v>
      </c>
      <c r="P133" s="1">
        <v>3</v>
      </c>
      <c r="R133" s="1">
        <v>5</v>
      </c>
      <c r="T133" s="1">
        <v>4</v>
      </c>
      <c r="V133" s="1">
        <v>5</v>
      </c>
      <c r="X133" s="1">
        <v>5</v>
      </c>
      <c r="Z133" s="1">
        <v>4</v>
      </c>
      <c r="AB133" s="1">
        <v>5</v>
      </c>
      <c r="AD133" s="1">
        <v>6</v>
      </c>
      <c r="AF133" s="1">
        <v>6</v>
      </c>
      <c r="AH133" s="1">
        <v>3</v>
      </c>
      <c r="AJ133" s="1">
        <v>5</v>
      </c>
      <c r="AL133" s="1">
        <v>4</v>
      </c>
      <c r="AN133" s="1">
        <v>5</v>
      </c>
      <c r="AP133" s="1">
        <v>4</v>
      </c>
      <c r="AR133" s="1">
        <v>3</v>
      </c>
    </row>
    <row r="134" spans="1:46">
      <c r="A134" s="301">
        <v>104</v>
      </c>
      <c r="B134" s="301">
        <v>1</v>
      </c>
      <c r="D134" s="301" t="str">
        <f t="shared" ca="1" si="7"/>
        <v>IT Operations - Help Desk</v>
      </c>
      <c r="E134" s="301">
        <v>12</v>
      </c>
      <c r="F134" s="1">
        <v>5</v>
      </c>
      <c r="H134" s="1">
        <v>5</v>
      </c>
      <c r="J134" s="1">
        <v>4</v>
      </c>
      <c r="L134" s="1">
        <v>3</v>
      </c>
      <c r="N134" s="1">
        <v>4</v>
      </c>
      <c r="P134" s="1">
        <v>5</v>
      </c>
      <c r="R134" s="1">
        <v>5</v>
      </c>
      <c r="T134" s="1">
        <v>5</v>
      </c>
      <c r="V134" s="1">
        <v>5</v>
      </c>
      <c r="X134" s="1">
        <v>5</v>
      </c>
      <c r="Z134" s="1">
        <v>5</v>
      </c>
      <c r="AB134" s="1">
        <v>5</v>
      </c>
      <c r="AD134" s="1">
        <v>3</v>
      </c>
      <c r="AF134" s="1">
        <v>4</v>
      </c>
      <c r="AG134" s="1" t="s">
        <v>639</v>
      </c>
      <c r="AH134" s="1">
        <v>5</v>
      </c>
      <c r="AJ134" s="1">
        <v>3</v>
      </c>
      <c r="AL134" s="1">
        <v>5</v>
      </c>
      <c r="AN134" s="1">
        <v>5</v>
      </c>
      <c r="AP134" s="1">
        <v>5</v>
      </c>
      <c r="AR134" s="1">
        <v>4</v>
      </c>
    </row>
    <row r="135" spans="1:46">
      <c r="A135" s="301">
        <v>105</v>
      </c>
      <c r="B135" s="301">
        <v>1</v>
      </c>
      <c r="D135" s="301" t="str">
        <f t="shared" ca="1" si="7"/>
        <v>IT Operations - Help Desk</v>
      </c>
      <c r="E135" s="301">
        <v>12</v>
      </c>
      <c r="F135" s="1">
        <v>4</v>
      </c>
      <c r="H135" s="1">
        <v>5</v>
      </c>
      <c r="J135" s="1">
        <v>5</v>
      </c>
      <c r="L135" s="1">
        <v>4</v>
      </c>
      <c r="N135" s="1">
        <v>4</v>
      </c>
      <c r="P135" s="1">
        <v>5</v>
      </c>
      <c r="R135" s="1">
        <v>5</v>
      </c>
      <c r="T135" s="1">
        <v>5</v>
      </c>
      <c r="V135" s="1">
        <v>5</v>
      </c>
      <c r="X135" s="1">
        <v>5</v>
      </c>
      <c r="Z135" s="1">
        <v>4</v>
      </c>
      <c r="AB135" s="1">
        <v>3</v>
      </c>
      <c r="AD135" s="1">
        <v>6</v>
      </c>
      <c r="AF135" s="1">
        <v>3</v>
      </c>
      <c r="AH135" s="1">
        <v>4</v>
      </c>
      <c r="AJ135" s="1">
        <v>4</v>
      </c>
      <c r="AL135" s="1">
        <v>4</v>
      </c>
      <c r="AN135" s="1">
        <v>4</v>
      </c>
      <c r="AP135" s="1">
        <v>4</v>
      </c>
      <c r="AR135" s="1">
        <v>3</v>
      </c>
    </row>
    <row r="136" spans="1:46">
      <c r="A136" s="301">
        <v>106</v>
      </c>
      <c r="B136" s="301">
        <v>1</v>
      </c>
      <c r="D136" s="301" t="str">
        <f t="shared" ca="1" si="7"/>
        <v>Producer CRM</v>
      </c>
      <c r="E136" s="301">
        <v>6</v>
      </c>
      <c r="F136" s="1">
        <v>4</v>
      </c>
      <c r="H136" s="1">
        <v>4</v>
      </c>
      <c r="J136" s="1">
        <v>4</v>
      </c>
      <c r="L136" s="1">
        <v>3</v>
      </c>
      <c r="M136" s="1" t="s">
        <v>640</v>
      </c>
      <c r="N136" s="1">
        <v>4</v>
      </c>
      <c r="P136" s="1">
        <v>4</v>
      </c>
      <c r="R136" s="1">
        <v>4</v>
      </c>
      <c r="T136" s="1">
        <v>4</v>
      </c>
      <c r="V136" s="1">
        <v>2</v>
      </c>
      <c r="W136" s="1" t="s">
        <v>641</v>
      </c>
      <c r="X136" s="1">
        <v>3</v>
      </c>
      <c r="Z136" s="1">
        <v>5</v>
      </c>
      <c r="AB136" s="1">
        <v>5</v>
      </c>
      <c r="AD136" s="1">
        <v>4</v>
      </c>
      <c r="AF136" s="1">
        <v>3</v>
      </c>
      <c r="AH136" s="1">
        <v>3</v>
      </c>
      <c r="AJ136" s="1">
        <v>6</v>
      </c>
      <c r="AK136" s="1" t="s">
        <v>642</v>
      </c>
      <c r="AL136" s="1">
        <v>2</v>
      </c>
      <c r="AM136" s="1" t="s">
        <v>643</v>
      </c>
      <c r="AN136" s="1">
        <v>4</v>
      </c>
      <c r="AP136" s="1">
        <v>4</v>
      </c>
      <c r="AR136" s="1">
        <v>6</v>
      </c>
      <c r="AS136" s="1" t="s">
        <v>644</v>
      </c>
      <c r="AT136" s="1" t="s">
        <v>645</v>
      </c>
    </row>
    <row r="137" spans="1:46">
      <c r="A137" s="301">
        <v>107</v>
      </c>
      <c r="B137" s="301">
        <v>1</v>
      </c>
      <c r="D137" s="301" t="str">
        <f t="shared" ca="1" si="7"/>
        <v>Service</v>
      </c>
      <c r="E137" s="301">
        <v>9</v>
      </c>
      <c r="F137" s="1">
        <v>3</v>
      </c>
      <c r="H137" s="1">
        <v>3</v>
      </c>
      <c r="J137" s="1">
        <v>3</v>
      </c>
      <c r="L137" s="1">
        <v>4</v>
      </c>
      <c r="N137" s="1">
        <v>3</v>
      </c>
      <c r="P137" s="1">
        <v>4</v>
      </c>
      <c r="R137" s="1">
        <v>3</v>
      </c>
      <c r="T137" s="1">
        <v>4</v>
      </c>
      <c r="V137" s="1">
        <v>4</v>
      </c>
      <c r="X137" s="1">
        <v>3</v>
      </c>
      <c r="Z137" s="1">
        <v>3</v>
      </c>
      <c r="AB137" s="1">
        <v>3</v>
      </c>
      <c r="AD137" s="1">
        <v>3</v>
      </c>
      <c r="AF137" s="1">
        <v>3</v>
      </c>
      <c r="AH137" s="1">
        <v>3</v>
      </c>
      <c r="AJ137" s="1">
        <v>4</v>
      </c>
      <c r="AL137" s="1">
        <v>4</v>
      </c>
      <c r="AN137" s="1">
        <v>3</v>
      </c>
      <c r="AP137" s="1">
        <v>4</v>
      </c>
      <c r="AR137" s="1">
        <v>3</v>
      </c>
    </row>
    <row r="138" spans="1:46">
      <c r="A138" s="301">
        <v>108</v>
      </c>
      <c r="B138" s="301">
        <v>1</v>
      </c>
      <c r="D138" s="301" t="str">
        <f t="shared" ca="1" si="7"/>
        <v>Product Admin</v>
      </c>
      <c r="E138" s="301">
        <v>7</v>
      </c>
      <c r="F138" s="1">
        <v>4</v>
      </c>
      <c r="H138" s="1">
        <v>4</v>
      </c>
      <c r="J138" s="1">
        <v>4</v>
      </c>
      <c r="L138" s="1">
        <v>5</v>
      </c>
      <c r="N138" s="1">
        <v>5</v>
      </c>
      <c r="P138" s="1">
        <v>5</v>
      </c>
      <c r="R138" s="1">
        <v>5</v>
      </c>
      <c r="T138" s="1">
        <v>5</v>
      </c>
      <c r="V138" s="1">
        <v>4</v>
      </c>
      <c r="X138" s="1">
        <v>5</v>
      </c>
      <c r="Z138" s="1">
        <v>4</v>
      </c>
      <c r="AB138" s="1">
        <v>5</v>
      </c>
      <c r="AD138" s="1">
        <v>5</v>
      </c>
      <c r="AF138" s="1">
        <v>4</v>
      </c>
      <c r="AH138" s="1">
        <v>5</v>
      </c>
      <c r="AJ138" s="1">
        <v>5</v>
      </c>
      <c r="AL138" s="1">
        <v>5</v>
      </c>
      <c r="AN138" s="1">
        <v>5</v>
      </c>
      <c r="AP138" s="1">
        <v>5</v>
      </c>
      <c r="AR138" s="1">
        <v>5</v>
      </c>
    </row>
    <row r="139" spans="1:46">
      <c r="A139" s="301">
        <v>109</v>
      </c>
      <c r="B139" s="301">
        <v>1</v>
      </c>
      <c r="D139" s="301" t="str">
        <f t="shared" ca="1" si="7"/>
        <v>Product Admin</v>
      </c>
      <c r="E139" s="301">
        <v>7</v>
      </c>
      <c r="F139" s="1">
        <v>4</v>
      </c>
      <c r="H139" s="1">
        <v>5</v>
      </c>
      <c r="J139" s="1">
        <v>3</v>
      </c>
      <c r="K139" s="1" t="s">
        <v>646</v>
      </c>
      <c r="L139" s="1">
        <v>5</v>
      </c>
      <c r="N139" s="1">
        <v>4</v>
      </c>
      <c r="P139" s="1">
        <v>4</v>
      </c>
      <c r="R139" s="1">
        <v>5</v>
      </c>
      <c r="T139" s="1">
        <v>5</v>
      </c>
      <c r="V139" s="1">
        <v>4</v>
      </c>
      <c r="X139" s="1">
        <v>5</v>
      </c>
      <c r="Z139" s="1">
        <v>5</v>
      </c>
      <c r="AB139" s="1">
        <v>5</v>
      </c>
      <c r="AD139" s="1">
        <v>4</v>
      </c>
      <c r="AF139" s="1">
        <v>4</v>
      </c>
      <c r="AH139" s="1">
        <v>4</v>
      </c>
      <c r="AJ139" s="1">
        <v>5</v>
      </c>
      <c r="AL139" s="1">
        <v>5</v>
      </c>
      <c r="AN139" s="1">
        <v>4</v>
      </c>
      <c r="AP139" s="1">
        <v>4</v>
      </c>
      <c r="AR139" s="1">
        <v>4</v>
      </c>
      <c r="AT139" s="1" t="s">
        <v>647</v>
      </c>
    </row>
    <row r="140" spans="1:46">
      <c r="A140" s="301">
        <v>110</v>
      </c>
      <c r="B140" s="301">
        <v>1</v>
      </c>
      <c r="D140" s="301" t="str">
        <f t="shared" ca="1" si="7"/>
        <v>IT Operations - Server</v>
      </c>
      <c r="E140" s="301">
        <v>13</v>
      </c>
      <c r="F140" s="1">
        <v>2</v>
      </c>
      <c r="G140" s="1" t="s">
        <v>648</v>
      </c>
      <c r="H140" s="1">
        <v>3</v>
      </c>
      <c r="J140" s="1">
        <v>3</v>
      </c>
      <c r="L140" s="1">
        <v>6</v>
      </c>
      <c r="N140" s="1">
        <v>4</v>
      </c>
      <c r="P140" s="1">
        <v>4</v>
      </c>
      <c r="R140" s="1">
        <v>4</v>
      </c>
      <c r="T140" s="1">
        <v>4</v>
      </c>
      <c r="V140" s="1">
        <v>2</v>
      </c>
      <c r="W140" s="1" t="s">
        <v>649</v>
      </c>
      <c r="X140" s="1">
        <v>3</v>
      </c>
      <c r="Z140" s="1">
        <v>3</v>
      </c>
      <c r="AB140" s="1">
        <v>3</v>
      </c>
      <c r="AD140" s="1">
        <v>6</v>
      </c>
      <c r="AF140" s="1">
        <v>6</v>
      </c>
      <c r="AH140" s="1">
        <v>3</v>
      </c>
      <c r="AJ140" s="1">
        <v>3</v>
      </c>
      <c r="AL140" s="1">
        <v>2</v>
      </c>
      <c r="AM140" s="1" t="s">
        <v>650</v>
      </c>
      <c r="AN140" s="1">
        <v>4</v>
      </c>
      <c r="AP140" s="1">
        <v>2</v>
      </c>
      <c r="AQ140" s="1" t="s">
        <v>651</v>
      </c>
      <c r="AR140" s="1">
        <v>2</v>
      </c>
      <c r="AS140" s="1" t="s">
        <v>652</v>
      </c>
    </row>
    <row r="141" spans="1:46">
      <c r="A141" s="301">
        <v>111</v>
      </c>
      <c r="B141" s="301">
        <v>1</v>
      </c>
      <c r="D141" s="301" t="str">
        <f t="shared" ca="1" si="7"/>
        <v>Other</v>
      </c>
      <c r="E141" s="301">
        <v>14</v>
      </c>
      <c r="F141" s="1">
        <v>4</v>
      </c>
      <c r="H141" s="1">
        <v>4</v>
      </c>
      <c r="J141" s="1">
        <v>4</v>
      </c>
      <c r="L141" s="1">
        <v>4</v>
      </c>
      <c r="N141" s="1">
        <v>4</v>
      </c>
      <c r="P141" s="1">
        <v>4</v>
      </c>
      <c r="R141" s="1">
        <v>5</v>
      </c>
      <c r="T141" s="1">
        <v>4</v>
      </c>
      <c r="V141" s="1">
        <v>4</v>
      </c>
      <c r="X141" s="1">
        <v>5</v>
      </c>
      <c r="Z141" s="1">
        <v>4</v>
      </c>
      <c r="AB141" s="1">
        <v>4</v>
      </c>
      <c r="AD141" s="1">
        <v>6</v>
      </c>
      <c r="AF141" s="1">
        <v>6</v>
      </c>
      <c r="AH141" s="1">
        <v>6</v>
      </c>
      <c r="AJ141" s="1">
        <v>6</v>
      </c>
      <c r="AL141" s="1">
        <v>6</v>
      </c>
      <c r="AN141" s="1">
        <v>4</v>
      </c>
      <c r="AP141" s="1">
        <v>4</v>
      </c>
      <c r="AR141" s="1">
        <v>6</v>
      </c>
    </row>
    <row r="142" spans="1:46">
      <c r="A142" s="301">
        <v>112</v>
      </c>
      <c r="B142" s="301">
        <v>1</v>
      </c>
      <c r="D142" s="301" t="str">
        <f t="shared" ca="1" si="7"/>
        <v>New Business Workflow</v>
      </c>
      <c r="E142" s="301">
        <v>4</v>
      </c>
      <c r="F142" s="1">
        <v>4</v>
      </c>
      <c r="H142" s="1">
        <v>4</v>
      </c>
      <c r="J142" s="1">
        <v>2</v>
      </c>
      <c r="K142" s="1" t="s">
        <v>653</v>
      </c>
      <c r="L142" s="1">
        <v>4</v>
      </c>
      <c r="N142" s="1">
        <v>4</v>
      </c>
      <c r="P142" s="1">
        <v>5</v>
      </c>
      <c r="R142" s="1">
        <v>5</v>
      </c>
      <c r="T142" s="1">
        <v>4</v>
      </c>
      <c r="V142" s="1">
        <v>4</v>
      </c>
      <c r="X142" s="1">
        <v>4</v>
      </c>
      <c r="Z142" s="1">
        <v>4</v>
      </c>
      <c r="AB142" s="1">
        <v>4</v>
      </c>
      <c r="AD142" s="1">
        <v>4</v>
      </c>
      <c r="AF142" s="1">
        <v>4</v>
      </c>
      <c r="AH142" s="1">
        <v>4</v>
      </c>
      <c r="AJ142" s="1">
        <v>4</v>
      </c>
      <c r="AL142" s="1">
        <v>4</v>
      </c>
      <c r="AN142" s="1">
        <v>4</v>
      </c>
      <c r="AP142" s="1">
        <v>3</v>
      </c>
      <c r="AR142" s="1">
        <v>3</v>
      </c>
    </row>
    <row r="143" spans="1:46">
      <c r="A143" s="301">
        <v>113</v>
      </c>
      <c r="B143" s="301">
        <v>1</v>
      </c>
      <c r="D143" s="301" t="str">
        <f t="shared" ca="1" si="7"/>
        <v>Technology Services</v>
      </c>
      <c r="E143" s="301">
        <v>11</v>
      </c>
      <c r="F143" s="1">
        <v>4</v>
      </c>
      <c r="H143" s="1">
        <v>4</v>
      </c>
      <c r="J143" s="1">
        <v>3</v>
      </c>
      <c r="L143" s="1">
        <v>3</v>
      </c>
      <c r="N143" s="1">
        <v>3</v>
      </c>
      <c r="P143" s="1">
        <v>4</v>
      </c>
      <c r="R143" s="1">
        <v>4</v>
      </c>
      <c r="T143" s="1">
        <v>4</v>
      </c>
      <c r="V143" s="1">
        <v>3</v>
      </c>
      <c r="X143" s="1">
        <v>4</v>
      </c>
      <c r="Z143" s="1">
        <v>4</v>
      </c>
      <c r="AB143" s="1">
        <v>4</v>
      </c>
      <c r="AD143" s="1">
        <v>4</v>
      </c>
      <c r="AF143" s="1">
        <v>4</v>
      </c>
      <c r="AH143" s="1">
        <v>3</v>
      </c>
      <c r="AJ143" s="1">
        <v>3</v>
      </c>
      <c r="AL143" s="1">
        <v>3</v>
      </c>
      <c r="AN143" s="1">
        <v>4</v>
      </c>
      <c r="AP143" s="1">
        <v>4</v>
      </c>
      <c r="AR143" s="1">
        <v>3</v>
      </c>
    </row>
    <row r="144" spans="1:46">
      <c r="A144" s="301">
        <v>114</v>
      </c>
      <c r="B144" s="301">
        <v>1</v>
      </c>
      <c r="D144" s="301" t="str">
        <f t="shared" ca="1" si="7"/>
        <v>Product Admin</v>
      </c>
      <c r="E144" s="301">
        <v>7</v>
      </c>
      <c r="F144" s="1">
        <v>4</v>
      </c>
      <c r="H144" s="1">
        <v>5</v>
      </c>
      <c r="J144" s="1">
        <v>4</v>
      </c>
      <c r="L144" s="1">
        <v>5</v>
      </c>
      <c r="N144" s="1">
        <v>4</v>
      </c>
      <c r="P144" s="1">
        <v>5</v>
      </c>
      <c r="R144" s="1">
        <v>5</v>
      </c>
      <c r="T144" s="1">
        <v>5</v>
      </c>
      <c r="V144" s="1">
        <v>5</v>
      </c>
      <c r="X144" s="1">
        <v>4</v>
      </c>
      <c r="Z144" s="1">
        <v>5</v>
      </c>
      <c r="AB144" s="1">
        <v>5</v>
      </c>
      <c r="AD144" s="1">
        <v>5</v>
      </c>
      <c r="AF144" s="1">
        <v>5</v>
      </c>
      <c r="AH144" s="1">
        <v>4</v>
      </c>
      <c r="AJ144" s="1">
        <v>4</v>
      </c>
      <c r="AL144" s="1">
        <v>4</v>
      </c>
      <c r="AN144" s="1">
        <v>5</v>
      </c>
      <c r="AP144" s="1">
        <v>4</v>
      </c>
      <c r="AR144" s="1">
        <v>4</v>
      </c>
    </row>
    <row r="145" spans="1:44">
      <c r="A145" s="301">
        <v>115</v>
      </c>
      <c r="B145" s="301">
        <v>1</v>
      </c>
      <c r="D145" s="301" t="str">
        <f t="shared" ca="1" si="7"/>
        <v>Sales</v>
      </c>
      <c r="E145" s="301">
        <v>8</v>
      </c>
      <c r="F145" s="1">
        <v>4</v>
      </c>
      <c r="H145" s="1">
        <v>4</v>
      </c>
      <c r="J145" s="1">
        <v>4</v>
      </c>
      <c r="L145" s="1">
        <v>4</v>
      </c>
      <c r="N145" s="1">
        <v>4</v>
      </c>
      <c r="P145" s="1">
        <v>4</v>
      </c>
      <c r="R145" s="1">
        <v>4</v>
      </c>
      <c r="T145" s="1">
        <v>4</v>
      </c>
      <c r="V145" s="1">
        <v>4</v>
      </c>
      <c r="X145" s="1">
        <v>4</v>
      </c>
      <c r="Z145" s="1">
        <v>4</v>
      </c>
      <c r="AB145" s="1">
        <v>4</v>
      </c>
      <c r="AD145" s="1">
        <v>4</v>
      </c>
      <c r="AF145" s="1">
        <v>4</v>
      </c>
      <c r="AH145" s="1">
        <v>4</v>
      </c>
      <c r="AJ145" s="1">
        <v>4</v>
      </c>
      <c r="AL145" s="1">
        <v>3</v>
      </c>
      <c r="AN145" s="1">
        <v>4</v>
      </c>
      <c r="AP145" s="1">
        <v>4</v>
      </c>
      <c r="AR145" s="1">
        <v>4</v>
      </c>
    </row>
    <row r="146" spans="1:44">
      <c r="A146" s="301">
        <v>116</v>
      </c>
      <c r="B146" s="301">
        <v>1</v>
      </c>
      <c r="D146" s="301" t="str">
        <f t="shared" ca="1" si="7"/>
        <v>Product Admin</v>
      </c>
      <c r="E146" s="301">
        <v>7</v>
      </c>
      <c r="F146" s="1">
        <v>3</v>
      </c>
      <c r="H146" s="1">
        <v>4</v>
      </c>
      <c r="J146" s="1">
        <v>4</v>
      </c>
      <c r="L146" s="1">
        <v>4</v>
      </c>
      <c r="N146" s="1">
        <v>4</v>
      </c>
      <c r="P146" s="1">
        <v>4</v>
      </c>
      <c r="R146" s="1">
        <v>5</v>
      </c>
      <c r="T146" s="1">
        <v>5</v>
      </c>
      <c r="V146" s="1">
        <v>4</v>
      </c>
      <c r="X146" s="1">
        <v>5</v>
      </c>
      <c r="Z146" s="1">
        <v>5</v>
      </c>
      <c r="AB146" s="1">
        <v>5</v>
      </c>
      <c r="AD146" s="1">
        <v>3</v>
      </c>
      <c r="AF146" s="1">
        <v>3</v>
      </c>
      <c r="AH146" s="1">
        <v>5</v>
      </c>
      <c r="AJ146" s="1">
        <v>3</v>
      </c>
      <c r="AL146" s="1">
        <v>4</v>
      </c>
      <c r="AN146" s="1">
        <v>5</v>
      </c>
      <c r="AP146" s="1">
        <v>4</v>
      </c>
      <c r="AR146" s="1">
        <v>4</v>
      </c>
    </row>
    <row r="147" spans="1:44">
      <c r="A147" s="301">
        <v>117</v>
      </c>
      <c r="B147" s="301">
        <v>1</v>
      </c>
      <c r="D147" s="301" t="str">
        <f t="shared" ca="1" si="7"/>
        <v>Inforce Workflow</v>
      </c>
      <c r="E147" s="301">
        <v>3</v>
      </c>
      <c r="F147" s="1">
        <v>4</v>
      </c>
      <c r="H147" s="1">
        <v>3</v>
      </c>
      <c r="J147" s="1">
        <v>4</v>
      </c>
      <c r="L147" s="1">
        <v>4</v>
      </c>
      <c r="N147" s="1">
        <v>4</v>
      </c>
      <c r="P147" s="1">
        <v>4</v>
      </c>
      <c r="R147" s="1">
        <v>3</v>
      </c>
      <c r="T147" s="1">
        <v>4</v>
      </c>
      <c r="V147" s="1">
        <v>4</v>
      </c>
      <c r="X147" s="1">
        <v>3</v>
      </c>
      <c r="Z147" s="1">
        <v>4</v>
      </c>
      <c r="AB147" s="1">
        <v>4</v>
      </c>
      <c r="AD147" s="1">
        <v>4</v>
      </c>
      <c r="AF147" s="1">
        <v>4</v>
      </c>
      <c r="AH147" s="1">
        <v>4</v>
      </c>
      <c r="AJ147" s="1">
        <v>3</v>
      </c>
      <c r="AL147" s="1">
        <v>3</v>
      </c>
      <c r="AN147" s="1">
        <v>3</v>
      </c>
      <c r="AP147" s="1">
        <v>3</v>
      </c>
      <c r="AR147" s="1">
        <v>4</v>
      </c>
    </row>
  </sheetData>
  <mergeCells count="20">
    <mergeCell ref="AP28:AQ28"/>
    <mergeCell ref="AR28:AS28"/>
    <mergeCell ref="AD28:AE28"/>
    <mergeCell ref="AF28:AG28"/>
    <mergeCell ref="AH28:AI28"/>
    <mergeCell ref="AJ28:AK28"/>
    <mergeCell ref="AL28:AM28"/>
    <mergeCell ref="AN28:AO28"/>
    <mergeCell ref="AB28:AC28"/>
    <mergeCell ref="F28:G28"/>
    <mergeCell ref="H28:I28"/>
    <mergeCell ref="J28:K28"/>
    <mergeCell ref="L28:M28"/>
    <mergeCell ref="N28:O28"/>
    <mergeCell ref="P28:Q28"/>
    <mergeCell ref="R28:S28"/>
    <mergeCell ref="T28:U28"/>
    <mergeCell ref="V28:W28"/>
    <mergeCell ref="X28:Y28"/>
    <mergeCell ref="Z28:AA28"/>
  </mergeCells>
  <hyperlinks>
    <hyperlink ref="A1" location="'Table of Contents'!A1" display="Table of Contents"/>
  </hyperlinks>
  <printOptions headings="1" gridLines="1"/>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sheetPr codeName="Sheet21"/>
  <dimension ref="A1:N93"/>
  <sheetViews>
    <sheetView zoomScale="80" zoomScaleNormal="80" workbookViewId="0">
      <selection activeCell="A2" sqref="A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0" t="s">
        <v>421</v>
      </c>
      <c r="C4" s="350" t="s">
        <v>715</v>
      </c>
    </row>
    <row r="5" spans="1:3">
      <c r="B5" s="350" t="s">
        <v>422</v>
      </c>
      <c r="C5" t="str">
        <f>Survey_Period</f>
        <v>2007 H1</v>
      </c>
    </row>
    <row r="6" spans="1:3">
      <c r="B6" s="350" t="s">
        <v>716</v>
      </c>
      <c r="C6" s="350" t="s">
        <v>679</v>
      </c>
    </row>
    <row r="7" spans="1:3">
      <c r="B7" s="350" t="s">
        <v>717</v>
      </c>
      <c r="C7" s="350" t="s">
        <v>680</v>
      </c>
    </row>
    <row r="11" spans="1:3">
      <c r="B11" s="350" t="s">
        <v>21</v>
      </c>
      <c r="C11" s="350" t="s">
        <v>40</v>
      </c>
    </row>
    <row r="12" spans="1:3">
      <c r="B12" s="350" t="s">
        <v>51</v>
      </c>
      <c r="C12" s="350" t="s">
        <v>23</v>
      </c>
    </row>
    <row r="13" spans="1:3">
      <c r="B13" s="350" t="s">
        <v>425</v>
      </c>
      <c r="C13">
        <v>34</v>
      </c>
    </row>
    <row r="14" spans="1:3">
      <c r="B14" s="350" t="s">
        <v>426</v>
      </c>
      <c r="C14">
        <v>46</v>
      </c>
    </row>
    <row r="15" spans="1:3">
      <c r="B15" s="350" t="s">
        <v>427</v>
      </c>
      <c r="C15">
        <v>7</v>
      </c>
    </row>
    <row r="16" spans="1:3">
      <c r="B16" s="350" t="s">
        <v>428</v>
      </c>
      <c r="C16">
        <v>7</v>
      </c>
    </row>
    <row r="24" spans="1:14">
      <c r="B24" s="350" t="s">
        <v>718</v>
      </c>
      <c r="C24" s="9">
        <f ca="1">SUM(INDIRECT(ADDRESS($C$13, 13, TRUE)):INDIRECT(ADDRESS($C$14, 13, TRUE)))</f>
        <v>1</v>
      </c>
    </row>
    <row r="25" spans="1:14">
      <c r="B25" s="350" t="s">
        <v>719</v>
      </c>
      <c r="C25" s="9">
        <f ca="1">SUM(INDIRECT(ADDRESS($C$13, 10, TRUE)):INDIRECT(ADDRESS($C$14, 10, TRUE)))</f>
        <v>1</v>
      </c>
    </row>
    <row r="26" spans="1:14">
      <c r="B26" s="350" t="s">
        <v>720</v>
      </c>
      <c r="C26" s="9">
        <f ca="1">AVERAGE(INDIRECT(ADDRESS($C$13, $C$15, TRUE)):INDIRECT(ADDRESS($C$14, $C$16, TRUE)))</f>
        <v>1</v>
      </c>
    </row>
    <row r="27" spans="1:14">
      <c r="B27" s="350" t="s">
        <v>721</v>
      </c>
      <c r="C27" s="378">
        <f>$C$14 - $C$13 + 1</f>
        <v>13</v>
      </c>
    </row>
    <row r="28" spans="1:14">
      <c r="B28" s="350" t="s">
        <v>722</v>
      </c>
      <c r="C28" s="378">
        <f ca="1">SUM(INDIRECT(ADDRESS($C$13, 8, TRUE)):INDIRECT(ADDRESS($C$14, 8, TRUE)))</f>
        <v>2893</v>
      </c>
    </row>
    <row r="29" spans="1:14">
      <c r="B29" s="350" t="s">
        <v>723</v>
      </c>
      <c r="C29" s="378">
        <f ca="1">SUM(INDIRECT(ADDRESS($C$13, 11, TRUE)):INDIRECT(ADDRESS($C$14, 11, TRUE)))</f>
        <v>2893</v>
      </c>
    </row>
    <row r="30" spans="1:14">
      <c r="A30" s="352"/>
      <c r="B30" s="353" t="s">
        <v>23</v>
      </c>
      <c r="C30" s="354"/>
      <c r="D30" s="354"/>
      <c r="E30" s="354"/>
      <c r="F30" s="354"/>
      <c r="G30" s="375"/>
      <c r="H30" s="354"/>
      <c r="I30" s="354"/>
      <c r="J30" s="354"/>
      <c r="K30" s="353"/>
      <c r="L30" s="354"/>
      <c r="M30" s="354"/>
      <c r="N30" s="355"/>
    </row>
    <row r="31" spans="1:14">
      <c r="A31" s="356"/>
      <c r="B31" s="357" t="s">
        <v>40</v>
      </c>
      <c r="C31" s="358"/>
      <c r="D31" s="358"/>
      <c r="E31" s="358"/>
      <c r="F31" s="358"/>
      <c r="G31" s="376"/>
      <c r="H31" s="358"/>
      <c r="I31" s="358"/>
      <c r="J31" s="358"/>
      <c r="K31" s="357"/>
      <c r="L31" s="358"/>
      <c r="M31" s="358"/>
      <c r="N31" s="359"/>
    </row>
    <row r="32" spans="1:14">
      <c r="A32" s="360"/>
      <c r="B32" s="357" t="s">
        <v>682</v>
      </c>
      <c r="C32" s="361"/>
      <c r="D32" s="361"/>
      <c r="E32" s="361"/>
      <c r="F32" s="361"/>
      <c r="G32" s="377"/>
      <c r="H32" s="361"/>
      <c r="I32" s="361"/>
      <c r="J32" s="361"/>
      <c r="K32" s="362"/>
      <c r="L32" s="361"/>
      <c r="M32" s="361"/>
      <c r="N32" s="363"/>
    </row>
    <row r="33" spans="1:13" ht="45">
      <c r="A33" s="364" t="s">
        <v>683</v>
      </c>
      <c r="B33" s="364" t="s">
        <v>684</v>
      </c>
      <c r="C33" s="364" t="s">
        <v>685</v>
      </c>
      <c r="D33" s="364" t="s">
        <v>686</v>
      </c>
      <c r="E33" s="365" t="s">
        <v>687</v>
      </c>
      <c r="F33" s="365" t="s">
        <v>688</v>
      </c>
      <c r="G33" s="379" t="s">
        <v>720</v>
      </c>
      <c r="H33" s="380" t="s">
        <v>722</v>
      </c>
      <c r="I33" s="380" t="s">
        <v>724</v>
      </c>
      <c r="J33" s="380" t="s">
        <v>719</v>
      </c>
      <c r="K33" s="380" t="s">
        <v>723</v>
      </c>
      <c r="L33" s="380" t="s">
        <v>725</v>
      </c>
      <c r="M33" s="380" t="s">
        <v>718</v>
      </c>
    </row>
    <row r="34" spans="1:13" ht="38.25">
      <c r="A34" s="366">
        <v>1</v>
      </c>
      <c r="B34" s="367" t="s">
        <v>689</v>
      </c>
      <c r="C34" s="368" t="s">
        <v>690</v>
      </c>
      <c r="D34" s="369">
        <v>39015</v>
      </c>
      <c r="E34" s="370">
        <v>39161</v>
      </c>
      <c r="F34" s="370">
        <v>39161</v>
      </c>
      <c r="G34" s="9">
        <f t="shared" ref="G34:G46" si="0">IF(AND(NOT(ISBLANK(D34)),ISNUMBER(D34),     NOT(ISBLANK(E34)),ISNUMBER(E34),     NOT(ISBLANK(F34)),ISNUMBER(F34)),NETWORKDAYS(D34,F34)/NETWORKDAYS(D34,E34),"Not Used")</f>
        <v>1</v>
      </c>
      <c r="H34" s="378">
        <f t="shared" ref="H34:H46" si="1">IF(AND(ISNUMBER(F34), ISNUMBER(D34)), F34 - D34, "Not Used")</f>
        <v>146</v>
      </c>
      <c r="I34" s="194">
        <f t="shared" ref="I34:I46" ca="1" si="2">IF(ISNUMBER(H34), H34 / $C$28, "Not Used")</f>
        <v>5.0466643622537159E-2</v>
      </c>
      <c r="J34" s="194">
        <f t="shared" ref="J34:J46" ca="1" si="3">IF(ISNUMBER(G34), G34 * I34, "Not Used")</f>
        <v>5.0466643622537159E-2</v>
      </c>
      <c r="K34" s="378">
        <f t="shared" ref="K34:K46" si="4">IF(AND(ISNUMBER(E34), ISNUMBER(D34)), E34 - D34, "Not Used")</f>
        <v>146</v>
      </c>
      <c r="L34" s="194">
        <f t="shared" ref="L34:L46" ca="1" si="5">IF(ISNUMBER(K34), K34 / $C$29, "Not Used")</f>
        <v>5.0466643622537159E-2</v>
      </c>
      <c r="M34" s="194">
        <f t="shared" ref="M34:M46" ca="1" si="6">IF(ISNUMBER(G34), G34 * L34, "Not Used")</f>
        <v>5.0466643622537159E-2</v>
      </c>
    </row>
    <row r="35" spans="1:13" ht="38.25">
      <c r="A35" s="366">
        <v>2</v>
      </c>
      <c r="B35" s="367" t="s">
        <v>691</v>
      </c>
      <c r="C35" s="368" t="s">
        <v>692</v>
      </c>
      <c r="D35" s="369">
        <v>38987</v>
      </c>
      <c r="E35" s="370">
        <v>39169</v>
      </c>
      <c r="F35" s="370">
        <v>39169</v>
      </c>
      <c r="G35" s="9">
        <f t="shared" si="0"/>
        <v>1</v>
      </c>
      <c r="H35" s="378">
        <f t="shared" si="1"/>
        <v>182</v>
      </c>
      <c r="I35" s="194">
        <f t="shared" ca="1" si="2"/>
        <v>6.2910473556861385E-2</v>
      </c>
      <c r="J35" s="194">
        <f t="shared" ca="1" si="3"/>
        <v>6.2910473556861385E-2</v>
      </c>
      <c r="K35" s="378">
        <f t="shared" si="4"/>
        <v>182</v>
      </c>
      <c r="L35" s="194">
        <f t="shared" ca="1" si="5"/>
        <v>6.2910473556861385E-2</v>
      </c>
      <c r="M35" s="194">
        <f t="shared" ca="1" si="6"/>
        <v>6.2910473556861385E-2</v>
      </c>
    </row>
    <row r="36" spans="1:13" ht="38.25">
      <c r="A36" s="366">
        <v>3</v>
      </c>
      <c r="B36" s="371" t="s">
        <v>693</v>
      </c>
      <c r="C36" s="368" t="s">
        <v>694</v>
      </c>
      <c r="D36" s="369">
        <v>39030</v>
      </c>
      <c r="E36" s="370">
        <v>39174</v>
      </c>
      <c r="F36" s="370">
        <v>39174</v>
      </c>
      <c r="G36" s="9">
        <f t="shared" si="0"/>
        <v>1</v>
      </c>
      <c r="H36" s="378">
        <f t="shared" si="1"/>
        <v>144</v>
      </c>
      <c r="I36" s="194">
        <f t="shared" ca="1" si="2"/>
        <v>4.9775319737296923E-2</v>
      </c>
      <c r="J36" s="194">
        <f t="shared" ca="1" si="3"/>
        <v>4.9775319737296923E-2</v>
      </c>
      <c r="K36" s="378">
        <f t="shared" si="4"/>
        <v>144</v>
      </c>
      <c r="L36" s="194">
        <f t="shared" ca="1" si="5"/>
        <v>4.9775319737296923E-2</v>
      </c>
      <c r="M36" s="194">
        <f t="shared" ca="1" si="6"/>
        <v>4.9775319737296923E-2</v>
      </c>
    </row>
    <row r="37" spans="1:13" ht="114.75">
      <c r="A37" s="366">
        <v>4</v>
      </c>
      <c r="B37" s="367" t="s">
        <v>695</v>
      </c>
      <c r="C37" s="372" t="s">
        <v>696</v>
      </c>
      <c r="D37" s="369">
        <v>39126</v>
      </c>
      <c r="E37" s="370">
        <v>39190</v>
      </c>
      <c r="F37" s="370">
        <v>39190</v>
      </c>
      <c r="G37" s="9">
        <f t="shared" si="0"/>
        <v>1</v>
      </c>
      <c r="H37" s="378">
        <f t="shared" si="1"/>
        <v>64</v>
      </c>
      <c r="I37" s="194">
        <f t="shared" ca="1" si="2"/>
        <v>2.2122364327687521E-2</v>
      </c>
      <c r="J37" s="194">
        <f t="shared" ca="1" si="3"/>
        <v>2.2122364327687521E-2</v>
      </c>
      <c r="K37" s="378">
        <f t="shared" si="4"/>
        <v>64</v>
      </c>
      <c r="L37" s="194">
        <f t="shared" ca="1" si="5"/>
        <v>2.2122364327687521E-2</v>
      </c>
      <c r="M37" s="194">
        <f t="shared" ca="1" si="6"/>
        <v>2.2122364327687521E-2</v>
      </c>
    </row>
    <row r="38" spans="1:13" ht="102">
      <c r="A38" s="366">
        <v>5</v>
      </c>
      <c r="B38" s="371" t="s">
        <v>697</v>
      </c>
      <c r="C38" s="368" t="s">
        <v>698</v>
      </c>
      <c r="D38" s="373">
        <v>39078</v>
      </c>
      <c r="E38" s="370">
        <v>39190</v>
      </c>
      <c r="F38" s="370">
        <v>39190</v>
      </c>
      <c r="G38" s="9">
        <f t="shared" si="0"/>
        <v>1</v>
      </c>
      <c r="H38" s="378">
        <f t="shared" si="1"/>
        <v>112</v>
      </c>
      <c r="I38" s="194">
        <f t="shared" ca="1" si="2"/>
        <v>3.8714137573453163E-2</v>
      </c>
      <c r="J38" s="194">
        <f t="shared" ca="1" si="3"/>
        <v>3.8714137573453163E-2</v>
      </c>
      <c r="K38" s="378">
        <f t="shared" si="4"/>
        <v>112</v>
      </c>
      <c r="L38" s="194">
        <f t="shared" ca="1" si="5"/>
        <v>3.8714137573453163E-2</v>
      </c>
      <c r="M38" s="194">
        <f t="shared" ca="1" si="6"/>
        <v>3.8714137573453163E-2</v>
      </c>
    </row>
    <row r="39" spans="1:13" ht="76.5">
      <c r="A39" s="366">
        <v>6</v>
      </c>
      <c r="B39" s="371" t="s">
        <v>699</v>
      </c>
      <c r="C39" s="371" t="s">
        <v>700</v>
      </c>
      <c r="D39" s="369">
        <v>38376</v>
      </c>
      <c r="E39" s="370">
        <v>39195</v>
      </c>
      <c r="F39" s="370">
        <v>39195</v>
      </c>
      <c r="G39" s="9">
        <f t="shared" si="0"/>
        <v>1</v>
      </c>
      <c r="H39" s="378">
        <f t="shared" si="1"/>
        <v>819</v>
      </c>
      <c r="I39" s="194">
        <f t="shared" ca="1" si="2"/>
        <v>0.28309713100587625</v>
      </c>
      <c r="J39" s="194">
        <f t="shared" ca="1" si="3"/>
        <v>0.28309713100587625</v>
      </c>
      <c r="K39" s="378">
        <f t="shared" si="4"/>
        <v>819</v>
      </c>
      <c r="L39" s="194">
        <f t="shared" ca="1" si="5"/>
        <v>0.28309713100587625</v>
      </c>
      <c r="M39" s="194">
        <f t="shared" ca="1" si="6"/>
        <v>0.28309713100587625</v>
      </c>
    </row>
    <row r="40" spans="1:13" ht="63.75">
      <c r="A40" s="366">
        <v>7</v>
      </c>
      <c r="B40" s="371" t="s">
        <v>701</v>
      </c>
      <c r="C40" s="367" t="s">
        <v>702</v>
      </c>
      <c r="D40" s="369">
        <v>39175</v>
      </c>
      <c r="E40" s="370">
        <v>39202</v>
      </c>
      <c r="F40" s="370">
        <v>39202</v>
      </c>
      <c r="G40" s="9">
        <f t="shared" si="0"/>
        <v>1</v>
      </c>
      <c r="H40" s="378">
        <f t="shared" si="1"/>
        <v>27</v>
      </c>
      <c r="I40" s="194">
        <f t="shared" ca="1" si="2"/>
        <v>9.3328724507431727E-3</v>
      </c>
      <c r="J40" s="194">
        <f t="shared" ca="1" si="3"/>
        <v>9.3328724507431727E-3</v>
      </c>
      <c r="K40" s="378">
        <f t="shared" si="4"/>
        <v>27</v>
      </c>
      <c r="L40" s="194">
        <f t="shared" ca="1" si="5"/>
        <v>9.3328724507431727E-3</v>
      </c>
      <c r="M40" s="194">
        <f t="shared" ca="1" si="6"/>
        <v>9.3328724507431727E-3</v>
      </c>
    </row>
    <row r="41" spans="1:13" ht="25.5">
      <c r="A41" s="366">
        <v>8</v>
      </c>
      <c r="B41" s="371" t="s">
        <v>703</v>
      </c>
      <c r="C41" s="367" t="s">
        <v>704</v>
      </c>
      <c r="D41" s="370">
        <v>38356</v>
      </c>
      <c r="E41" s="370">
        <v>39218</v>
      </c>
      <c r="F41" s="370">
        <v>39218</v>
      </c>
      <c r="G41" s="9">
        <f t="shared" si="0"/>
        <v>1</v>
      </c>
      <c r="H41" s="378">
        <f t="shared" si="1"/>
        <v>862</v>
      </c>
      <c r="I41" s="194">
        <f t="shared" ca="1" si="2"/>
        <v>0.29796059453854129</v>
      </c>
      <c r="J41" s="194">
        <f t="shared" ca="1" si="3"/>
        <v>0.29796059453854129</v>
      </c>
      <c r="K41" s="378">
        <f t="shared" si="4"/>
        <v>862</v>
      </c>
      <c r="L41" s="194">
        <f t="shared" ca="1" si="5"/>
        <v>0.29796059453854129</v>
      </c>
      <c r="M41" s="194">
        <f t="shared" ca="1" si="6"/>
        <v>0.29796059453854129</v>
      </c>
    </row>
    <row r="42" spans="1:13" ht="38.25">
      <c r="A42" s="366">
        <v>9</v>
      </c>
      <c r="B42" s="374" t="s">
        <v>705</v>
      </c>
      <c r="C42" s="368" t="s">
        <v>706</v>
      </c>
      <c r="D42" s="369">
        <v>39114</v>
      </c>
      <c r="E42" s="370">
        <v>39220</v>
      </c>
      <c r="F42" s="370">
        <v>39220</v>
      </c>
      <c r="G42" s="9">
        <f t="shared" si="0"/>
        <v>1</v>
      </c>
      <c r="H42" s="378">
        <f t="shared" si="1"/>
        <v>106</v>
      </c>
      <c r="I42" s="194">
        <f t="shared" ca="1" si="2"/>
        <v>3.6640165917732455E-2</v>
      </c>
      <c r="J42" s="194">
        <f t="shared" ca="1" si="3"/>
        <v>3.6640165917732455E-2</v>
      </c>
      <c r="K42" s="378">
        <f t="shared" si="4"/>
        <v>106</v>
      </c>
      <c r="L42" s="194">
        <f t="shared" ca="1" si="5"/>
        <v>3.6640165917732455E-2</v>
      </c>
      <c r="M42" s="194">
        <f t="shared" ca="1" si="6"/>
        <v>3.6640165917732455E-2</v>
      </c>
    </row>
    <row r="43" spans="1:13" ht="38.25">
      <c r="A43" s="366">
        <v>10</v>
      </c>
      <c r="B43" s="374" t="s">
        <v>707</v>
      </c>
      <c r="C43" s="368" t="s">
        <v>708</v>
      </c>
      <c r="D43" s="369">
        <v>39066</v>
      </c>
      <c r="E43" s="370">
        <v>39224</v>
      </c>
      <c r="F43" s="370">
        <v>39224</v>
      </c>
      <c r="G43" s="9">
        <f t="shared" si="0"/>
        <v>1</v>
      </c>
      <c r="H43" s="378">
        <f t="shared" si="1"/>
        <v>158</v>
      </c>
      <c r="I43" s="194">
        <f t="shared" ca="1" si="2"/>
        <v>5.4614586933978568E-2</v>
      </c>
      <c r="J43" s="194">
        <f t="shared" ca="1" si="3"/>
        <v>5.4614586933978568E-2</v>
      </c>
      <c r="K43" s="378">
        <f t="shared" si="4"/>
        <v>158</v>
      </c>
      <c r="L43" s="194">
        <f t="shared" ca="1" si="5"/>
        <v>5.4614586933978568E-2</v>
      </c>
      <c r="M43" s="194">
        <f t="shared" ca="1" si="6"/>
        <v>5.4614586933978568E-2</v>
      </c>
    </row>
    <row r="44" spans="1:13" ht="153">
      <c r="A44" s="366">
        <v>11</v>
      </c>
      <c r="B44" s="371" t="s">
        <v>709</v>
      </c>
      <c r="C44" s="367" t="s">
        <v>710</v>
      </c>
      <c r="D44" s="370">
        <v>39218</v>
      </c>
      <c r="E44" s="370">
        <v>39234</v>
      </c>
      <c r="F44" s="370">
        <v>39234</v>
      </c>
      <c r="G44" s="9">
        <f t="shared" si="0"/>
        <v>1</v>
      </c>
      <c r="H44" s="378">
        <f t="shared" si="1"/>
        <v>16</v>
      </c>
      <c r="I44" s="194">
        <f t="shared" ca="1" si="2"/>
        <v>5.5305910819218804E-3</v>
      </c>
      <c r="J44" s="194">
        <f t="shared" ca="1" si="3"/>
        <v>5.5305910819218804E-3</v>
      </c>
      <c r="K44" s="378">
        <f t="shared" si="4"/>
        <v>16</v>
      </c>
      <c r="L44" s="194">
        <f t="shared" ca="1" si="5"/>
        <v>5.5305910819218804E-3</v>
      </c>
      <c r="M44" s="194">
        <f t="shared" ca="1" si="6"/>
        <v>5.5305910819218804E-3</v>
      </c>
    </row>
    <row r="45" spans="1:13" ht="127.5">
      <c r="A45" s="366">
        <v>12</v>
      </c>
      <c r="B45" s="371" t="s">
        <v>711</v>
      </c>
      <c r="C45" s="367" t="s">
        <v>712</v>
      </c>
      <c r="D45" s="369">
        <v>39174</v>
      </c>
      <c r="E45" s="370">
        <v>39261</v>
      </c>
      <c r="F45" s="370">
        <v>39261</v>
      </c>
      <c r="G45" s="9">
        <f t="shared" si="0"/>
        <v>1</v>
      </c>
      <c r="H45" s="378">
        <f t="shared" si="1"/>
        <v>87</v>
      </c>
      <c r="I45" s="194">
        <f t="shared" ca="1" si="2"/>
        <v>3.0072589007950224E-2</v>
      </c>
      <c r="J45" s="194">
        <f t="shared" ca="1" si="3"/>
        <v>3.0072589007950224E-2</v>
      </c>
      <c r="K45" s="378">
        <f t="shared" si="4"/>
        <v>87</v>
      </c>
      <c r="L45" s="194">
        <f t="shared" ca="1" si="5"/>
        <v>3.0072589007950224E-2</v>
      </c>
      <c r="M45" s="194">
        <f t="shared" ca="1" si="6"/>
        <v>3.0072589007950224E-2</v>
      </c>
    </row>
    <row r="46" spans="1:13" ht="38.25">
      <c r="A46" s="366">
        <v>13</v>
      </c>
      <c r="B46" s="367" t="s">
        <v>713</v>
      </c>
      <c r="C46" s="368" t="s">
        <v>714</v>
      </c>
      <c r="D46" s="369">
        <v>39092</v>
      </c>
      <c r="E46" s="370">
        <v>39262</v>
      </c>
      <c r="F46" s="370">
        <v>39262</v>
      </c>
      <c r="G46" s="9">
        <f t="shared" si="0"/>
        <v>1</v>
      </c>
      <c r="H46" s="378">
        <f t="shared" si="1"/>
        <v>170</v>
      </c>
      <c r="I46" s="194">
        <f t="shared" ca="1" si="2"/>
        <v>5.8762530245419976E-2</v>
      </c>
      <c r="J46" s="194">
        <f t="shared" ca="1" si="3"/>
        <v>5.8762530245419976E-2</v>
      </c>
      <c r="K46" s="378">
        <f t="shared" si="4"/>
        <v>170</v>
      </c>
      <c r="L46" s="194">
        <f t="shared" ca="1" si="5"/>
        <v>5.8762530245419976E-2</v>
      </c>
      <c r="M46" s="194">
        <f t="shared" ca="1" si="6"/>
        <v>5.8762530245419976E-2</v>
      </c>
    </row>
    <row r="47" spans="1:13">
      <c r="G47"/>
    </row>
    <row r="48" spans="1:13">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sheetData>
  <dataValidations count="2">
    <dataValidation type="list" allowBlank="1" showDropDown="1" showInputMessage="1" errorTitle="Input Invalid" error="Selection must be from drop down list." sqref="D33">
      <formula1>#REF!</formula1>
    </dataValidation>
    <dataValidation allowBlank="1" showInputMessage="1" showErrorMessage="1" errorTitle="Input Invalid" error="Selection must be from drop down list." sqref="E41:F41 E33:F33 D34:F40 D42:F46"/>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22.xml><?xml version="1.0" encoding="utf-8"?>
<worksheet xmlns="http://schemas.openxmlformats.org/spreadsheetml/2006/main" xmlns:r="http://schemas.openxmlformats.org/officeDocument/2006/relationships">
  <sheetPr codeName="Sheet22"/>
  <dimension ref="A1:M37"/>
  <sheetViews>
    <sheetView workbookViewId="0">
      <selection activeCell="A2" sqref="A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0" t="s">
        <v>421</v>
      </c>
      <c r="C4" s="350" t="s">
        <v>715</v>
      </c>
    </row>
    <row r="5" spans="1:3">
      <c r="B5" s="350" t="s">
        <v>422</v>
      </c>
      <c r="C5" t="str">
        <f>Survey_Period</f>
        <v>2007 H1</v>
      </c>
    </row>
    <row r="6" spans="1:3">
      <c r="B6" s="350" t="s">
        <v>716</v>
      </c>
      <c r="C6" s="350" t="s">
        <v>727</v>
      </c>
    </row>
    <row r="7" spans="1:3">
      <c r="B7" s="350" t="s">
        <v>717</v>
      </c>
      <c r="C7" s="350" t="s">
        <v>728</v>
      </c>
    </row>
    <row r="11" spans="1:3">
      <c r="B11" s="350" t="s">
        <v>21</v>
      </c>
      <c r="C11" s="350" t="s">
        <v>47</v>
      </c>
    </row>
    <row r="12" spans="1:3">
      <c r="B12" s="350" t="s">
        <v>51</v>
      </c>
      <c r="C12" s="350" t="s">
        <v>335</v>
      </c>
    </row>
    <row r="13" spans="1:3">
      <c r="B13" s="350" t="s">
        <v>425</v>
      </c>
      <c r="C13">
        <v>33</v>
      </c>
    </row>
    <row r="14" spans="1:3">
      <c r="B14" s="350" t="s">
        <v>426</v>
      </c>
      <c r="C14">
        <v>37</v>
      </c>
    </row>
    <row r="15" spans="1:3">
      <c r="B15" s="350" t="s">
        <v>427</v>
      </c>
      <c r="C15">
        <v>7</v>
      </c>
    </row>
    <row r="16" spans="1:3">
      <c r="B16" s="350" t="s">
        <v>428</v>
      </c>
      <c r="C16">
        <v>7</v>
      </c>
    </row>
    <row r="24" spans="1:13">
      <c r="B24" s="350" t="s">
        <v>718</v>
      </c>
      <c r="C24" s="9">
        <f ca="1">SUM(INDIRECT(ADDRESS($C$13, 13, TRUE)):INDIRECT(ADDRESS($C$14, 13, TRUE)))</f>
        <v>1.0000249057140824</v>
      </c>
    </row>
    <row r="25" spans="1:13">
      <c r="B25" s="350" t="s">
        <v>719</v>
      </c>
      <c r="C25" s="9">
        <f ca="1">SUM(INDIRECT(ADDRESS($C$13, 10, TRUE)):INDIRECT(ADDRESS($C$14, 10, TRUE)))</f>
        <v>1.0002269187283064</v>
      </c>
    </row>
    <row r="26" spans="1:13">
      <c r="B26" s="350" t="s">
        <v>720</v>
      </c>
      <c r="C26" s="9">
        <f ca="1">AVERAGE(INDIRECT(ADDRESS($C$13, $C$15, TRUE)):INDIRECT(ADDRESS($C$14, $C$16, TRUE)))</f>
        <v>0.9965630114566284</v>
      </c>
    </row>
    <row r="27" spans="1:13">
      <c r="B27" s="350" t="s">
        <v>721</v>
      </c>
      <c r="C27" s="378">
        <f>$C$14 - $C$13 + 1</f>
        <v>5</v>
      </c>
    </row>
    <row r="28" spans="1:13">
      <c r="B28" s="350" t="s">
        <v>722</v>
      </c>
      <c r="C28" s="378">
        <f ca="1">SUM(INDIRECT(ADDRESS($C$13, 8, TRUE)):INDIRECT(ADDRESS($C$14, 8, TRUE)))</f>
        <v>2070</v>
      </c>
    </row>
    <row r="29" spans="1:13">
      <c r="B29" s="350" t="s">
        <v>723</v>
      </c>
      <c r="C29" s="378">
        <f ca="1">SUM(INDIRECT(ADDRESS($C$13, 11, TRUE)):INDIRECT(ADDRESS($C$14, 11, TRUE)))</f>
        <v>2070</v>
      </c>
    </row>
    <row r="30" spans="1:13" ht="18.75">
      <c r="A30" s="764" t="s">
        <v>729</v>
      </c>
      <c r="B30" s="765"/>
      <c r="C30" s="765"/>
      <c r="D30" s="765"/>
      <c r="E30" s="765"/>
      <c r="F30" s="765"/>
      <c r="G30" s="765"/>
      <c r="H30" s="765"/>
      <c r="I30" s="765"/>
      <c r="J30" s="766"/>
    </row>
    <row r="31" spans="1:13">
      <c r="A31" s="767" t="s">
        <v>730</v>
      </c>
      <c r="B31" s="768"/>
      <c r="C31" s="768"/>
      <c r="D31" s="768"/>
      <c r="E31" s="768"/>
      <c r="F31" s="768"/>
      <c r="G31" s="768"/>
      <c r="H31" s="768"/>
      <c r="I31" s="768"/>
      <c r="J31" s="769"/>
    </row>
    <row r="32" spans="1:13" ht="45">
      <c r="A32" s="381" t="s">
        <v>683</v>
      </c>
      <c r="B32" s="381" t="s">
        <v>684</v>
      </c>
      <c r="C32" s="381" t="s">
        <v>685</v>
      </c>
      <c r="D32" s="382" t="s">
        <v>686</v>
      </c>
      <c r="E32" s="383" t="s">
        <v>687</v>
      </c>
      <c r="F32" s="383" t="s">
        <v>688</v>
      </c>
      <c r="G32" s="379" t="s">
        <v>720</v>
      </c>
      <c r="H32" s="380" t="s">
        <v>722</v>
      </c>
      <c r="I32" s="380" t="s">
        <v>724</v>
      </c>
      <c r="J32" s="380" t="s">
        <v>719</v>
      </c>
      <c r="K32" s="380" t="s">
        <v>723</v>
      </c>
      <c r="L32" s="380" t="s">
        <v>725</v>
      </c>
      <c r="M32" s="380" t="s">
        <v>718</v>
      </c>
    </row>
    <row r="33" spans="1:13">
      <c r="A33" s="384">
        <v>2</v>
      </c>
      <c r="B33" s="384" t="s">
        <v>731</v>
      </c>
      <c r="C33" s="385" t="s">
        <v>732</v>
      </c>
      <c r="D33" s="386">
        <v>39202</v>
      </c>
      <c r="E33" s="387">
        <v>39224</v>
      </c>
      <c r="F33" s="388">
        <v>39224</v>
      </c>
      <c r="G33" s="9">
        <f>IF(AND(NOT(ISBLANK(D33)),ISNUMBER(D33),     NOT(ISBLANK(E33)),ISNUMBER(E33),     NOT(ISBLANK(F33)),ISNUMBER(F33)),NETWORKDAYS(D33,F33)/NETWORKDAYS(D33,E33),"Not Used")</f>
        <v>1</v>
      </c>
      <c r="H33" s="378">
        <f>IF(AND(ISNUMBER(F33), ISNUMBER(D33)), F33 - D33, "Not Used")</f>
        <v>22</v>
      </c>
      <c r="I33" s="194">
        <f ca="1">IF(ISNUMBER(H33), H33 / $C$28, "Not Used")</f>
        <v>1.0628019323671498E-2</v>
      </c>
      <c r="J33" s="194">
        <f ca="1">IF(ISNUMBER(G33), G33 * I33, "Not Used")</f>
        <v>1.0628019323671498E-2</v>
      </c>
      <c r="K33" s="378">
        <f>IF(AND(ISNUMBER(E33), ISNUMBER(D33)), E33 - D33, "Not Used")</f>
        <v>22</v>
      </c>
      <c r="L33" s="194">
        <f ca="1">IF(ISNUMBER(K33), K33 / $C$29, "Not Used")</f>
        <v>1.0628019323671498E-2</v>
      </c>
      <c r="M33" s="194">
        <f ca="1">IF(ISNUMBER(G33), G33 * L33, "Not Used")</f>
        <v>1.0628019323671498E-2</v>
      </c>
    </row>
    <row r="34" spans="1:13">
      <c r="A34" s="384">
        <v>3</v>
      </c>
      <c r="B34" s="384" t="s">
        <v>733</v>
      </c>
      <c r="C34" s="385" t="s">
        <v>734</v>
      </c>
      <c r="D34" s="386">
        <v>39027</v>
      </c>
      <c r="E34" s="389">
        <v>39206</v>
      </c>
      <c r="F34" s="390">
        <v>39199</v>
      </c>
      <c r="G34" s="9">
        <f>IF(AND(NOT(ISBLANK(D34)),ISNUMBER(D34),     NOT(ISBLANK(E34)),ISNUMBER(E34),     NOT(ISBLANK(F34)),ISNUMBER(F34)),NETWORKDAYS(D34,F34)/NETWORKDAYS(D34,E34),"Not Used")</f>
        <v>0.96153846153846156</v>
      </c>
      <c r="H34" s="378">
        <f>IF(AND(ISNUMBER(F34), ISNUMBER(D34)), F34 - D34, "Not Used")</f>
        <v>172</v>
      </c>
      <c r="I34" s="194">
        <f ca="1">IF(ISNUMBER(H34), H34 / $C$28, "Not Used")</f>
        <v>8.3091787439613526E-2</v>
      </c>
      <c r="J34" s="194">
        <f ca="1">IF(ISNUMBER(G34), G34 * I34, "Not Used")</f>
        <v>7.9895949461166849E-2</v>
      </c>
      <c r="K34" s="378">
        <f>IF(AND(ISNUMBER(E34), ISNUMBER(D34)), E34 - D34, "Not Used")</f>
        <v>179</v>
      </c>
      <c r="L34" s="194">
        <f ca="1">IF(ISNUMBER(K34), K34 / $C$29, "Not Used")</f>
        <v>8.6473429951690828E-2</v>
      </c>
      <c r="M34" s="194">
        <f ca="1">IF(ISNUMBER(G34), G34 * L34, "Not Used")</f>
        <v>8.3147528799702719E-2</v>
      </c>
    </row>
    <row r="35" spans="1:13">
      <c r="A35" s="384">
        <v>4</v>
      </c>
      <c r="B35" s="391" t="s">
        <v>735</v>
      </c>
      <c r="C35" s="392" t="s">
        <v>736</v>
      </c>
      <c r="D35" s="393">
        <v>37856</v>
      </c>
      <c r="E35" s="389">
        <v>39195</v>
      </c>
      <c r="F35" s="390">
        <v>39195</v>
      </c>
      <c r="G35" s="9">
        <f>IF(AND(NOT(ISBLANK(D35)),ISNUMBER(D35),     NOT(ISBLANK(E35)),ISNUMBER(E35),     NOT(ISBLANK(F35)),ISNUMBER(F35)),NETWORKDAYS(D35,F35)/NETWORKDAYS(D35,E35),"Not Used")</f>
        <v>1</v>
      </c>
      <c r="H35" s="378">
        <f>IF(AND(ISNUMBER(F35), ISNUMBER(D35)), F35 - D35, "Not Used")</f>
        <v>1339</v>
      </c>
      <c r="I35" s="194">
        <f ca="1">IF(ISNUMBER(H35), H35 / $C$28, "Not Used")</f>
        <v>0.64685990338164256</v>
      </c>
      <c r="J35" s="194">
        <f ca="1">IF(ISNUMBER(G35), G35 * I35, "Not Used")</f>
        <v>0.64685990338164256</v>
      </c>
      <c r="K35" s="378">
        <f>IF(AND(ISNUMBER(E35), ISNUMBER(D35)), E35 - D35, "Not Used")</f>
        <v>1339</v>
      </c>
      <c r="L35" s="194">
        <f ca="1">IF(ISNUMBER(K35), K35 / $C$29, "Not Used")</f>
        <v>0.64685990338164256</v>
      </c>
      <c r="M35" s="194">
        <f ca="1">IF(ISNUMBER(G35), G35 * L35, "Not Used")</f>
        <v>0.64685990338164256</v>
      </c>
    </row>
    <row r="36" spans="1:13" ht="25.5">
      <c r="A36" s="384">
        <v>5</v>
      </c>
      <c r="B36" s="391" t="s">
        <v>737</v>
      </c>
      <c r="C36" s="392" t="s">
        <v>738</v>
      </c>
      <c r="D36" s="393">
        <v>38838</v>
      </c>
      <c r="E36" s="389">
        <v>39164</v>
      </c>
      <c r="F36" s="390">
        <v>39171</v>
      </c>
      <c r="G36" s="9">
        <f>IF(AND(NOT(ISBLANK(D36)),ISNUMBER(D36),     NOT(ISBLANK(E36)),ISNUMBER(E36),     NOT(ISBLANK(F36)),ISNUMBER(F36)),NETWORKDAYS(D36,F36)/NETWORKDAYS(D36,E36),"Not Used")</f>
        <v>1.0212765957446808</v>
      </c>
      <c r="H36" s="378">
        <f>IF(AND(ISNUMBER(F36), ISNUMBER(D36)), F36 - D36, "Not Used")</f>
        <v>333</v>
      </c>
      <c r="I36" s="194">
        <f ca="1">IF(ISNUMBER(H36), H36 / $C$28, "Not Used")</f>
        <v>0.16086956521739129</v>
      </c>
      <c r="J36" s="194">
        <f ca="1">IF(ISNUMBER(G36), G36 * I36, "Not Used")</f>
        <v>0.16429232192414428</v>
      </c>
      <c r="K36" s="378">
        <f>IF(AND(ISNUMBER(E36), ISNUMBER(D36)), E36 - D36, "Not Used")</f>
        <v>326</v>
      </c>
      <c r="L36" s="194">
        <f ca="1">IF(ISNUMBER(K36), K36 / $C$29, "Not Used")</f>
        <v>0.157487922705314</v>
      </c>
      <c r="M36" s="194">
        <f ca="1">IF(ISNUMBER(G36), G36 * L36, "Not Used")</f>
        <v>0.16083872957138451</v>
      </c>
    </row>
    <row r="37" spans="1:13" ht="25.5">
      <c r="A37" s="384">
        <v>6</v>
      </c>
      <c r="B37" s="391" t="s">
        <v>739</v>
      </c>
      <c r="C37" s="392" t="s">
        <v>740</v>
      </c>
      <c r="D37" s="393">
        <v>38944</v>
      </c>
      <c r="E37" s="389">
        <v>39148</v>
      </c>
      <c r="F37" s="390">
        <v>39148</v>
      </c>
      <c r="G37" s="9">
        <f>IF(AND(NOT(ISBLANK(D37)),ISNUMBER(D37),     NOT(ISBLANK(E37)),ISNUMBER(E37),     NOT(ISBLANK(F37)),ISNUMBER(F37)),NETWORKDAYS(D37,F37)/NETWORKDAYS(D37,E37),"Not Used")</f>
        <v>1</v>
      </c>
      <c r="H37" s="378">
        <f>IF(AND(ISNUMBER(F37), ISNUMBER(D37)), F37 - D37, "Not Used")</f>
        <v>204</v>
      </c>
      <c r="I37" s="194">
        <f ca="1">IF(ISNUMBER(H37), H37 / $C$28, "Not Used")</f>
        <v>9.8550724637681164E-2</v>
      </c>
      <c r="J37" s="194">
        <f ca="1">IF(ISNUMBER(G37), G37 * I37, "Not Used")</f>
        <v>9.8550724637681164E-2</v>
      </c>
      <c r="K37" s="378">
        <f>IF(AND(ISNUMBER(E37), ISNUMBER(D37)), E37 - D37, "Not Used")</f>
        <v>204</v>
      </c>
      <c r="L37" s="194">
        <f ca="1">IF(ISNUMBER(K37), K37 / $C$29, "Not Used")</f>
        <v>9.8550724637681164E-2</v>
      </c>
      <c r="M37" s="194">
        <f ca="1">IF(ISNUMBER(G37), G37 * L37, "Not Used")</f>
        <v>9.8550724637681164E-2</v>
      </c>
    </row>
  </sheetData>
  <mergeCells count="2">
    <mergeCell ref="A30:J30"/>
    <mergeCell ref="A31:J31"/>
  </mergeCells>
  <dataValidations count="2">
    <dataValidation allowBlank="1" showInputMessage="1" showErrorMessage="1" errorTitle="Input Invalid" error="Selection must be from drop down list." sqref="D35:F35 E32:F32"/>
    <dataValidation type="list" allowBlank="1" showDropDown="1" showInputMessage="1" errorTitle="Input Invalid" error="Selection must be from drop down list." sqref="D32">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23.xml><?xml version="1.0" encoding="utf-8"?>
<worksheet xmlns="http://schemas.openxmlformats.org/spreadsheetml/2006/main" xmlns:r="http://schemas.openxmlformats.org/officeDocument/2006/relationships">
  <sheetPr codeName="Sheet23"/>
  <dimension ref="A1:BS57"/>
  <sheetViews>
    <sheetView workbookViewId="0">
      <selection activeCell="A2" sqref="A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0" t="s">
        <v>421</v>
      </c>
      <c r="C4" s="350" t="s">
        <v>715</v>
      </c>
    </row>
    <row r="5" spans="1:3">
      <c r="B5" s="350" t="s">
        <v>422</v>
      </c>
      <c r="C5" t="str">
        <f>Survey_Period</f>
        <v>2007 H1</v>
      </c>
    </row>
    <row r="6" spans="1:3">
      <c r="B6" s="350" t="s">
        <v>716</v>
      </c>
      <c r="C6" s="350" t="s">
        <v>742</v>
      </c>
    </row>
    <row r="7" spans="1:3">
      <c r="B7" s="350" t="s">
        <v>717</v>
      </c>
      <c r="C7" s="350" t="s">
        <v>743</v>
      </c>
    </row>
    <row r="11" spans="1:3">
      <c r="B11" s="350" t="s">
        <v>21</v>
      </c>
      <c r="C11" s="350" t="s">
        <v>43</v>
      </c>
    </row>
    <row r="12" spans="1:3">
      <c r="B12" s="350" t="s">
        <v>51</v>
      </c>
      <c r="C12" s="350" t="s">
        <v>333</v>
      </c>
    </row>
    <row r="13" spans="1:3">
      <c r="B13" s="350" t="s">
        <v>425</v>
      </c>
      <c r="C13">
        <v>34</v>
      </c>
    </row>
    <row r="14" spans="1:3">
      <c r="B14" s="350" t="s">
        <v>426</v>
      </c>
      <c r="C14">
        <v>57</v>
      </c>
    </row>
    <row r="15" spans="1:3">
      <c r="B15" s="350" t="s">
        <v>427</v>
      </c>
      <c r="C15">
        <v>7</v>
      </c>
    </row>
    <row r="16" spans="1:3">
      <c r="B16" s="350" t="s">
        <v>428</v>
      </c>
      <c r="C16">
        <v>7</v>
      </c>
    </row>
    <row r="24" spans="1:71">
      <c r="B24" s="350" t="s">
        <v>718</v>
      </c>
      <c r="C24" s="9">
        <f ca="1">SUM(INDIRECT(ADDRESS($C$13, 13, TRUE)):INDIRECT(ADDRESS($C$14, 13, TRUE)))</f>
        <v>0.96863181961181222</v>
      </c>
    </row>
    <row r="25" spans="1:71">
      <c r="B25" s="350" t="s">
        <v>719</v>
      </c>
      <c r="C25" s="9">
        <f ca="1">SUM(INDIRECT(ADDRESS($C$13, 10, TRUE)):INDIRECT(ADDRESS($C$14, 10, TRUE)))</f>
        <v>0.98568128826398205</v>
      </c>
    </row>
    <row r="26" spans="1:71">
      <c r="B26" s="350" t="s">
        <v>720</v>
      </c>
      <c r="C26" s="9">
        <f ca="1">AVERAGE(INDIRECT(ADDRESS($C$13, $C$15, TRUE)):INDIRECT(ADDRESS($C$14, $C$16, TRUE)))</f>
        <v>0.93510187332544492</v>
      </c>
    </row>
    <row r="27" spans="1:71">
      <c r="B27" s="350" t="s">
        <v>721</v>
      </c>
      <c r="C27" s="378">
        <f>$C$14 - $C$13 + 1</f>
        <v>24</v>
      </c>
    </row>
    <row r="28" spans="1:71">
      <c r="B28" s="350" t="s">
        <v>722</v>
      </c>
      <c r="C28" s="378">
        <f ca="1">SUM(INDIRECT(ADDRESS($C$13, 8, TRUE)):INDIRECT(ADDRESS($C$14, 8, TRUE)))</f>
        <v>1617</v>
      </c>
    </row>
    <row r="29" spans="1:71">
      <c r="B29" s="350" t="s">
        <v>723</v>
      </c>
      <c r="C29" s="378">
        <f ca="1">SUM(INDIRECT(ADDRESS($C$13, 11, TRUE)):INDIRECT(ADDRESS($C$14, 11, TRUE)))</f>
        <v>1665</v>
      </c>
    </row>
    <row r="30" spans="1:71" ht="18.75">
      <c r="A30" s="394"/>
      <c r="B30" s="395" t="s">
        <v>81</v>
      </c>
      <c r="C30" s="396"/>
      <c r="D30" s="396"/>
      <c r="E30" s="396"/>
      <c r="F30" s="397"/>
      <c r="G30" s="441"/>
      <c r="H30" s="397"/>
      <c r="I30" s="397"/>
      <c r="J30" s="397"/>
      <c r="K30" s="398"/>
      <c r="L30" s="396"/>
      <c r="M30" s="396"/>
      <c r="N30" s="12"/>
      <c r="O30" s="12"/>
      <c r="P30" s="12"/>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row>
    <row r="31" spans="1:71">
      <c r="A31" s="399"/>
      <c r="B31" s="400" t="s">
        <v>43</v>
      </c>
      <c r="C31" s="401"/>
      <c r="D31" s="401"/>
      <c r="E31" s="401"/>
      <c r="F31" s="402"/>
      <c r="G31" s="442"/>
      <c r="H31" s="402"/>
      <c r="I31" s="402"/>
      <c r="J31" s="402"/>
      <c r="K31" s="403"/>
      <c r="L31" s="401"/>
      <c r="M31" s="401"/>
      <c r="N31" s="350"/>
      <c r="O31" s="350"/>
      <c r="P31" s="350"/>
      <c r="Q31" s="350"/>
      <c r="R31" s="350"/>
      <c r="S31" s="350"/>
      <c r="T31" s="350"/>
      <c r="U31" s="350"/>
      <c r="V31" s="350"/>
      <c r="W31" s="350"/>
      <c r="X31" s="350"/>
      <c r="Y31" s="350"/>
      <c r="Z31" s="350"/>
      <c r="AA31" s="350"/>
      <c r="AB31" s="350"/>
      <c r="AC31" s="350"/>
      <c r="AD31" s="350"/>
      <c r="AE31" s="350"/>
      <c r="AF31" s="350"/>
      <c r="AG31" s="350"/>
      <c r="AH31" s="350"/>
      <c r="AI31" s="350"/>
      <c r="AJ31" s="350"/>
      <c r="AK31" s="350"/>
      <c r="AL31" s="350"/>
      <c r="AM31" s="350"/>
      <c r="AN31" s="350"/>
      <c r="AO31" s="350"/>
      <c r="AP31" s="350"/>
      <c r="AQ31" s="350"/>
      <c r="AR31" s="350"/>
      <c r="AS31" s="350"/>
      <c r="AT31" s="350"/>
      <c r="AU31" s="350"/>
      <c r="AV31" s="350"/>
      <c r="AW31" s="350"/>
      <c r="AX31" s="350"/>
      <c r="AY31" s="350"/>
      <c r="AZ31" s="350"/>
      <c r="BA31" s="350"/>
      <c r="BB31" s="350"/>
      <c r="BC31" s="350"/>
      <c r="BD31" s="350"/>
      <c r="BE31" s="350"/>
      <c r="BF31" s="350"/>
      <c r="BG31" s="350"/>
      <c r="BH31" s="350"/>
      <c r="BI31" s="350"/>
      <c r="BJ31" s="350"/>
      <c r="BK31" s="350"/>
      <c r="BL31" s="350"/>
      <c r="BM31" s="350"/>
      <c r="BN31" s="350"/>
      <c r="BO31" s="350"/>
      <c r="BP31" s="350"/>
      <c r="BQ31" s="350"/>
      <c r="BR31" s="350"/>
      <c r="BS31" s="350"/>
    </row>
    <row r="32" spans="1:71">
      <c r="A32" s="404"/>
      <c r="B32" s="405" t="s">
        <v>744</v>
      </c>
      <c r="C32" s="406"/>
      <c r="D32" s="406"/>
      <c r="E32" s="406"/>
      <c r="F32" s="407"/>
      <c r="G32" s="443"/>
      <c r="H32" s="407"/>
      <c r="I32" s="407"/>
      <c r="J32" s="407"/>
      <c r="K32" s="408"/>
      <c r="L32" s="406"/>
      <c r="M32" s="406"/>
      <c r="N32" s="350"/>
      <c r="O32" s="350"/>
      <c r="P32" s="350"/>
      <c r="Q32" s="350"/>
      <c r="R32" s="350"/>
      <c r="S32" s="350"/>
      <c r="T32" s="350"/>
      <c r="U32" s="350"/>
      <c r="V32" s="350"/>
      <c r="W32" s="350"/>
      <c r="X32" s="350"/>
      <c r="Y32" s="350"/>
      <c r="Z32" s="350"/>
      <c r="AA32" s="350"/>
      <c r="AB32" s="350"/>
      <c r="AC32" s="350"/>
      <c r="AD32" s="350"/>
      <c r="AE32" s="350"/>
      <c r="AF32" s="350"/>
      <c r="AG32" s="350"/>
      <c r="AH32" s="350"/>
      <c r="AI32" s="350"/>
      <c r="AJ32" s="350"/>
      <c r="AK32" s="350"/>
      <c r="AL32" s="350"/>
      <c r="AM32" s="350"/>
      <c r="AN32" s="350"/>
      <c r="AO32" s="350"/>
      <c r="AP32" s="350"/>
      <c r="AQ32" s="350"/>
      <c r="AR32" s="350"/>
      <c r="AS32" s="350"/>
      <c r="AT32" s="350"/>
      <c r="AU32" s="350"/>
      <c r="AV32" s="350"/>
      <c r="AW32" s="350"/>
      <c r="AX32" s="350"/>
      <c r="AY32" s="350"/>
      <c r="AZ32" s="350"/>
      <c r="BA32" s="350"/>
      <c r="BB32" s="350"/>
      <c r="BC32" s="350"/>
      <c r="BD32" s="350"/>
      <c r="BE32" s="350"/>
      <c r="BF32" s="350"/>
      <c r="BG32" s="350"/>
      <c r="BH32" s="350"/>
      <c r="BI32" s="350"/>
      <c r="BJ32" s="350"/>
      <c r="BK32" s="350"/>
      <c r="BL32" s="350"/>
      <c r="BM32" s="350"/>
      <c r="BN32" s="350"/>
      <c r="BO32" s="350"/>
      <c r="BP32" s="350"/>
      <c r="BQ32" s="350"/>
      <c r="BR32" s="350"/>
      <c r="BS32" s="350"/>
    </row>
    <row r="33" spans="1:13" ht="45">
      <c r="A33" s="409" t="s">
        <v>683</v>
      </c>
      <c r="B33" s="410" t="s">
        <v>684</v>
      </c>
      <c r="C33" s="409" t="s">
        <v>685</v>
      </c>
      <c r="D33" s="411" t="s">
        <v>686</v>
      </c>
      <c r="E33" s="412" t="s">
        <v>687</v>
      </c>
      <c r="F33" s="412" t="s">
        <v>688</v>
      </c>
      <c r="G33" s="379" t="s">
        <v>720</v>
      </c>
      <c r="H33" s="380" t="s">
        <v>722</v>
      </c>
      <c r="I33" s="380" t="s">
        <v>724</v>
      </c>
      <c r="J33" s="380" t="s">
        <v>719</v>
      </c>
      <c r="K33" s="380" t="s">
        <v>723</v>
      </c>
      <c r="L33" s="380" t="s">
        <v>725</v>
      </c>
      <c r="M33" s="380" t="s">
        <v>718</v>
      </c>
    </row>
    <row r="34" spans="1:13" ht="22.5">
      <c r="A34" s="776">
        <v>65</v>
      </c>
      <c r="B34" s="773" t="s">
        <v>746</v>
      </c>
      <c r="C34" s="424" t="s">
        <v>747</v>
      </c>
      <c r="D34" s="425">
        <v>39048</v>
      </c>
      <c r="E34" s="426">
        <v>39084</v>
      </c>
      <c r="F34" s="425">
        <v>39084</v>
      </c>
      <c r="G34" s="9">
        <f>IF(AND(NOT(ISBLANK(D34)),ISNUMBER(D34),     NOT(ISBLANK(E34)),ISNUMBER(E34),     NOT(ISBLANK(F34)),ISNUMBER(F34)),NETWORKDAYS(D34,F34)/NETWORKDAYS(D34,E34),"Not Used")</f>
        <v>1</v>
      </c>
      <c r="H34" s="378">
        <f>IF(AND(ISNUMBER(F34), ISNUMBER(D34)), F34 - D34, "Not Used")</f>
        <v>36</v>
      </c>
      <c r="I34" s="194">
        <f ca="1">IF(ISNUMBER(H34), H34 / $C$28, "Not Used")</f>
        <v>2.2263450834879406E-2</v>
      </c>
      <c r="J34" s="194">
        <f ca="1">IF(ISNUMBER(G34), G34 * I34, "Not Used")</f>
        <v>2.2263450834879406E-2</v>
      </c>
      <c r="K34" s="378">
        <f>IF(AND(ISNUMBER(E34), ISNUMBER(D34)), E34 - D34, "Not Used")</f>
        <v>36</v>
      </c>
      <c r="L34" s="194">
        <f ca="1">IF(ISNUMBER(K34), K34 / $C$29, "Not Used")</f>
        <v>2.1621621621621623E-2</v>
      </c>
      <c r="M34" s="194">
        <f ca="1">IF(ISNUMBER(G34), G34 * L34, "Not Used")</f>
        <v>2.1621621621621623E-2</v>
      </c>
    </row>
    <row r="35" spans="1:13">
      <c r="A35" s="777"/>
      <c r="B35" s="780"/>
      <c r="C35" s="424" t="s">
        <v>748</v>
      </c>
      <c r="D35" s="425">
        <v>39048</v>
      </c>
      <c r="E35" s="426">
        <v>39084</v>
      </c>
      <c r="F35" s="425">
        <v>39084</v>
      </c>
      <c r="G35" s="9">
        <f>IF(AND(NOT(ISBLANK(D35)),ISNUMBER(D35),     NOT(ISBLANK(E35)),ISNUMBER(E35),     NOT(ISBLANK(F35)),ISNUMBER(F35)),NETWORKDAYS(D35,F35)/NETWORKDAYS(D35,E35),"Not Used")</f>
        <v>1</v>
      </c>
      <c r="H35" s="378">
        <f>IF(AND(ISNUMBER(F35), ISNUMBER(D35)), F35 - D35, "Not Used")</f>
        <v>36</v>
      </c>
      <c r="I35" s="194">
        <f ca="1">IF(ISNUMBER(H35), H35 / $C$28, "Not Used")</f>
        <v>2.2263450834879406E-2</v>
      </c>
      <c r="J35" s="194">
        <f ca="1">IF(ISNUMBER(G35), G35 * I35, "Not Used")</f>
        <v>2.2263450834879406E-2</v>
      </c>
      <c r="K35" s="378">
        <f>IF(AND(ISNUMBER(E35), ISNUMBER(D35)), E35 - D35, "Not Used")</f>
        <v>36</v>
      </c>
      <c r="L35" s="194">
        <f ca="1">IF(ISNUMBER(K35), K35 / $C$29, "Not Used")</f>
        <v>2.1621621621621623E-2</v>
      </c>
      <c r="M35" s="194">
        <f ca="1">IF(ISNUMBER(G35), G35 * L35, "Not Used")</f>
        <v>2.1621621621621623E-2</v>
      </c>
    </row>
    <row r="36" spans="1:13">
      <c r="A36" s="776">
        <f ca="1">INDIRECT(ADDRESS(ROW([2]Archive!A162)-1,COLUMN(A36)))+1</f>
        <v>1</v>
      </c>
      <c r="B36" s="779" t="s">
        <v>749</v>
      </c>
      <c r="C36" s="427" t="s">
        <v>750</v>
      </c>
      <c r="D36" s="428">
        <v>39009</v>
      </c>
      <c r="E36" s="428">
        <v>39114</v>
      </c>
      <c r="F36" s="428">
        <v>39118</v>
      </c>
      <c r="G36" s="9">
        <f t="shared" ref="G36:G53" si="0">IF(AND(NOT(ISBLANK(D36)),ISNUMBER(D36),     NOT(ISBLANK(E36)),ISNUMBER(E36),     NOT(ISBLANK(F36)),ISNUMBER(F36)),NETWORKDAYS(D36,F36)/NETWORKDAYS(D36,E36),"Not Used")</f>
        <v>1.0263157894736843</v>
      </c>
      <c r="H36" s="378">
        <f t="shared" ref="H36:H57" si="1">IF(AND(ISNUMBER(F36), ISNUMBER(D36)), F36 - D36, "Not Used")</f>
        <v>109</v>
      </c>
      <c r="I36" s="194">
        <f t="shared" ref="I36:I53" ca="1" si="2">IF(ISNUMBER(H36), H36 / $C$28, "Not Used")</f>
        <v>6.7408781694495976E-2</v>
      </c>
      <c r="J36" s="194">
        <f t="shared" ref="J36:J53" ca="1" si="3">IF(ISNUMBER(G36), G36 * I36, "Not Used")</f>
        <v>6.9182697002245871E-2</v>
      </c>
      <c r="K36" s="378">
        <f t="shared" ref="K36:K57" si="4">IF(AND(ISNUMBER(E36), ISNUMBER(D36)), E36 - D36, "Not Used")</f>
        <v>105</v>
      </c>
      <c r="L36" s="194">
        <f t="shared" ref="L36:L53" ca="1" si="5">IF(ISNUMBER(K36), K36 / $C$29, "Not Used")</f>
        <v>6.3063063063063057E-2</v>
      </c>
      <c r="M36" s="194">
        <f t="shared" ref="M36:M53" ca="1" si="6">IF(ISNUMBER(G36), G36 * L36, "Not Used")</f>
        <v>6.4722617354196307E-2</v>
      </c>
    </row>
    <row r="37" spans="1:13">
      <c r="A37" s="777"/>
      <c r="B37" s="782"/>
      <c r="C37" s="429" t="s">
        <v>751</v>
      </c>
      <c r="D37" s="430">
        <v>39009</v>
      </c>
      <c r="E37" s="430">
        <v>39114</v>
      </c>
      <c r="F37" s="425">
        <v>39118</v>
      </c>
      <c r="G37" s="9">
        <f t="shared" si="0"/>
        <v>1.0263157894736843</v>
      </c>
      <c r="H37" s="378">
        <f t="shared" si="1"/>
        <v>109</v>
      </c>
      <c r="I37" s="194">
        <f t="shared" ca="1" si="2"/>
        <v>6.7408781694495976E-2</v>
      </c>
      <c r="J37" s="194">
        <f t="shared" ca="1" si="3"/>
        <v>6.9182697002245871E-2</v>
      </c>
      <c r="K37" s="378">
        <f t="shared" si="4"/>
        <v>105</v>
      </c>
      <c r="L37" s="194">
        <f t="shared" ca="1" si="5"/>
        <v>6.3063063063063057E-2</v>
      </c>
      <c r="M37" s="194">
        <f t="shared" ca="1" si="6"/>
        <v>6.4722617354196307E-2</v>
      </c>
    </row>
    <row r="38" spans="1:13">
      <c r="A38" s="777"/>
      <c r="B38" s="782"/>
      <c r="C38" s="429" t="s">
        <v>752</v>
      </c>
      <c r="D38" s="430">
        <v>39009</v>
      </c>
      <c r="E38" s="430">
        <v>39114</v>
      </c>
      <c r="F38" s="425">
        <v>39118</v>
      </c>
      <c r="G38" s="9">
        <f t="shared" si="0"/>
        <v>1.0263157894736843</v>
      </c>
      <c r="H38" s="378">
        <f t="shared" si="1"/>
        <v>109</v>
      </c>
      <c r="I38" s="194">
        <f t="shared" ca="1" si="2"/>
        <v>6.7408781694495976E-2</v>
      </c>
      <c r="J38" s="194">
        <f t="shared" ca="1" si="3"/>
        <v>6.9182697002245871E-2</v>
      </c>
      <c r="K38" s="378">
        <f t="shared" si="4"/>
        <v>105</v>
      </c>
      <c r="L38" s="194">
        <f t="shared" ca="1" si="5"/>
        <v>6.3063063063063057E-2</v>
      </c>
      <c r="M38" s="194">
        <f t="shared" ca="1" si="6"/>
        <v>6.4722617354196307E-2</v>
      </c>
    </row>
    <row r="39" spans="1:13">
      <c r="A39" s="777"/>
      <c r="B39" s="782"/>
      <c r="C39" s="429" t="s">
        <v>753</v>
      </c>
      <c r="D39" s="430">
        <v>39106</v>
      </c>
      <c r="E39" s="430">
        <v>39114</v>
      </c>
      <c r="F39" s="425">
        <v>39119</v>
      </c>
      <c r="G39" s="9">
        <f t="shared" si="0"/>
        <v>1.4285714285714286</v>
      </c>
      <c r="H39" s="378">
        <f t="shared" si="1"/>
        <v>13</v>
      </c>
      <c r="I39" s="194">
        <f t="shared" ca="1" si="2"/>
        <v>8.0395794681508963E-3</v>
      </c>
      <c r="J39" s="194">
        <f t="shared" ca="1" si="3"/>
        <v>1.1485113525929852E-2</v>
      </c>
      <c r="K39" s="378">
        <f t="shared" si="4"/>
        <v>8</v>
      </c>
      <c r="L39" s="194">
        <f t="shared" ca="1" si="5"/>
        <v>4.8048048048048046E-3</v>
      </c>
      <c r="M39" s="194">
        <f t="shared" ca="1" si="6"/>
        <v>6.8640068640068641E-3</v>
      </c>
    </row>
    <row r="40" spans="1:13">
      <c r="A40" s="777"/>
      <c r="B40" s="782"/>
      <c r="C40" s="429" t="s">
        <v>754</v>
      </c>
      <c r="D40" s="430">
        <v>39106</v>
      </c>
      <c r="E40" s="430">
        <v>39114</v>
      </c>
      <c r="F40" s="425">
        <v>39119</v>
      </c>
      <c r="G40" s="9">
        <f t="shared" si="0"/>
        <v>1.4285714285714286</v>
      </c>
      <c r="H40" s="378">
        <f t="shared" si="1"/>
        <v>13</v>
      </c>
      <c r="I40" s="194">
        <f t="shared" ca="1" si="2"/>
        <v>8.0395794681508963E-3</v>
      </c>
      <c r="J40" s="194">
        <f t="shared" ca="1" si="3"/>
        <v>1.1485113525929852E-2</v>
      </c>
      <c r="K40" s="378">
        <f t="shared" si="4"/>
        <v>8</v>
      </c>
      <c r="L40" s="194">
        <f t="shared" ca="1" si="5"/>
        <v>4.8048048048048046E-3</v>
      </c>
      <c r="M40" s="194">
        <f t="shared" ca="1" si="6"/>
        <v>6.8640068640068641E-3</v>
      </c>
    </row>
    <row r="41" spans="1:13">
      <c r="A41" s="778"/>
      <c r="B41" s="783"/>
      <c r="C41" s="431" t="s">
        <v>755</v>
      </c>
      <c r="D41" s="432">
        <v>39036</v>
      </c>
      <c r="E41" s="433">
        <v>39114</v>
      </c>
      <c r="F41" s="432">
        <v>39107</v>
      </c>
      <c r="G41" s="9">
        <f t="shared" si="0"/>
        <v>0.91228070175438591</v>
      </c>
      <c r="H41" s="378">
        <f t="shared" si="1"/>
        <v>71</v>
      </c>
      <c r="I41" s="194">
        <f t="shared" ca="1" si="2"/>
        <v>4.3908472479901053E-2</v>
      </c>
      <c r="J41" s="194">
        <f t="shared" ca="1" si="3"/>
        <v>4.0056852086927275E-2</v>
      </c>
      <c r="K41" s="378">
        <f t="shared" si="4"/>
        <v>78</v>
      </c>
      <c r="L41" s="194">
        <f t="shared" ca="1" si="5"/>
        <v>4.6846846846846847E-2</v>
      </c>
      <c r="M41" s="194">
        <f t="shared" ca="1" si="6"/>
        <v>4.2737474316421685E-2</v>
      </c>
    </row>
    <row r="42" spans="1:13">
      <c r="A42" s="420">
        <f ca="1">INDIRECT(ADDRESS(ROW(A42)-1,COLUMN(A42)))+1</f>
        <v>1</v>
      </c>
      <c r="B42" s="419" t="s">
        <v>745</v>
      </c>
      <c r="C42" s="434" t="s">
        <v>756</v>
      </c>
      <c r="D42" s="435">
        <v>38978</v>
      </c>
      <c r="E42" s="435">
        <v>39113</v>
      </c>
      <c r="F42" s="436">
        <v>39104</v>
      </c>
      <c r="G42" s="9">
        <f t="shared" si="0"/>
        <v>0.9285714285714286</v>
      </c>
      <c r="H42" s="378">
        <f t="shared" si="1"/>
        <v>126</v>
      </c>
      <c r="I42" s="194">
        <f t="shared" ca="1" si="2"/>
        <v>7.792207792207792E-2</v>
      </c>
      <c r="J42" s="194">
        <f t="shared" ca="1" si="3"/>
        <v>7.2356215213358069E-2</v>
      </c>
      <c r="K42" s="378">
        <f t="shared" si="4"/>
        <v>135</v>
      </c>
      <c r="L42" s="194">
        <f t="shared" ca="1" si="5"/>
        <v>8.1081081081081086E-2</v>
      </c>
      <c r="M42" s="194">
        <f t="shared" ca="1" si="6"/>
        <v>7.5289575289575292E-2</v>
      </c>
    </row>
    <row r="43" spans="1:13">
      <c r="A43" s="437">
        <f ca="1">INDIRECT(ADDRESS(ROW(A43)-1,COLUMN(A43)))+1</f>
        <v>2</v>
      </c>
      <c r="B43" s="434" t="s">
        <v>745</v>
      </c>
      <c r="C43" s="434" t="s">
        <v>757</v>
      </c>
      <c r="D43" s="435">
        <v>39022</v>
      </c>
      <c r="E43" s="435">
        <v>39097</v>
      </c>
      <c r="F43" s="436">
        <v>39097</v>
      </c>
      <c r="G43" s="9">
        <f t="shared" si="0"/>
        <v>1</v>
      </c>
      <c r="H43" s="378">
        <f t="shared" si="1"/>
        <v>75</v>
      </c>
      <c r="I43" s="194">
        <f t="shared" ca="1" si="2"/>
        <v>4.6382189239332093E-2</v>
      </c>
      <c r="J43" s="194">
        <f t="shared" ca="1" si="3"/>
        <v>4.6382189239332093E-2</v>
      </c>
      <c r="K43" s="378">
        <f t="shared" si="4"/>
        <v>75</v>
      </c>
      <c r="L43" s="194">
        <f t="shared" ca="1" si="5"/>
        <v>4.5045045045045043E-2</v>
      </c>
      <c r="M43" s="194">
        <f t="shared" ca="1" si="6"/>
        <v>4.5045045045045043E-2</v>
      </c>
    </row>
    <row r="44" spans="1:13">
      <c r="A44" s="420">
        <f ca="1">INDIRECT(ADDRESS(ROW(A44)-1,COLUMN(A44)))+1</f>
        <v>3</v>
      </c>
      <c r="B44" s="434" t="s">
        <v>745</v>
      </c>
      <c r="C44" s="434" t="s">
        <v>758</v>
      </c>
      <c r="D44" s="435">
        <v>39022</v>
      </c>
      <c r="E44" s="435">
        <v>39097</v>
      </c>
      <c r="F44" s="436">
        <v>39097</v>
      </c>
      <c r="G44" s="9">
        <f t="shared" si="0"/>
        <v>1</v>
      </c>
      <c r="H44" s="378">
        <f t="shared" si="1"/>
        <v>75</v>
      </c>
      <c r="I44" s="194">
        <f t="shared" ca="1" si="2"/>
        <v>4.6382189239332093E-2</v>
      </c>
      <c r="J44" s="194">
        <f t="shared" ca="1" si="3"/>
        <v>4.6382189239332093E-2</v>
      </c>
      <c r="K44" s="378">
        <f t="shared" si="4"/>
        <v>75</v>
      </c>
      <c r="L44" s="194">
        <f t="shared" ca="1" si="5"/>
        <v>4.5045045045045043E-2</v>
      </c>
      <c r="M44" s="194">
        <f t="shared" ca="1" si="6"/>
        <v>4.5045045045045043E-2</v>
      </c>
    </row>
    <row r="45" spans="1:13">
      <c r="A45" s="770">
        <f ca="1">INDIRECT(ADDRESS(ROW([2]Archive!A184)-1,COLUMN(A45)))+1</f>
        <v>1</v>
      </c>
      <c r="B45" s="773" t="s">
        <v>759</v>
      </c>
      <c r="C45" s="424" t="s">
        <v>760</v>
      </c>
      <c r="D45" s="425">
        <v>39108</v>
      </c>
      <c r="E45" s="425">
        <v>39142</v>
      </c>
      <c r="F45" s="425">
        <v>39134</v>
      </c>
      <c r="G45" s="9">
        <f t="shared" si="0"/>
        <v>0.76</v>
      </c>
      <c r="H45" s="378">
        <f t="shared" si="1"/>
        <v>26</v>
      </c>
      <c r="I45" s="194">
        <f t="shared" ca="1" si="2"/>
        <v>1.6079158936301793E-2</v>
      </c>
      <c r="J45" s="194">
        <f t="shared" ca="1" si="3"/>
        <v>1.2220160791589363E-2</v>
      </c>
      <c r="K45" s="378">
        <f t="shared" si="4"/>
        <v>34</v>
      </c>
      <c r="L45" s="194">
        <f t="shared" ca="1" si="5"/>
        <v>2.0420420420420419E-2</v>
      </c>
      <c r="M45" s="194">
        <f t="shared" ca="1" si="6"/>
        <v>1.5519519519519518E-2</v>
      </c>
    </row>
    <row r="46" spans="1:13">
      <c r="A46" s="771"/>
      <c r="B46" s="774"/>
      <c r="C46" s="424" t="s">
        <v>761</v>
      </c>
      <c r="D46" s="425">
        <v>39122</v>
      </c>
      <c r="E46" s="425">
        <v>39142</v>
      </c>
      <c r="F46" s="425">
        <v>39142</v>
      </c>
      <c r="G46" s="9">
        <f t="shared" si="0"/>
        <v>1</v>
      </c>
      <c r="H46" s="378">
        <f t="shared" si="1"/>
        <v>20</v>
      </c>
      <c r="I46" s="194">
        <f t="shared" ca="1" si="2"/>
        <v>1.2368583797155226E-2</v>
      </c>
      <c r="J46" s="194">
        <f t="shared" ca="1" si="3"/>
        <v>1.2368583797155226E-2</v>
      </c>
      <c r="K46" s="378">
        <f t="shared" si="4"/>
        <v>20</v>
      </c>
      <c r="L46" s="194">
        <f t="shared" ca="1" si="5"/>
        <v>1.2012012012012012E-2</v>
      </c>
      <c r="M46" s="194">
        <f t="shared" ca="1" si="6"/>
        <v>1.2012012012012012E-2</v>
      </c>
    </row>
    <row r="47" spans="1:13">
      <c r="A47" s="771"/>
      <c r="B47" s="774"/>
      <c r="C47" s="424" t="s">
        <v>762</v>
      </c>
      <c r="D47" s="425">
        <v>39122</v>
      </c>
      <c r="E47" s="425">
        <v>39142</v>
      </c>
      <c r="F47" s="425">
        <v>39133</v>
      </c>
      <c r="G47" s="9">
        <f t="shared" si="0"/>
        <v>0.53333333333333333</v>
      </c>
      <c r="H47" s="378">
        <f t="shared" si="1"/>
        <v>11</v>
      </c>
      <c r="I47" s="194">
        <f t="shared" ca="1" si="2"/>
        <v>6.8027210884353739E-3</v>
      </c>
      <c r="J47" s="194">
        <f t="shared" ca="1" si="3"/>
        <v>3.6281179138321993E-3</v>
      </c>
      <c r="K47" s="378">
        <f t="shared" si="4"/>
        <v>20</v>
      </c>
      <c r="L47" s="194">
        <f t="shared" ca="1" si="5"/>
        <v>1.2012012012012012E-2</v>
      </c>
      <c r="M47" s="194">
        <f t="shared" ca="1" si="6"/>
        <v>6.4064064064064058E-3</v>
      </c>
    </row>
    <row r="48" spans="1:13">
      <c r="A48" s="771"/>
      <c r="B48" s="774"/>
      <c r="C48" s="424" t="s">
        <v>763</v>
      </c>
      <c r="D48" s="425">
        <v>39136</v>
      </c>
      <c r="E48" s="425">
        <v>39143</v>
      </c>
      <c r="F48" s="425">
        <v>39136</v>
      </c>
      <c r="G48" s="9">
        <f t="shared" si="0"/>
        <v>0.16666666666666666</v>
      </c>
      <c r="H48" s="378">
        <f t="shared" si="1"/>
        <v>0</v>
      </c>
      <c r="I48" s="194">
        <f t="shared" ca="1" si="2"/>
        <v>0</v>
      </c>
      <c r="J48" s="194">
        <f t="shared" ca="1" si="3"/>
        <v>0</v>
      </c>
      <c r="K48" s="378">
        <f t="shared" si="4"/>
        <v>7</v>
      </c>
      <c r="L48" s="194">
        <f t="shared" ca="1" si="5"/>
        <v>4.2042042042042043E-3</v>
      </c>
      <c r="M48" s="194">
        <f t="shared" ca="1" si="6"/>
        <v>7.0070070070070065E-4</v>
      </c>
    </row>
    <row r="49" spans="1:13">
      <c r="A49" s="772"/>
      <c r="B49" s="775"/>
      <c r="C49" s="424" t="s">
        <v>764</v>
      </c>
      <c r="D49" s="425">
        <v>39136</v>
      </c>
      <c r="E49" s="425">
        <v>39142</v>
      </c>
      <c r="F49" s="425">
        <v>39139</v>
      </c>
      <c r="G49" s="9">
        <f t="shared" si="0"/>
        <v>0.4</v>
      </c>
      <c r="H49" s="378">
        <f t="shared" si="1"/>
        <v>3</v>
      </c>
      <c r="I49" s="194">
        <f t="shared" ca="1" si="2"/>
        <v>1.8552875695732839E-3</v>
      </c>
      <c r="J49" s="194">
        <f t="shared" ca="1" si="3"/>
        <v>7.4211502782931362E-4</v>
      </c>
      <c r="K49" s="378">
        <f t="shared" si="4"/>
        <v>6</v>
      </c>
      <c r="L49" s="194">
        <f t="shared" ca="1" si="5"/>
        <v>3.6036036036036037E-3</v>
      </c>
      <c r="M49" s="194">
        <f t="shared" ca="1" si="6"/>
        <v>1.4414414414414415E-3</v>
      </c>
    </row>
    <row r="50" spans="1:13">
      <c r="A50" s="776">
        <v>88</v>
      </c>
      <c r="B50" s="779" t="s">
        <v>765</v>
      </c>
      <c r="C50" s="424" t="s">
        <v>766</v>
      </c>
      <c r="D50" s="425">
        <v>39055</v>
      </c>
      <c r="E50" s="425">
        <v>39161</v>
      </c>
      <c r="F50" s="425">
        <v>39149</v>
      </c>
      <c r="G50" s="9">
        <f t="shared" si="0"/>
        <v>0.89610389610389607</v>
      </c>
      <c r="H50" s="378">
        <f t="shared" si="1"/>
        <v>94</v>
      </c>
      <c r="I50" s="194">
        <f t="shared" ca="1" si="2"/>
        <v>5.8132343846629561E-2</v>
      </c>
      <c r="J50" s="194">
        <f t="shared" ca="1" si="3"/>
        <v>5.2092619810616095E-2</v>
      </c>
      <c r="K50" s="378">
        <f t="shared" si="4"/>
        <v>106</v>
      </c>
      <c r="L50" s="194">
        <f t="shared" ca="1" si="5"/>
        <v>6.3663663663663661E-2</v>
      </c>
      <c r="M50" s="194">
        <f t="shared" ca="1" si="6"/>
        <v>5.7049257049257042E-2</v>
      </c>
    </row>
    <row r="51" spans="1:13">
      <c r="A51" s="777"/>
      <c r="B51" s="780"/>
      <c r="C51" s="424" t="s">
        <v>767</v>
      </c>
      <c r="D51" s="425">
        <v>39055</v>
      </c>
      <c r="E51" s="425">
        <v>39161</v>
      </c>
      <c r="F51" s="425">
        <v>39149</v>
      </c>
      <c r="G51" s="9">
        <f t="shared" si="0"/>
        <v>0.89610389610389607</v>
      </c>
      <c r="H51" s="378">
        <f t="shared" si="1"/>
        <v>94</v>
      </c>
      <c r="I51" s="194">
        <f t="shared" ca="1" si="2"/>
        <v>5.8132343846629561E-2</v>
      </c>
      <c r="J51" s="194">
        <f t="shared" ca="1" si="3"/>
        <v>5.2092619810616095E-2</v>
      </c>
      <c r="K51" s="378">
        <f t="shared" si="4"/>
        <v>106</v>
      </c>
      <c r="L51" s="194">
        <f t="shared" ca="1" si="5"/>
        <v>6.3663663663663661E-2</v>
      </c>
      <c r="M51" s="194">
        <f t="shared" ca="1" si="6"/>
        <v>5.7049257049257042E-2</v>
      </c>
    </row>
    <row r="52" spans="1:13">
      <c r="A52" s="777"/>
      <c r="B52" s="780"/>
      <c r="C52" s="424" t="s">
        <v>768</v>
      </c>
      <c r="D52" s="425">
        <v>39118</v>
      </c>
      <c r="E52" s="426">
        <v>39171</v>
      </c>
      <c r="F52" s="425">
        <v>39185</v>
      </c>
      <c r="G52" s="9">
        <f t="shared" si="0"/>
        <v>1.25</v>
      </c>
      <c r="H52" s="378">
        <f t="shared" si="1"/>
        <v>67</v>
      </c>
      <c r="I52" s="194">
        <f t="shared" ca="1" si="2"/>
        <v>4.1434755720470007E-2</v>
      </c>
      <c r="J52" s="194">
        <f t="shared" ca="1" si="3"/>
        <v>5.1793444650587508E-2</v>
      </c>
      <c r="K52" s="378">
        <f t="shared" si="4"/>
        <v>53</v>
      </c>
      <c r="L52" s="194">
        <f t="shared" ca="1" si="5"/>
        <v>3.1831831831831831E-2</v>
      </c>
      <c r="M52" s="194">
        <f t="shared" ca="1" si="6"/>
        <v>3.9789789789789788E-2</v>
      </c>
    </row>
    <row r="53" spans="1:13">
      <c r="A53" s="778"/>
      <c r="B53" s="781"/>
      <c r="C53" s="424" t="s">
        <v>769</v>
      </c>
      <c r="D53" s="425">
        <v>39139</v>
      </c>
      <c r="E53" s="425">
        <v>39174</v>
      </c>
      <c r="F53" s="425">
        <v>39175</v>
      </c>
      <c r="G53" s="9">
        <f t="shared" si="0"/>
        <v>1.0384615384615385</v>
      </c>
      <c r="H53" s="378">
        <f t="shared" si="1"/>
        <v>36</v>
      </c>
      <c r="I53" s="194">
        <f t="shared" ca="1" si="2"/>
        <v>2.2263450834879406E-2</v>
      </c>
      <c r="J53" s="194">
        <f t="shared" ca="1" si="3"/>
        <v>2.3119737405451691E-2</v>
      </c>
      <c r="K53" s="378">
        <f t="shared" si="4"/>
        <v>35</v>
      </c>
      <c r="L53" s="194">
        <f t="shared" ca="1" si="5"/>
        <v>2.1021021021021023E-2</v>
      </c>
      <c r="M53" s="194">
        <f t="shared" ca="1" si="6"/>
        <v>2.1829521829521834E-2</v>
      </c>
    </row>
    <row r="54" spans="1:13">
      <c r="A54" s="421">
        <v>2</v>
      </c>
      <c r="B54" s="440" t="s">
        <v>770</v>
      </c>
      <c r="C54" s="424" t="s">
        <v>771</v>
      </c>
      <c r="D54" s="425">
        <v>38934</v>
      </c>
      <c r="E54" s="426">
        <v>39203</v>
      </c>
      <c r="F54" s="425">
        <v>39211</v>
      </c>
      <c r="G54" s="9">
        <f>IF(AND(NOT(ISBLANK(D54)),ISNUMBER(D54),     NOT(ISBLANK(E54)),ISNUMBER(E54),     NOT(ISBLANK(F54)),ISNUMBER(F54)),NETWORKDAYS(D54,F54)/NETWORKDAYS(D54,E54),"Not Used")</f>
        <v>1.03125</v>
      </c>
      <c r="H54" s="378">
        <f t="shared" si="1"/>
        <v>277</v>
      </c>
      <c r="I54" s="194">
        <f ca="1">IF(ISNUMBER(H54), H54 / $C$28, "Not Used")</f>
        <v>0.17130488559059986</v>
      </c>
      <c r="J54" s="194">
        <f ca="1">IF(ISNUMBER(G54), G54 * I54, "Not Used")</f>
        <v>0.17665816326530612</v>
      </c>
      <c r="K54" s="378">
        <f t="shared" si="4"/>
        <v>269</v>
      </c>
      <c r="L54" s="194">
        <f ca="1">IF(ISNUMBER(K54), K54 / $C$29, "Not Used")</f>
        <v>0.16156156156156157</v>
      </c>
      <c r="M54" s="194">
        <f ca="1">IF(ISNUMBER(G54), G54 * L54, "Not Used")</f>
        <v>0.16661036036036037</v>
      </c>
    </row>
    <row r="55" spans="1:13">
      <c r="A55" s="422"/>
      <c r="B55" s="438"/>
      <c r="C55" s="424" t="s">
        <v>772</v>
      </c>
      <c r="D55" s="425">
        <v>39000</v>
      </c>
      <c r="E55" s="426">
        <v>39203</v>
      </c>
      <c r="F55" s="425">
        <v>39183</v>
      </c>
      <c r="G55" s="9">
        <f>IF(AND(NOT(ISBLANK(D55)),ISNUMBER(D55),     NOT(ISBLANK(E55)),ISNUMBER(E55),     NOT(ISBLANK(F55)),ISNUMBER(F55)),NETWORKDAYS(D55,F55)/NETWORKDAYS(D55,E55),"Not Used")</f>
        <v>0.90410958904109584</v>
      </c>
      <c r="H55" s="378">
        <f t="shared" si="1"/>
        <v>183</v>
      </c>
      <c r="I55" s="194">
        <f ca="1">IF(ISNUMBER(H55), H55 / $C$28, "Not Used")</f>
        <v>0.11317254174397032</v>
      </c>
      <c r="J55" s="194">
        <f ca="1">IF(ISNUMBER(G55), G55 * I55, "Not Used")</f>
        <v>0.10232038020687727</v>
      </c>
      <c r="K55" s="378">
        <f t="shared" si="4"/>
        <v>203</v>
      </c>
      <c r="L55" s="194">
        <f ca="1">IF(ISNUMBER(K55), K55 / $C$29, "Not Used")</f>
        <v>0.12192192192192192</v>
      </c>
      <c r="M55" s="194">
        <f ca="1">IF(ISNUMBER(G55), G55 * L55, "Not Used")</f>
        <v>0.1102307787239294</v>
      </c>
    </row>
    <row r="56" spans="1:13">
      <c r="A56" s="422"/>
      <c r="B56" s="438"/>
      <c r="C56" s="424" t="s">
        <v>773</v>
      </c>
      <c r="D56" s="425">
        <v>39177</v>
      </c>
      <c r="E56" s="425">
        <v>39203</v>
      </c>
      <c r="F56" s="425">
        <v>39197</v>
      </c>
      <c r="G56" s="9">
        <f>IF(AND(NOT(ISBLANK(D56)),ISNUMBER(D56),     NOT(ISBLANK(E56)),ISNUMBER(E56),     NOT(ISBLANK(F56)),ISNUMBER(F56)),NETWORKDAYS(D56,F56)/NETWORKDAYS(D56,E56),"Not Used")</f>
        <v>0.78947368421052633</v>
      </c>
      <c r="H56" s="378">
        <f t="shared" si="1"/>
        <v>20</v>
      </c>
      <c r="I56" s="194">
        <f ca="1">IF(ISNUMBER(H56), H56 / $C$28, "Not Used")</f>
        <v>1.2368583797155226E-2</v>
      </c>
      <c r="J56" s="194">
        <f ca="1">IF(ISNUMBER(G56), G56 * I56, "Not Used")</f>
        <v>9.7646714188067574E-3</v>
      </c>
      <c r="K56" s="378">
        <f t="shared" si="4"/>
        <v>26</v>
      </c>
      <c r="L56" s="194">
        <f ca="1">IF(ISNUMBER(K56), K56 / $C$29, "Not Used")</f>
        <v>1.5615615615615615E-2</v>
      </c>
      <c r="M56" s="194">
        <f ca="1">IF(ISNUMBER(G56), G56 * L56, "Not Used")</f>
        <v>1.2328117591275486E-2</v>
      </c>
    </row>
    <row r="57" spans="1:13">
      <c r="A57" s="423"/>
      <c r="B57" s="439"/>
      <c r="C57" s="424" t="s">
        <v>774</v>
      </c>
      <c r="D57" s="425">
        <v>39189</v>
      </c>
      <c r="E57" s="425">
        <v>39203</v>
      </c>
      <c r="F57" s="425">
        <v>39203</v>
      </c>
      <c r="G57" s="9">
        <f>IF(AND(NOT(ISBLANK(D57)),ISNUMBER(D57),     NOT(ISBLANK(E57)),ISNUMBER(E57),     NOT(ISBLANK(F57)),ISNUMBER(F57)),NETWORKDAYS(D57,F57)/NETWORKDAYS(D57,E57),"Not Used")</f>
        <v>1</v>
      </c>
      <c r="H57" s="378">
        <f t="shared" si="1"/>
        <v>14</v>
      </c>
      <c r="I57" s="194">
        <f ca="1">IF(ISNUMBER(H57), H57 / $C$28, "Not Used")</f>
        <v>8.658008658008658E-3</v>
      </c>
      <c r="J57" s="194">
        <f ca="1">IF(ISNUMBER(G57), G57 * I57, "Not Used")</f>
        <v>8.658008658008658E-3</v>
      </c>
      <c r="K57" s="378">
        <f t="shared" si="4"/>
        <v>14</v>
      </c>
      <c r="L57" s="194">
        <f ca="1">IF(ISNUMBER(K57), K57 / $C$29, "Not Used")</f>
        <v>8.4084084084084087E-3</v>
      </c>
      <c r="M57" s="194">
        <f ca="1">IF(ISNUMBER(G57), G57 * L57, "Not Used")</f>
        <v>8.4084084084084087E-3</v>
      </c>
    </row>
  </sheetData>
  <mergeCells count="8">
    <mergeCell ref="A45:A49"/>
    <mergeCell ref="B45:B49"/>
    <mergeCell ref="A50:A53"/>
    <mergeCell ref="B50:B53"/>
    <mergeCell ref="A34:A35"/>
    <mergeCell ref="B34:B35"/>
    <mergeCell ref="A36:A41"/>
    <mergeCell ref="B36:B41"/>
  </mergeCells>
  <dataValidations count="2">
    <dataValidation allowBlank="1" showInputMessage="1" showErrorMessage="1" errorTitle="Input Invalid" error="Selection must be from drop down list." sqref="E33:F33 D34:F57"/>
    <dataValidation type="list" allowBlank="1" showDropDown="1" showInputMessage="1" errorTitle="Input Invalid" error="Selection must be from drop down list." sqref="D33">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24.xml><?xml version="1.0" encoding="utf-8"?>
<worksheet xmlns="http://schemas.openxmlformats.org/spreadsheetml/2006/main" xmlns:r="http://schemas.openxmlformats.org/officeDocument/2006/relationships">
  <sheetPr codeName="Sheet24"/>
  <dimension ref="A1:O53"/>
  <sheetViews>
    <sheetView workbookViewId="0">
      <selection activeCell="A2" sqref="A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0" t="s">
        <v>421</v>
      </c>
      <c r="C4" s="350" t="s">
        <v>715</v>
      </c>
    </row>
    <row r="5" spans="1:3">
      <c r="B5" s="350" t="s">
        <v>422</v>
      </c>
      <c r="C5" t="str">
        <f>Survey_Period</f>
        <v>2007 H1</v>
      </c>
    </row>
    <row r="6" spans="1:3">
      <c r="B6" s="350" t="s">
        <v>716</v>
      </c>
      <c r="C6" s="350" t="s">
        <v>776</v>
      </c>
    </row>
    <row r="7" spans="1:3">
      <c r="B7" s="350" t="s">
        <v>717</v>
      </c>
      <c r="C7" s="350" t="s">
        <v>743</v>
      </c>
    </row>
    <row r="11" spans="1:3">
      <c r="B11" s="350" t="s">
        <v>21</v>
      </c>
      <c r="C11" s="350" t="s">
        <v>48</v>
      </c>
    </row>
    <row r="12" spans="1:3">
      <c r="B12" s="350" t="s">
        <v>51</v>
      </c>
      <c r="C12" s="350" t="s">
        <v>334</v>
      </c>
    </row>
    <row r="13" spans="1:3">
      <c r="B13" s="350" t="s">
        <v>425</v>
      </c>
      <c r="C13">
        <v>35</v>
      </c>
    </row>
    <row r="14" spans="1:3">
      <c r="B14" s="350" t="s">
        <v>426</v>
      </c>
      <c r="C14">
        <v>42</v>
      </c>
    </row>
    <row r="15" spans="1:3">
      <c r="B15" s="350" t="s">
        <v>427</v>
      </c>
      <c r="C15">
        <v>7</v>
      </c>
    </row>
    <row r="16" spans="1:3">
      <c r="B16" s="350" t="s">
        <v>428</v>
      </c>
      <c r="C16">
        <v>7</v>
      </c>
    </row>
    <row r="24" spans="1:15">
      <c r="B24" s="350" t="s">
        <v>718</v>
      </c>
      <c r="C24" s="9">
        <f ca="1">SUM(INDIRECT(ADDRESS($C$13, 13, TRUE)):INDIRECT(ADDRESS($C$14, 13, TRUE)))</f>
        <v>1</v>
      </c>
    </row>
    <row r="25" spans="1:15">
      <c r="B25" s="350" t="s">
        <v>719</v>
      </c>
      <c r="C25" s="9">
        <f ca="1">SUM(INDIRECT(ADDRESS($C$13, 10, TRUE)):INDIRECT(ADDRESS($C$14, 10, TRUE)))</f>
        <v>1</v>
      </c>
    </row>
    <row r="26" spans="1:15">
      <c r="B26" s="350" t="s">
        <v>720</v>
      </c>
      <c r="C26" s="9">
        <f ca="1">AVERAGE(INDIRECT(ADDRESS($C$13, $C$15, TRUE)):INDIRECT(ADDRESS($C$14, $C$16, TRUE)))</f>
        <v>1</v>
      </c>
    </row>
    <row r="27" spans="1:15">
      <c r="B27" s="350" t="s">
        <v>721</v>
      </c>
      <c r="C27" s="378">
        <f>$C$14 - $C$13 + 1</f>
        <v>8</v>
      </c>
    </row>
    <row r="28" spans="1:15">
      <c r="B28" s="350" t="s">
        <v>722</v>
      </c>
      <c r="C28" s="378">
        <f ca="1">SUM(INDIRECT(ADDRESS($C$13, 8, TRUE)):INDIRECT(ADDRESS($C$14, 8, TRUE)))</f>
        <v>1026</v>
      </c>
    </row>
    <row r="29" spans="1:15">
      <c r="B29" s="350" t="s">
        <v>723</v>
      </c>
      <c r="C29" s="378">
        <f ca="1">SUM(INDIRECT(ADDRESS($C$13, 11, TRUE)):INDIRECT(ADDRESS($C$14, 11, TRUE)))</f>
        <v>1026</v>
      </c>
    </row>
    <row r="30" spans="1:15" ht="18.75">
      <c r="A30" s="394"/>
      <c r="B30" s="395" t="s">
        <v>247</v>
      </c>
      <c r="C30" s="396"/>
      <c r="D30" s="396"/>
      <c r="E30" s="396"/>
      <c r="F30" s="396"/>
      <c r="G30" s="453"/>
      <c r="H30" s="396"/>
      <c r="I30" s="396"/>
      <c r="J30" s="396"/>
      <c r="K30" s="396"/>
      <c r="L30" s="444"/>
      <c r="M30" s="396"/>
      <c r="N30" s="396"/>
      <c r="O30" s="12"/>
    </row>
    <row r="31" spans="1:15">
      <c r="A31" s="399"/>
      <c r="B31" s="400" t="s">
        <v>48</v>
      </c>
      <c r="C31" s="401"/>
      <c r="D31" s="401"/>
      <c r="E31" s="401"/>
      <c r="F31" s="401"/>
      <c r="G31" s="454"/>
      <c r="H31" s="401"/>
      <c r="I31" s="401"/>
      <c r="J31" s="401"/>
      <c r="K31" s="401"/>
      <c r="L31" s="445"/>
      <c r="M31" s="401"/>
      <c r="N31" s="401"/>
      <c r="O31" s="350"/>
    </row>
    <row r="32" spans="1:15">
      <c r="A32" s="404"/>
      <c r="B32" s="405" t="s">
        <v>777</v>
      </c>
      <c r="C32" s="406"/>
      <c r="D32" s="406"/>
      <c r="E32" s="406"/>
      <c r="F32" s="406"/>
      <c r="G32" s="455"/>
      <c r="H32" s="406"/>
      <c r="I32" s="406"/>
      <c r="J32" s="406"/>
      <c r="K32" s="406"/>
      <c r="L32" s="446"/>
      <c r="M32" s="406"/>
      <c r="N32" s="406"/>
      <c r="O32" s="350"/>
    </row>
    <row r="33" spans="1:13" ht="45">
      <c r="A33" s="447" t="s">
        <v>683</v>
      </c>
      <c r="B33" s="448" t="s">
        <v>684</v>
      </c>
      <c r="C33" s="447" t="s">
        <v>685</v>
      </c>
      <c r="D33" s="447" t="s">
        <v>686</v>
      </c>
      <c r="E33" s="449" t="s">
        <v>687</v>
      </c>
      <c r="F33" s="449" t="s">
        <v>688</v>
      </c>
      <c r="G33" s="379" t="s">
        <v>720</v>
      </c>
      <c r="H33" s="380" t="s">
        <v>722</v>
      </c>
      <c r="I33" s="380" t="s">
        <v>724</v>
      </c>
      <c r="J33" s="380" t="s">
        <v>719</v>
      </c>
      <c r="K33" s="380" t="s">
        <v>723</v>
      </c>
      <c r="L33" s="380" t="s">
        <v>725</v>
      </c>
      <c r="M33" s="380" t="s">
        <v>718</v>
      </c>
    </row>
    <row r="34" spans="1:13">
      <c r="A34" s="413"/>
      <c r="B34" s="414"/>
      <c r="C34" s="415"/>
      <c r="D34" s="415"/>
      <c r="E34" s="416"/>
      <c r="F34" s="416"/>
      <c r="G34" s="9" t="str">
        <f t="shared" ref="G34:G42" si="0">IF(AND(NOT(ISBLANK(D34)),ISNUMBER(D34),     NOT(ISBLANK(E34)),ISNUMBER(E34),     NOT(ISBLANK(F34)),ISNUMBER(F34)),NETWORKDAYS(D34,F34)/NETWORKDAYS(D34,E34),"Not Used")</f>
        <v>Not Used</v>
      </c>
      <c r="H34" s="378" t="str">
        <f t="shared" ref="H34:H42" si="1">IF(AND(ISNUMBER(F34), ISNUMBER(D34)), F34 - D34, "Not Used")</f>
        <v>Not Used</v>
      </c>
      <c r="I34" s="194" t="str">
        <f t="shared" ref="I34:I42" si="2">IF(ISNUMBER(H34), H34 / $C$28, "Not Used")</f>
        <v>Not Used</v>
      </c>
      <c r="J34" s="194" t="str">
        <f t="shared" ref="J34:J42" si="3">IF(ISNUMBER(G34), G34 * I34, "Not Used")</f>
        <v>Not Used</v>
      </c>
      <c r="K34" s="378" t="str">
        <f t="shared" ref="K34:K42" si="4">IF(AND(ISNUMBER(E34), ISNUMBER(D34)), E34 - D34, "Not Used")</f>
        <v>Not Used</v>
      </c>
      <c r="L34" s="194" t="str">
        <f t="shared" ref="L34:L42" si="5">IF(ISNUMBER(K34), K34 / $C$29, "Not Used")</f>
        <v>Not Used</v>
      </c>
      <c r="M34" s="194" t="str">
        <f t="shared" ref="M34:M42" si="6">IF(ISNUMBER(G34), G34 * L34, "Not Used")</f>
        <v>Not Used</v>
      </c>
    </row>
    <row r="35" spans="1:13" ht="56.25">
      <c r="A35" s="417">
        <f t="shared" ref="A35:A42" ca="1" si="7">INDIRECT(ADDRESS(ROW(A35)-1,COLUMN(A35)))+1</f>
        <v>1</v>
      </c>
      <c r="B35" s="419" t="s">
        <v>778</v>
      </c>
      <c r="C35" s="450" t="s">
        <v>779</v>
      </c>
      <c r="D35" s="451">
        <v>38869</v>
      </c>
      <c r="E35" s="418">
        <v>39100</v>
      </c>
      <c r="F35" s="418">
        <v>39100</v>
      </c>
      <c r="G35" s="9">
        <f t="shared" si="0"/>
        <v>1</v>
      </c>
      <c r="H35" s="378">
        <f t="shared" si="1"/>
        <v>231</v>
      </c>
      <c r="I35" s="194">
        <f t="shared" ca="1" si="2"/>
        <v>0.22514619883040934</v>
      </c>
      <c r="J35" s="194">
        <f t="shared" ca="1" si="3"/>
        <v>0.22514619883040934</v>
      </c>
      <c r="K35" s="378">
        <f t="shared" si="4"/>
        <v>231</v>
      </c>
      <c r="L35" s="194">
        <f t="shared" ca="1" si="5"/>
        <v>0.22514619883040934</v>
      </c>
      <c r="M35" s="194">
        <f t="shared" ca="1" si="6"/>
        <v>0.22514619883040934</v>
      </c>
    </row>
    <row r="36" spans="1:13" ht="33.75">
      <c r="A36" s="417">
        <f t="shared" ca="1" si="7"/>
        <v>2</v>
      </c>
      <c r="B36" s="419" t="s">
        <v>780</v>
      </c>
      <c r="C36" s="419" t="s">
        <v>781</v>
      </c>
      <c r="D36" s="418">
        <v>38838</v>
      </c>
      <c r="E36" s="418">
        <v>39121</v>
      </c>
      <c r="F36" s="418">
        <v>39121</v>
      </c>
      <c r="G36" s="9">
        <f t="shared" si="0"/>
        <v>1</v>
      </c>
      <c r="H36" s="378">
        <f t="shared" si="1"/>
        <v>283</v>
      </c>
      <c r="I36" s="194">
        <f t="shared" ca="1" si="2"/>
        <v>0.27582846003898637</v>
      </c>
      <c r="J36" s="194">
        <f t="shared" ca="1" si="3"/>
        <v>0.27582846003898637</v>
      </c>
      <c r="K36" s="378">
        <f t="shared" si="4"/>
        <v>283</v>
      </c>
      <c r="L36" s="194">
        <f t="shared" ca="1" si="5"/>
        <v>0.27582846003898637</v>
      </c>
      <c r="M36" s="194">
        <f t="shared" ca="1" si="6"/>
        <v>0.27582846003898637</v>
      </c>
    </row>
    <row r="37" spans="1:13" ht="22.5">
      <c r="A37" s="417">
        <f t="shared" ca="1" si="7"/>
        <v>3</v>
      </c>
      <c r="B37" s="419" t="s">
        <v>782</v>
      </c>
      <c r="C37" s="419" t="s">
        <v>783</v>
      </c>
      <c r="D37" s="451">
        <v>39006</v>
      </c>
      <c r="E37" s="418">
        <v>39142</v>
      </c>
      <c r="F37" s="418">
        <v>39142</v>
      </c>
      <c r="G37" s="9">
        <f t="shared" si="0"/>
        <v>1</v>
      </c>
      <c r="H37" s="378">
        <f t="shared" si="1"/>
        <v>136</v>
      </c>
      <c r="I37" s="194">
        <f t="shared" ca="1" si="2"/>
        <v>0.13255360623781676</v>
      </c>
      <c r="J37" s="194">
        <f t="shared" ca="1" si="3"/>
        <v>0.13255360623781676</v>
      </c>
      <c r="K37" s="378">
        <f t="shared" si="4"/>
        <v>136</v>
      </c>
      <c r="L37" s="194">
        <f t="shared" ca="1" si="5"/>
        <v>0.13255360623781676</v>
      </c>
      <c r="M37" s="194">
        <f t="shared" ca="1" si="6"/>
        <v>0.13255360623781676</v>
      </c>
    </row>
    <row r="38" spans="1:13" ht="22.5">
      <c r="A38" s="417">
        <f t="shared" ca="1" si="7"/>
        <v>4</v>
      </c>
      <c r="B38" s="419" t="s">
        <v>784</v>
      </c>
      <c r="C38" s="450" t="s">
        <v>785</v>
      </c>
      <c r="D38" s="451">
        <v>39097</v>
      </c>
      <c r="E38" s="451">
        <v>39149</v>
      </c>
      <c r="F38" s="451">
        <v>39149</v>
      </c>
      <c r="G38" s="9">
        <f t="shared" si="0"/>
        <v>1</v>
      </c>
      <c r="H38" s="378">
        <f t="shared" si="1"/>
        <v>52</v>
      </c>
      <c r="I38" s="194">
        <f t="shared" ca="1" si="2"/>
        <v>5.0682261208576995E-2</v>
      </c>
      <c r="J38" s="194">
        <f t="shared" ca="1" si="3"/>
        <v>5.0682261208576995E-2</v>
      </c>
      <c r="K38" s="378">
        <f t="shared" si="4"/>
        <v>52</v>
      </c>
      <c r="L38" s="194">
        <f t="shared" ca="1" si="5"/>
        <v>5.0682261208576995E-2</v>
      </c>
      <c r="M38" s="194">
        <f t="shared" ca="1" si="6"/>
        <v>5.0682261208576995E-2</v>
      </c>
    </row>
    <row r="39" spans="1:13" ht="33.75">
      <c r="A39" s="417">
        <f t="shared" ca="1" si="7"/>
        <v>5</v>
      </c>
      <c r="B39" s="419" t="s">
        <v>786</v>
      </c>
      <c r="C39" s="450" t="s">
        <v>787</v>
      </c>
      <c r="D39" s="451">
        <v>39122</v>
      </c>
      <c r="E39" s="418">
        <v>39175</v>
      </c>
      <c r="F39" s="418">
        <v>39175</v>
      </c>
      <c r="G39" s="9">
        <f t="shared" si="0"/>
        <v>1</v>
      </c>
      <c r="H39" s="378">
        <f t="shared" si="1"/>
        <v>53</v>
      </c>
      <c r="I39" s="194">
        <f t="shared" ca="1" si="2"/>
        <v>5.1656920077972707E-2</v>
      </c>
      <c r="J39" s="194">
        <f t="shared" ca="1" si="3"/>
        <v>5.1656920077972707E-2</v>
      </c>
      <c r="K39" s="378">
        <f t="shared" si="4"/>
        <v>53</v>
      </c>
      <c r="L39" s="194">
        <f t="shared" ca="1" si="5"/>
        <v>5.1656920077972707E-2</v>
      </c>
      <c r="M39" s="194">
        <f t="shared" ca="1" si="6"/>
        <v>5.1656920077972707E-2</v>
      </c>
    </row>
    <row r="40" spans="1:13" ht="22.5">
      <c r="A40" s="417">
        <f t="shared" ca="1" si="7"/>
        <v>6</v>
      </c>
      <c r="B40" s="419" t="s">
        <v>788</v>
      </c>
      <c r="C40" s="419" t="s">
        <v>789</v>
      </c>
      <c r="D40" s="418">
        <v>39125</v>
      </c>
      <c r="E40" s="418">
        <v>39178</v>
      </c>
      <c r="F40" s="418">
        <v>39178</v>
      </c>
      <c r="G40" s="9">
        <f t="shared" si="0"/>
        <v>1</v>
      </c>
      <c r="H40" s="378">
        <f t="shared" si="1"/>
        <v>53</v>
      </c>
      <c r="I40" s="194">
        <f t="shared" ca="1" si="2"/>
        <v>5.1656920077972707E-2</v>
      </c>
      <c r="J40" s="194">
        <f t="shared" ca="1" si="3"/>
        <v>5.1656920077972707E-2</v>
      </c>
      <c r="K40" s="378">
        <f t="shared" si="4"/>
        <v>53</v>
      </c>
      <c r="L40" s="194">
        <f t="shared" ca="1" si="5"/>
        <v>5.1656920077972707E-2</v>
      </c>
      <c r="M40" s="194">
        <f t="shared" ca="1" si="6"/>
        <v>5.1656920077972707E-2</v>
      </c>
    </row>
    <row r="41" spans="1:13" ht="33.75">
      <c r="A41" s="417">
        <f t="shared" ca="1" si="7"/>
        <v>7</v>
      </c>
      <c r="B41" s="419" t="s">
        <v>790</v>
      </c>
      <c r="C41" s="452" t="s">
        <v>791</v>
      </c>
      <c r="D41" s="418">
        <v>39133</v>
      </c>
      <c r="E41" s="418">
        <v>39219</v>
      </c>
      <c r="F41" s="418">
        <v>39219</v>
      </c>
      <c r="G41" s="9">
        <f t="shared" si="0"/>
        <v>1</v>
      </c>
      <c r="H41" s="378">
        <f t="shared" si="1"/>
        <v>86</v>
      </c>
      <c r="I41" s="194">
        <f t="shared" ca="1" si="2"/>
        <v>8.3820662768031184E-2</v>
      </c>
      <c r="J41" s="194">
        <f t="shared" ca="1" si="3"/>
        <v>8.3820662768031184E-2</v>
      </c>
      <c r="K41" s="378">
        <f t="shared" si="4"/>
        <v>86</v>
      </c>
      <c r="L41" s="194">
        <f t="shared" ca="1" si="5"/>
        <v>8.3820662768031184E-2</v>
      </c>
      <c r="M41" s="194">
        <f t="shared" ca="1" si="6"/>
        <v>8.3820662768031184E-2</v>
      </c>
    </row>
    <row r="42" spans="1:13" ht="33.75">
      <c r="A42" s="417">
        <f t="shared" ca="1" si="7"/>
        <v>8</v>
      </c>
      <c r="B42" s="419" t="s">
        <v>792</v>
      </c>
      <c r="C42" s="450" t="s">
        <v>793</v>
      </c>
      <c r="D42" s="451">
        <v>39101</v>
      </c>
      <c r="E42" s="418">
        <v>39233</v>
      </c>
      <c r="F42" s="418">
        <v>39233</v>
      </c>
      <c r="G42" s="9">
        <f t="shared" si="0"/>
        <v>1</v>
      </c>
      <c r="H42" s="378">
        <f t="shared" si="1"/>
        <v>132</v>
      </c>
      <c r="I42" s="194">
        <f t="shared" ca="1" si="2"/>
        <v>0.12865497076023391</v>
      </c>
      <c r="J42" s="194">
        <f t="shared" ca="1" si="3"/>
        <v>0.12865497076023391</v>
      </c>
      <c r="K42" s="378">
        <f t="shared" si="4"/>
        <v>132</v>
      </c>
      <c r="L42" s="194">
        <f t="shared" ca="1" si="5"/>
        <v>0.12865497076023391</v>
      </c>
      <c r="M42" s="194">
        <f t="shared" ca="1" si="6"/>
        <v>0.12865497076023391</v>
      </c>
    </row>
    <row r="43" spans="1:13">
      <c r="G43"/>
    </row>
    <row r="44" spans="1:13">
      <c r="G44"/>
    </row>
    <row r="45" spans="1:13">
      <c r="G45"/>
    </row>
    <row r="46" spans="1:13">
      <c r="G46"/>
    </row>
    <row r="47" spans="1:13">
      <c r="G47"/>
    </row>
    <row r="48" spans="1:13">
      <c r="G48"/>
    </row>
    <row r="49" spans="7:7">
      <c r="G49"/>
    </row>
    <row r="50" spans="7:7">
      <c r="G50"/>
    </row>
    <row r="51" spans="7:7">
      <c r="G51"/>
    </row>
    <row r="52" spans="7:7">
      <c r="G52"/>
    </row>
    <row r="53" spans="7:7">
      <c r="G53"/>
    </row>
  </sheetData>
  <dataValidations count="3">
    <dataValidation type="list" allowBlank="1" showDropDown="1" showInputMessage="1" errorTitle="Input Invalid" error="Selection must be from drop down list." sqref="D33">
      <formula1>#REF!</formula1>
    </dataValidation>
    <dataValidation type="list" allowBlank="1" showInputMessage="1" showErrorMessage="1" errorTitle="Input Invalid" error="Selection must be from drop down list." sqref="D34">
      <formula1>#REF!</formula1>
    </dataValidation>
    <dataValidation allowBlank="1" showInputMessage="1" showErrorMessage="1" errorTitle="Input Invalid" error="Selection must be from drop down list." sqref="E33:F34 D35:F42"/>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25.xml><?xml version="1.0" encoding="utf-8"?>
<worksheet xmlns="http://schemas.openxmlformats.org/spreadsheetml/2006/main" xmlns:r="http://schemas.openxmlformats.org/officeDocument/2006/relationships">
  <sheetPr codeName="Sheet25"/>
  <dimension ref="A1:HE58"/>
  <sheetViews>
    <sheetView workbookViewId="0">
      <selection activeCell="A2" sqref="A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0" t="s">
        <v>421</v>
      </c>
      <c r="C4" s="350" t="s">
        <v>715</v>
      </c>
    </row>
    <row r="5" spans="1:3">
      <c r="B5" s="350" t="s">
        <v>422</v>
      </c>
      <c r="C5" t="str">
        <f>Survey_Period</f>
        <v>2007 H1</v>
      </c>
    </row>
    <row r="6" spans="1:3">
      <c r="B6" s="350" t="s">
        <v>716</v>
      </c>
      <c r="C6" s="350" t="s">
        <v>795</v>
      </c>
    </row>
    <row r="7" spans="1:3">
      <c r="B7" s="350" t="s">
        <v>717</v>
      </c>
      <c r="C7" s="350" t="s">
        <v>10</v>
      </c>
    </row>
    <row r="11" spans="1:3">
      <c r="B11" s="350" t="s">
        <v>21</v>
      </c>
      <c r="C11" s="350" t="s">
        <v>18</v>
      </c>
    </row>
    <row r="12" spans="1:3">
      <c r="B12" s="350" t="s">
        <v>51</v>
      </c>
      <c r="C12" s="350" t="s">
        <v>10</v>
      </c>
    </row>
    <row r="13" spans="1:3">
      <c r="B13" s="350" t="s">
        <v>425</v>
      </c>
      <c r="C13">
        <v>34</v>
      </c>
    </row>
    <row r="14" spans="1:3">
      <c r="B14" s="350" t="s">
        <v>426</v>
      </c>
      <c r="C14">
        <v>51</v>
      </c>
    </row>
    <row r="15" spans="1:3">
      <c r="B15" s="350" t="s">
        <v>427</v>
      </c>
      <c r="C15">
        <v>7</v>
      </c>
    </row>
    <row r="16" spans="1:3">
      <c r="B16" s="350" t="s">
        <v>428</v>
      </c>
      <c r="C16">
        <v>7</v>
      </c>
    </row>
    <row r="24" spans="1:213">
      <c r="B24" s="350" t="s">
        <v>718</v>
      </c>
      <c r="C24" s="9">
        <f ca="1">SUM(INDIRECT(ADDRESS($C$13, 13, TRUE)):INDIRECT(ADDRESS($C$14, 13, TRUE)))</f>
        <v>0.99800463528024264</v>
      </c>
    </row>
    <row r="25" spans="1:213">
      <c r="B25" s="350" t="s">
        <v>719</v>
      </c>
      <c r="C25" s="9">
        <f ca="1">SUM(INDIRECT(ADDRESS($C$13, 10, TRUE)):INDIRECT(ADDRESS($C$14, 10, TRUE)))</f>
        <v>0.9981731647516946</v>
      </c>
    </row>
    <row r="26" spans="1:213">
      <c r="B26" s="350" t="s">
        <v>720</v>
      </c>
      <c r="C26" s="9">
        <f ca="1">AVERAGE(INDIRECT(ADDRESS($C$13, $C$15, TRUE)):INDIRECT(ADDRESS($C$14, $C$16, TRUE)))</f>
        <v>0.98701298701298712</v>
      </c>
    </row>
    <row r="27" spans="1:213">
      <c r="B27" s="350" t="s">
        <v>721</v>
      </c>
      <c r="C27" s="378">
        <f>$C$14 - $C$13 + 1</f>
        <v>18</v>
      </c>
    </row>
    <row r="28" spans="1:213">
      <c r="B28" s="350" t="s">
        <v>722</v>
      </c>
      <c r="C28" s="378">
        <f ca="1">SUM(INDIRECT(ADDRESS($C$13, 8, TRUE)):INDIRECT(ADDRESS($C$14, 8, TRUE)))</f>
        <v>1891</v>
      </c>
    </row>
    <row r="29" spans="1:213" ht="13.5" thickBot="1">
      <c r="B29" s="350" t="s">
        <v>723</v>
      </c>
      <c r="C29" s="378">
        <f ca="1">SUM(INDIRECT(ADDRESS($C$13, 11, TRUE)):INDIRECT(ADDRESS($C$14, 11, TRUE)))</f>
        <v>1894</v>
      </c>
    </row>
    <row r="30" spans="1:213" ht="23.25">
      <c r="A30" s="456"/>
      <c r="B30" s="457"/>
      <c r="C30" s="458"/>
      <c r="D30" s="457"/>
      <c r="E30" s="457"/>
      <c r="F30" s="457"/>
      <c r="G30" s="485" t="s">
        <v>796</v>
      </c>
      <c r="H30" s="459"/>
      <c r="I30" s="460"/>
      <c r="J30" s="457"/>
      <c r="K30" s="784" t="s">
        <v>797</v>
      </c>
      <c r="L30" s="785"/>
      <c r="M30" s="786"/>
      <c r="N30" s="787" t="s">
        <v>798</v>
      </c>
      <c r="O30" s="788"/>
      <c r="P30" s="461"/>
      <c r="Q30" s="12"/>
      <c r="R30" s="12"/>
      <c r="S30" s="12"/>
      <c r="T30" s="12"/>
      <c r="U30" s="12"/>
      <c r="V30" s="12"/>
      <c r="W30" s="12"/>
      <c r="X30" s="12"/>
      <c r="Y30" s="12"/>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c r="EA30" s="12"/>
      <c r="EB30" s="12"/>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2"/>
      <c r="FC30" s="12"/>
      <c r="FD30" s="12"/>
      <c r="FE30" s="12"/>
      <c r="FF30" s="12"/>
      <c r="FG30" s="12"/>
      <c r="FH30" s="12"/>
      <c r="FI30" s="12"/>
      <c r="FJ30" s="12"/>
      <c r="FK30" s="12"/>
      <c r="FL30" s="12"/>
      <c r="FM30" s="12"/>
      <c r="FN30" s="12"/>
      <c r="FO30" s="12"/>
      <c r="FP30" s="12"/>
      <c r="FQ30" s="12"/>
      <c r="FR30" s="12"/>
      <c r="FS30" s="12"/>
      <c r="FT30" s="12"/>
      <c r="FU30" s="12"/>
      <c r="FV30" s="12"/>
      <c r="FW30" s="12"/>
      <c r="FX30" s="12"/>
      <c r="FY30" s="12"/>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row>
    <row r="31" spans="1:213" ht="15">
      <c r="A31" s="462" t="s">
        <v>799</v>
      </c>
      <c r="B31" s="463"/>
      <c r="C31" s="463"/>
      <c r="D31" s="463"/>
      <c r="E31" s="463"/>
      <c r="F31" s="463"/>
      <c r="G31" s="486" t="s">
        <v>18</v>
      </c>
      <c r="H31" s="463"/>
      <c r="I31" s="463"/>
      <c r="J31" s="463"/>
      <c r="K31" s="463"/>
      <c r="L31" s="463"/>
      <c r="M31" s="463"/>
      <c r="N31" s="789"/>
      <c r="O31" s="790"/>
      <c r="P31" s="13"/>
      <c r="Q31" s="350"/>
      <c r="R31" s="350"/>
      <c r="S31" s="350"/>
      <c r="T31" s="350"/>
      <c r="U31" s="350"/>
      <c r="V31" s="350"/>
      <c r="W31" s="350"/>
      <c r="X31" s="350"/>
      <c r="Y31" s="350"/>
      <c r="Z31" s="350"/>
      <c r="AA31" s="350"/>
      <c r="AB31" s="350"/>
      <c r="AC31" s="350"/>
      <c r="AD31" s="350"/>
      <c r="AE31" s="350"/>
      <c r="AF31" s="350"/>
      <c r="AG31" s="350"/>
      <c r="AH31" s="350"/>
      <c r="AI31" s="350"/>
      <c r="AJ31" s="350"/>
      <c r="AK31" s="350"/>
      <c r="AL31" s="350"/>
      <c r="AM31" s="350"/>
      <c r="AN31" s="350"/>
      <c r="AO31" s="350"/>
      <c r="AP31" s="350"/>
      <c r="AQ31" s="350"/>
      <c r="AR31" s="350"/>
      <c r="AS31" s="350"/>
      <c r="AT31" s="350"/>
      <c r="AU31" s="350"/>
      <c r="AV31" s="350"/>
      <c r="AW31" s="350"/>
      <c r="AX31" s="350"/>
      <c r="AY31" s="350"/>
      <c r="AZ31" s="350"/>
      <c r="BA31" s="350"/>
      <c r="BB31" s="350"/>
      <c r="BC31" s="350"/>
      <c r="BD31" s="350"/>
      <c r="BE31" s="350"/>
      <c r="BF31" s="350"/>
      <c r="BG31" s="350"/>
      <c r="BH31" s="350"/>
      <c r="BI31" s="350"/>
      <c r="BJ31" s="350"/>
      <c r="BK31" s="350"/>
      <c r="BL31" s="350"/>
      <c r="BM31" s="350"/>
      <c r="BN31" s="350"/>
      <c r="BO31" s="350"/>
      <c r="BP31" s="350"/>
      <c r="BQ31" s="350"/>
      <c r="BR31" s="350"/>
      <c r="BS31" s="350"/>
      <c r="BT31" s="350"/>
      <c r="BU31" s="350"/>
      <c r="BV31" s="350"/>
      <c r="BW31" s="350"/>
      <c r="BX31" s="350"/>
      <c r="BY31" s="350"/>
      <c r="BZ31" s="350"/>
      <c r="CA31" s="350"/>
      <c r="CB31" s="350"/>
      <c r="CC31" s="350"/>
      <c r="CD31" s="350"/>
      <c r="CE31" s="350"/>
      <c r="CF31" s="350"/>
      <c r="CG31" s="350"/>
      <c r="CH31" s="350"/>
      <c r="CI31" s="350"/>
      <c r="CJ31" s="350"/>
      <c r="CK31" s="350"/>
      <c r="CL31" s="350"/>
      <c r="CM31" s="350"/>
      <c r="CN31" s="350"/>
      <c r="CO31" s="350"/>
      <c r="CP31" s="350"/>
      <c r="CQ31" s="350"/>
      <c r="CR31" s="350"/>
      <c r="CS31" s="350"/>
      <c r="CT31" s="350"/>
      <c r="CU31" s="350"/>
      <c r="CV31" s="350"/>
      <c r="CW31" s="350"/>
      <c r="CX31" s="350"/>
      <c r="CY31" s="350"/>
      <c r="CZ31" s="350"/>
      <c r="DA31" s="350"/>
      <c r="DB31" s="350"/>
      <c r="DC31" s="350"/>
      <c r="DD31" s="350"/>
      <c r="DE31" s="350"/>
      <c r="DF31" s="350"/>
      <c r="DG31" s="350"/>
      <c r="DH31" s="350"/>
      <c r="DI31" s="350"/>
      <c r="DJ31" s="350"/>
      <c r="DK31" s="350"/>
      <c r="DL31" s="350"/>
      <c r="DM31" s="350"/>
      <c r="DN31" s="350"/>
      <c r="DO31" s="350"/>
      <c r="DP31" s="350"/>
      <c r="DQ31" s="350"/>
      <c r="DR31" s="350"/>
      <c r="DS31" s="350"/>
      <c r="DT31" s="350"/>
      <c r="DU31" s="350"/>
      <c r="DV31" s="350"/>
      <c r="DW31" s="350"/>
      <c r="DX31" s="350"/>
      <c r="DY31" s="350"/>
      <c r="DZ31" s="350"/>
      <c r="EA31" s="350"/>
      <c r="EB31" s="350"/>
      <c r="EC31" s="350"/>
      <c r="ED31" s="350"/>
      <c r="EE31" s="350"/>
      <c r="EF31" s="350"/>
      <c r="EG31" s="350"/>
      <c r="EH31" s="350"/>
      <c r="EI31" s="350"/>
      <c r="EJ31" s="350"/>
      <c r="EK31" s="350"/>
      <c r="EL31" s="350"/>
      <c r="EM31" s="350"/>
      <c r="EN31" s="350"/>
      <c r="EO31" s="350"/>
      <c r="EP31" s="350"/>
      <c r="EQ31" s="350"/>
      <c r="ER31" s="350"/>
      <c r="ES31" s="350"/>
      <c r="ET31" s="350"/>
      <c r="EU31" s="350"/>
      <c r="EV31" s="350"/>
      <c r="EW31" s="350"/>
      <c r="EX31" s="350"/>
      <c r="EY31" s="350"/>
      <c r="EZ31" s="350"/>
      <c r="FA31" s="350"/>
      <c r="FB31" s="350"/>
      <c r="FC31" s="350"/>
      <c r="FD31" s="350"/>
      <c r="FE31" s="350"/>
      <c r="FF31" s="350"/>
      <c r="FG31" s="350"/>
      <c r="FH31" s="350"/>
      <c r="FI31" s="350"/>
      <c r="FJ31" s="350"/>
      <c r="FK31" s="350"/>
      <c r="FL31" s="350"/>
      <c r="FM31" s="350"/>
      <c r="FN31" s="350"/>
      <c r="FO31" s="350"/>
      <c r="FP31" s="350"/>
      <c r="FQ31" s="350"/>
      <c r="FR31" s="350"/>
      <c r="FS31" s="350"/>
      <c r="FT31" s="350"/>
      <c r="FU31" s="350"/>
      <c r="FV31" s="350"/>
      <c r="FW31" s="350"/>
      <c r="FX31" s="350"/>
      <c r="FY31" s="350"/>
      <c r="FZ31" s="350"/>
      <c r="GA31" s="350"/>
      <c r="GB31" s="350"/>
      <c r="GC31" s="350"/>
      <c r="GD31" s="350"/>
      <c r="GE31" s="350"/>
      <c r="GF31" s="350"/>
      <c r="GG31" s="350"/>
      <c r="GH31" s="350"/>
      <c r="GI31" s="350"/>
      <c r="GJ31" s="350"/>
      <c r="GK31" s="350"/>
      <c r="GL31" s="350"/>
      <c r="GM31" s="350"/>
      <c r="GN31" s="350"/>
      <c r="GO31" s="350"/>
      <c r="GP31" s="350"/>
      <c r="GQ31" s="350"/>
      <c r="GR31" s="350"/>
      <c r="GS31" s="350"/>
      <c r="GT31" s="350"/>
      <c r="GU31" s="350"/>
      <c r="GV31" s="350"/>
      <c r="GW31" s="350"/>
      <c r="GX31" s="350"/>
      <c r="GY31" s="350"/>
      <c r="GZ31" s="350"/>
      <c r="HA31" s="350"/>
      <c r="HB31" s="350"/>
      <c r="HC31" s="350"/>
      <c r="HD31" s="350"/>
      <c r="HE31" s="350"/>
    </row>
    <row r="32" spans="1:213" ht="15.75" thickBot="1">
      <c r="A32" s="462" t="s">
        <v>800</v>
      </c>
      <c r="B32" s="463"/>
      <c r="C32" s="463"/>
      <c r="D32" s="463"/>
      <c r="E32" s="463"/>
      <c r="F32" s="463"/>
      <c r="G32" s="486" t="s">
        <v>801</v>
      </c>
      <c r="H32" s="463"/>
      <c r="I32" s="463"/>
      <c r="J32" s="463"/>
      <c r="K32" s="463"/>
      <c r="L32" s="463"/>
      <c r="M32" s="463"/>
      <c r="N32" s="791" t="s">
        <v>802</v>
      </c>
      <c r="O32" s="792"/>
      <c r="P32" s="13"/>
      <c r="Q32" s="350"/>
      <c r="R32" s="350"/>
      <c r="S32" s="350"/>
      <c r="T32" s="350"/>
      <c r="U32" s="350"/>
      <c r="V32" s="350"/>
      <c r="W32" s="350"/>
      <c r="X32" s="350"/>
      <c r="Y32" s="350"/>
      <c r="Z32" s="350"/>
      <c r="AA32" s="350"/>
      <c r="AB32" s="350"/>
      <c r="AC32" s="350"/>
      <c r="AD32" s="350"/>
      <c r="AE32" s="350"/>
      <c r="AF32" s="350"/>
      <c r="AG32" s="350"/>
      <c r="AH32" s="350"/>
      <c r="AI32" s="350"/>
      <c r="AJ32" s="350"/>
      <c r="AK32" s="350"/>
      <c r="AL32" s="350"/>
      <c r="AM32" s="350"/>
      <c r="AN32" s="350"/>
      <c r="AO32" s="350"/>
      <c r="AP32" s="350"/>
      <c r="AQ32" s="350"/>
      <c r="AR32" s="350"/>
      <c r="AS32" s="350"/>
      <c r="AT32" s="350"/>
      <c r="AU32" s="350"/>
      <c r="AV32" s="350"/>
      <c r="AW32" s="350"/>
      <c r="AX32" s="350"/>
      <c r="AY32" s="350"/>
      <c r="AZ32" s="350"/>
      <c r="BA32" s="350"/>
      <c r="BB32" s="350"/>
      <c r="BC32" s="350"/>
      <c r="BD32" s="350"/>
      <c r="BE32" s="350"/>
      <c r="BF32" s="350"/>
      <c r="BG32" s="350"/>
      <c r="BH32" s="350"/>
      <c r="BI32" s="350"/>
      <c r="BJ32" s="350"/>
      <c r="BK32" s="350"/>
      <c r="BL32" s="350"/>
      <c r="BM32" s="350"/>
      <c r="BN32" s="350"/>
      <c r="BO32" s="350"/>
      <c r="BP32" s="350"/>
      <c r="BQ32" s="350"/>
      <c r="BR32" s="350"/>
      <c r="BS32" s="350"/>
      <c r="BT32" s="350"/>
      <c r="BU32" s="350"/>
      <c r="BV32" s="350"/>
      <c r="BW32" s="350"/>
      <c r="BX32" s="350"/>
      <c r="BY32" s="350"/>
      <c r="BZ32" s="350"/>
      <c r="CA32" s="350"/>
      <c r="CB32" s="350"/>
      <c r="CC32" s="350"/>
      <c r="CD32" s="350"/>
      <c r="CE32" s="350"/>
      <c r="CF32" s="350"/>
      <c r="CG32" s="350"/>
      <c r="CH32" s="350"/>
      <c r="CI32" s="350"/>
      <c r="CJ32" s="350"/>
      <c r="CK32" s="350"/>
      <c r="CL32" s="350"/>
      <c r="CM32" s="350"/>
      <c r="CN32" s="350"/>
      <c r="CO32" s="350"/>
      <c r="CP32" s="350"/>
      <c r="CQ32" s="350"/>
      <c r="CR32" s="350"/>
      <c r="CS32" s="350"/>
      <c r="CT32" s="350"/>
      <c r="CU32" s="350"/>
      <c r="CV32" s="350"/>
      <c r="CW32" s="350"/>
      <c r="CX32" s="350"/>
      <c r="CY32" s="350"/>
      <c r="CZ32" s="350"/>
      <c r="DA32" s="350"/>
      <c r="DB32" s="350"/>
      <c r="DC32" s="350"/>
      <c r="DD32" s="350"/>
      <c r="DE32" s="350"/>
      <c r="DF32" s="350"/>
      <c r="DG32" s="350"/>
      <c r="DH32" s="350"/>
      <c r="DI32" s="350"/>
      <c r="DJ32" s="350"/>
      <c r="DK32" s="350"/>
      <c r="DL32" s="350"/>
      <c r="DM32" s="350"/>
      <c r="DN32" s="350"/>
      <c r="DO32" s="350"/>
      <c r="DP32" s="350"/>
      <c r="DQ32" s="350"/>
      <c r="DR32" s="350"/>
      <c r="DS32" s="350"/>
      <c r="DT32" s="350"/>
      <c r="DU32" s="350"/>
      <c r="DV32" s="350"/>
      <c r="DW32" s="350"/>
      <c r="DX32" s="350"/>
      <c r="DY32" s="350"/>
      <c r="DZ32" s="350"/>
      <c r="EA32" s="350"/>
      <c r="EB32" s="350"/>
      <c r="EC32" s="350"/>
      <c r="ED32" s="350"/>
      <c r="EE32" s="350"/>
      <c r="EF32" s="350"/>
      <c r="EG32" s="350"/>
      <c r="EH32" s="350"/>
      <c r="EI32" s="350"/>
      <c r="EJ32" s="350"/>
      <c r="EK32" s="350"/>
      <c r="EL32" s="350"/>
      <c r="EM32" s="350"/>
      <c r="EN32" s="350"/>
      <c r="EO32" s="350"/>
      <c r="EP32" s="350"/>
      <c r="EQ32" s="350"/>
      <c r="ER32" s="350"/>
      <c r="ES32" s="350"/>
      <c r="ET32" s="350"/>
      <c r="EU32" s="350"/>
      <c r="EV32" s="350"/>
      <c r="EW32" s="350"/>
      <c r="EX32" s="350"/>
      <c r="EY32" s="350"/>
      <c r="EZ32" s="350"/>
      <c r="FA32" s="350"/>
      <c r="FB32" s="350"/>
      <c r="FC32" s="350"/>
      <c r="FD32" s="350"/>
      <c r="FE32" s="350"/>
      <c r="FF32" s="350"/>
      <c r="FG32" s="350"/>
      <c r="FH32" s="350"/>
      <c r="FI32" s="350"/>
      <c r="FJ32" s="350"/>
      <c r="FK32" s="350"/>
      <c r="FL32" s="350"/>
      <c r="FM32" s="350"/>
      <c r="FN32" s="350"/>
      <c r="FO32" s="350"/>
      <c r="FP32" s="350"/>
      <c r="FQ32" s="350"/>
      <c r="FR32" s="350"/>
      <c r="FS32" s="350"/>
      <c r="FT32" s="350"/>
      <c r="FU32" s="350"/>
      <c r="FV32" s="350"/>
      <c r="FW32" s="350"/>
      <c r="FX32" s="350"/>
      <c r="FY32" s="350"/>
      <c r="FZ32" s="350"/>
      <c r="GA32" s="350"/>
      <c r="GB32" s="350"/>
      <c r="GC32" s="350"/>
      <c r="GD32" s="350"/>
      <c r="GE32" s="350"/>
      <c r="GF32" s="350"/>
      <c r="GG32" s="350"/>
      <c r="GH32" s="350"/>
      <c r="GI32" s="350"/>
      <c r="GJ32" s="350"/>
      <c r="GK32" s="350"/>
      <c r="GL32" s="350"/>
      <c r="GM32" s="350"/>
      <c r="GN32" s="350"/>
      <c r="GO32" s="350"/>
      <c r="GP32" s="350"/>
      <c r="GQ32" s="350"/>
      <c r="GR32" s="350"/>
      <c r="GS32" s="350"/>
      <c r="GT32" s="350"/>
      <c r="GU32" s="350"/>
      <c r="GV32" s="350"/>
      <c r="GW32" s="350"/>
      <c r="GX32" s="350"/>
      <c r="GY32" s="350"/>
      <c r="GZ32" s="350"/>
      <c r="HA32" s="350"/>
      <c r="HB32" s="350"/>
      <c r="HC32" s="350"/>
      <c r="HD32" s="350"/>
      <c r="HE32" s="350"/>
    </row>
    <row r="33" spans="1:13" ht="45">
      <c r="A33" s="464" t="s">
        <v>683</v>
      </c>
      <c r="B33" s="464" t="s">
        <v>684</v>
      </c>
      <c r="C33" s="464" t="s">
        <v>685</v>
      </c>
      <c r="D33" s="466" t="s">
        <v>686</v>
      </c>
      <c r="E33" s="465" t="s">
        <v>687</v>
      </c>
      <c r="F33" s="465" t="s">
        <v>688</v>
      </c>
      <c r="G33" s="379" t="s">
        <v>720</v>
      </c>
      <c r="H33" s="380" t="s">
        <v>722</v>
      </c>
      <c r="I33" s="380" t="s">
        <v>724</v>
      </c>
      <c r="J33" s="380" t="s">
        <v>719</v>
      </c>
      <c r="K33" s="380" t="s">
        <v>723</v>
      </c>
      <c r="L33" s="380" t="s">
        <v>725</v>
      </c>
      <c r="M33" s="380" t="s">
        <v>718</v>
      </c>
    </row>
    <row r="34" spans="1:13" ht="25.5">
      <c r="A34" s="467">
        <v>13</v>
      </c>
      <c r="B34" s="468" t="s">
        <v>803</v>
      </c>
      <c r="C34" s="469" t="s">
        <v>804</v>
      </c>
      <c r="D34" s="470">
        <v>39100</v>
      </c>
      <c r="E34" s="470">
        <v>39129</v>
      </c>
      <c r="F34" s="471">
        <v>39127</v>
      </c>
      <c r="G34" s="9">
        <f t="shared" ref="G34:G58" si="0">IF(AND(NOT(ISBLANK(D34)),ISNUMBER(D34),     NOT(ISBLANK(E34)),ISNUMBER(E34),     NOT(ISBLANK(F34)),ISNUMBER(F34)),NETWORKDAYS(D34,F34)/NETWORKDAYS(D34,E34),"Not Used")</f>
        <v>0.90909090909090906</v>
      </c>
      <c r="H34" s="378">
        <f t="shared" ref="H34:H58" si="1">IF(AND(ISNUMBER(F34), ISNUMBER(D34)), F34 - D34, "Not Used")</f>
        <v>27</v>
      </c>
      <c r="I34" s="194">
        <f t="shared" ref="I34:I58" ca="1" si="2">IF(ISNUMBER(H34), H34 / $C$28, "Not Used")</f>
        <v>1.4278159703860392E-2</v>
      </c>
      <c r="J34" s="194">
        <f t="shared" ref="J34:J58" ca="1" si="3">IF(ISNUMBER(G34), G34 * I34, "Not Used")</f>
        <v>1.2980145185327628E-2</v>
      </c>
      <c r="K34" s="378">
        <f t="shared" ref="K34:K58" si="4">IF(AND(ISNUMBER(E34), ISNUMBER(D34)), E34 - D34, "Not Used")</f>
        <v>29</v>
      </c>
      <c r="L34" s="194">
        <f t="shared" ref="L34:L58" ca="1" si="5">IF(ISNUMBER(K34), K34 / $C$29, "Not Used")</f>
        <v>1.5311510031678986E-2</v>
      </c>
      <c r="M34" s="194">
        <f t="shared" ref="M34:M58" ca="1" si="6">IF(ISNUMBER(G34), G34 * L34, "Not Used")</f>
        <v>1.3919554574253623E-2</v>
      </c>
    </row>
    <row r="35" spans="1:13" ht="25.5">
      <c r="A35" s="472">
        <v>1</v>
      </c>
      <c r="B35" s="473" t="s">
        <v>805</v>
      </c>
      <c r="C35" s="474" t="s">
        <v>806</v>
      </c>
      <c r="D35" s="475">
        <v>38966</v>
      </c>
      <c r="E35" s="476">
        <v>39144</v>
      </c>
      <c r="F35" s="476">
        <v>39144</v>
      </c>
      <c r="G35" s="9">
        <f t="shared" si="0"/>
        <v>1</v>
      </c>
      <c r="H35" s="378">
        <f t="shared" si="1"/>
        <v>178</v>
      </c>
      <c r="I35" s="194">
        <f t="shared" ca="1" si="2"/>
        <v>9.4130089899524066E-2</v>
      </c>
      <c r="J35" s="194">
        <f t="shared" ca="1" si="3"/>
        <v>9.4130089899524066E-2</v>
      </c>
      <c r="K35" s="378">
        <f t="shared" si="4"/>
        <v>178</v>
      </c>
      <c r="L35" s="194">
        <f t="shared" ca="1" si="5"/>
        <v>9.398099260823653E-2</v>
      </c>
      <c r="M35" s="194">
        <f t="shared" ca="1" si="6"/>
        <v>9.398099260823653E-2</v>
      </c>
    </row>
    <row r="36" spans="1:13" ht="38.25">
      <c r="A36" s="472">
        <v>4</v>
      </c>
      <c r="B36" s="468" t="s">
        <v>807</v>
      </c>
      <c r="C36" s="469" t="s">
        <v>808</v>
      </c>
      <c r="D36" s="470">
        <v>38992</v>
      </c>
      <c r="E36" s="471">
        <v>39144</v>
      </c>
      <c r="F36" s="471">
        <v>39144</v>
      </c>
      <c r="G36" s="9">
        <f t="shared" si="0"/>
        <v>1</v>
      </c>
      <c r="H36" s="378">
        <f t="shared" si="1"/>
        <v>152</v>
      </c>
      <c r="I36" s="194">
        <f t="shared" ca="1" si="2"/>
        <v>8.0380750925436284E-2</v>
      </c>
      <c r="J36" s="194">
        <f t="shared" ca="1" si="3"/>
        <v>8.0380750925436284E-2</v>
      </c>
      <c r="K36" s="378">
        <f t="shared" si="4"/>
        <v>152</v>
      </c>
      <c r="L36" s="194">
        <f t="shared" ca="1" si="5"/>
        <v>8.0253431890179514E-2</v>
      </c>
      <c r="M36" s="194">
        <f t="shared" ca="1" si="6"/>
        <v>8.0253431890179514E-2</v>
      </c>
    </row>
    <row r="37" spans="1:13">
      <c r="A37" s="472">
        <v>5</v>
      </c>
      <c r="B37" s="468" t="s">
        <v>809</v>
      </c>
      <c r="C37" s="469" t="s">
        <v>810</v>
      </c>
      <c r="D37" s="470">
        <v>39015</v>
      </c>
      <c r="E37" s="471">
        <v>39144</v>
      </c>
      <c r="F37" s="471">
        <v>39144</v>
      </c>
      <c r="G37" s="9">
        <f t="shared" si="0"/>
        <v>1</v>
      </c>
      <c r="H37" s="378">
        <f t="shared" si="1"/>
        <v>129</v>
      </c>
      <c r="I37" s="194">
        <f t="shared" ca="1" si="2"/>
        <v>6.821787414066631E-2</v>
      </c>
      <c r="J37" s="194">
        <f t="shared" ca="1" si="3"/>
        <v>6.821787414066631E-2</v>
      </c>
      <c r="K37" s="378">
        <f t="shared" si="4"/>
        <v>129</v>
      </c>
      <c r="L37" s="194">
        <f t="shared" ca="1" si="5"/>
        <v>6.810982048574446E-2</v>
      </c>
      <c r="M37" s="194">
        <f t="shared" ca="1" si="6"/>
        <v>6.810982048574446E-2</v>
      </c>
    </row>
    <row r="38" spans="1:13" ht="38.25">
      <c r="A38" s="472">
        <v>6</v>
      </c>
      <c r="B38" s="468" t="s">
        <v>811</v>
      </c>
      <c r="C38" s="469" t="s">
        <v>812</v>
      </c>
      <c r="D38" s="470">
        <v>39001</v>
      </c>
      <c r="E38" s="471">
        <v>39144</v>
      </c>
      <c r="F38" s="471">
        <v>39144</v>
      </c>
      <c r="G38" s="9">
        <f t="shared" si="0"/>
        <v>1</v>
      </c>
      <c r="H38" s="378">
        <f t="shared" si="1"/>
        <v>143</v>
      </c>
      <c r="I38" s="194">
        <f t="shared" ca="1" si="2"/>
        <v>7.5621364357482818E-2</v>
      </c>
      <c r="J38" s="194">
        <f t="shared" ca="1" si="3"/>
        <v>7.5621364357482818E-2</v>
      </c>
      <c r="K38" s="378">
        <f t="shared" si="4"/>
        <v>143</v>
      </c>
      <c r="L38" s="194">
        <f t="shared" ca="1" si="5"/>
        <v>7.5501583949313625E-2</v>
      </c>
      <c r="M38" s="194">
        <f t="shared" ca="1" si="6"/>
        <v>7.5501583949313625E-2</v>
      </c>
    </row>
    <row r="39" spans="1:13" ht="25.5">
      <c r="A39" s="467">
        <v>12</v>
      </c>
      <c r="B39" s="468" t="s">
        <v>813</v>
      </c>
      <c r="C39" s="469" t="s">
        <v>814</v>
      </c>
      <c r="D39" s="470">
        <v>39021</v>
      </c>
      <c r="E39" s="477">
        <v>39144</v>
      </c>
      <c r="F39" s="471">
        <v>39144</v>
      </c>
      <c r="G39" s="9">
        <f t="shared" si="0"/>
        <v>1</v>
      </c>
      <c r="H39" s="378">
        <f t="shared" si="1"/>
        <v>123</v>
      </c>
      <c r="I39" s="194">
        <f t="shared" ca="1" si="2"/>
        <v>6.5044949762030665E-2</v>
      </c>
      <c r="J39" s="194">
        <f t="shared" ca="1" si="3"/>
        <v>6.5044949762030665E-2</v>
      </c>
      <c r="K39" s="378">
        <f t="shared" si="4"/>
        <v>123</v>
      </c>
      <c r="L39" s="194">
        <f t="shared" ca="1" si="5"/>
        <v>6.4941921858500534E-2</v>
      </c>
      <c r="M39" s="194">
        <f t="shared" ca="1" si="6"/>
        <v>6.4941921858500534E-2</v>
      </c>
    </row>
    <row r="40" spans="1:13" ht="38.25">
      <c r="A40" s="467">
        <v>8</v>
      </c>
      <c r="B40" s="473" t="s">
        <v>815</v>
      </c>
      <c r="C40" s="469" t="s">
        <v>816</v>
      </c>
      <c r="D40" s="475">
        <v>39142</v>
      </c>
      <c r="E40" s="475">
        <v>39150</v>
      </c>
      <c r="F40" s="476">
        <v>39149</v>
      </c>
      <c r="G40" s="9">
        <f t="shared" si="0"/>
        <v>0.8571428571428571</v>
      </c>
      <c r="H40" s="378">
        <f t="shared" si="1"/>
        <v>7</v>
      </c>
      <c r="I40" s="194">
        <f t="shared" ca="1" si="2"/>
        <v>3.7017451084082496E-3</v>
      </c>
      <c r="J40" s="194">
        <f t="shared" ca="1" si="3"/>
        <v>3.1729243786356425E-3</v>
      </c>
      <c r="K40" s="378">
        <f t="shared" si="4"/>
        <v>8</v>
      </c>
      <c r="L40" s="194">
        <f t="shared" ca="1" si="5"/>
        <v>4.2238648363252373E-3</v>
      </c>
      <c r="M40" s="194">
        <f t="shared" ca="1" si="6"/>
        <v>3.6204555739930604E-3</v>
      </c>
    </row>
    <row r="41" spans="1:13" ht="38.25">
      <c r="A41" s="467">
        <v>17</v>
      </c>
      <c r="B41" s="473" t="s">
        <v>817</v>
      </c>
      <c r="C41" s="469" t="s">
        <v>818</v>
      </c>
      <c r="D41" s="475">
        <v>39085</v>
      </c>
      <c r="E41" s="478">
        <v>39174</v>
      </c>
      <c r="F41" s="476">
        <v>39174</v>
      </c>
      <c r="G41" s="9">
        <f t="shared" si="0"/>
        <v>1</v>
      </c>
      <c r="H41" s="378">
        <f t="shared" si="1"/>
        <v>89</v>
      </c>
      <c r="I41" s="194">
        <f t="shared" ca="1" si="2"/>
        <v>4.7065044949762033E-2</v>
      </c>
      <c r="J41" s="194">
        <f t="shared" ca="1" si="3"/>
        <v>4.7065044949762033E-2</v>
      </c>
      <c r="K41" s="378">
        <f t="shared" si="4"/>
        <v>89</v>
      </c>
      <c r="L41" s="194">
        <f t="shared" ca="1" si="5"/>
        <v>4.6990496304118265E-2</v>
      </c>
      <c r="M41" s="194">
        <f t="shared" ca="1" si="6"/>
        <v>4.6990496304118265E-2</v>
      </c>
    </row>
    <row r="42" spans="1:13" ht="51">
      <c r="A42" s="467">
        <v>18</v>
      </c>
      <c r="B42" s="473" t="s">
        <v>819</v>
      </c>
      <c r="C42" s="469" t="s">
        <v>820</v>
      </c>
      <c r="D42" s="475">
        <v>39146</v>
      </c>
      <c r="E42" s="475">
        <v>39174</v>
      </c>
      <c r="F42" s="476">
        <v>39174</v>
      </c>
      <c r="G42" s="9">
        <f t="shared" si="0"/>
        <v>1</v>
      </c>
      <c r="H42" s="378">
        <f t="shared" si="1"/>
        <v>28</v>
      </c>
      <c r="I42" s="194">
        <f t="shared" ca="1" si="2"/>
        <v>1.4806980433632998E-2</v>
      </c>
      <c r="J42" s="194">
        <f t="shared" ca="1" si="3"/>
        <v>1.4806980433632998E-2</v>
      </c>
      <c r="K42" s="378">
        <f t="shared" si="4"/>
        <v>28</v>
      </c>
      <c r="L42" s="194">
        <f t="shared" ca="1" si="5"/>
        <v>1.4783526927138331E-2</v>
      </c>
      <c r="M42" s="194">
        <f t="shared" ca="1" si="6"/>
        <v>1.4783526927138331E-2</v>
      </c>
    </row>
    <row r="43" spans="1:13" ht="25.5">
      <c r="A43" s="472">
        <v>2</v>
      </c>
      <c r="B43" s="473" t="s">
        <v>821</v>
      </c>
      <c r="C43" s="474" t="s">
        <v>806</v>
      </c>
      <c r="D43" s="475">
        <v>39031</v>
      </c>
      <c r="E43" s="476">
        <v>39193</v>
      </c>
      <c r="F43" s="476">
        <v>39193</v>
      </c>
      <c r="G43" s="9">
        <f t="shared" si="0"/>
        <v>1</v>
      </c>
      <c r="H43" s="378">
        <f t="shared" si="1"/>
        <v>162</v>
      </c>
      <c r="I43" s="194">
        <f t="shared" ca="1" si="2"/>
        <v>8.5668958223162353E-2</v>
      </c>
      <c r="J43" s="194">
        <f t="shared" ca="1" si="3"/>
        <v>8.5668958223162353E-2</v>
      </c>
      <c r="K43" s="378">
        <f t="shared" si="4"/>
        <v>162</v>
      </c>
      <c r="L43" s="194">
        <f t="shared" ca="1" si="5"/>
        <v>8.5533262935586066E-2</v>
      </c>
      <c r="M43" s="194">
        <f t="shared" ca="1" si="6"/>
        <v>8.5533262935586066E-2</v>
      </c>
    </row>
    <row r="44" spans="1:13" ht="38.25">
      <c r="A44" s="467">
        <v>14</v>
      </c>
      <c r="B44" s="473" t="s">
        <v>822</v>
      </c>
      <c r="C44" s="469" t="s">
        <v>823</v>
      </c>
      <c r="D44" s="475">
        <v>38961</v>
      </c>
      <c r="E44" s="475">
        <v>39193</v>
      </c>
      <c r="F44" s="476">
        <v>39193</v>
      </c>
      <c r="G44" s="9">
        <f t="shared" si="0"/>
        <v>1</v>
      </c>
      <c r="H44" s="378">
        <f t="shared" si="1"/>
        <v>232</v>
      </c>
      <c r="I44" s="194">
        <f t="shared" ca="1" si="2"/>
        <v>0.12268640930724485</v>
      </c>
      <c r="J44" s="194">
        <f t="shared" ca="1" si="3"/>
        <v>0.12268640930724485</v>
      </c>
      <c r="K44" s="378">
        <f t="shared" si="4"/>
        <v>232</v>
      </c>
      <c r="L44" s="194">
        <f t="shared" ca="1" si="5"/>
        <v>0.12249208025343189</v>
      </c>
      <c r="M44" s="194">
        <f t="shared" ca="1" si="6"/>
        <v>0.12249208025343189</v>
      </c>
    </row>
    <row r="45" spans="1:13" ht="38.25">
      <c r="A45" s="467">
        <v>9</v>
      </c>
      <c r="B45" s="473" t="s">
        <v>824</v>
      </c>
      <c r="C45" s="469" t="s">
        <v>825</v>
      </c>
      <c r="D45" s="475">
        <v>39090</v>
      </c>
      <c r="E45" s="475">
        <v>39203</v>
      </c>
      <c r="F45" s="476">
        <v>39203</v>
      </c>
      <c r="G45" s="9">
        <f t="shared" si="0"/>
        <v>1</v>
      </c>
      <c r="H45" s="378">
        <f t="shared" si="1"/>
        <v>113</v>
      </c>
      <c r="I45" s="194">
        <f t="shared" ca="1" si="2"/>
        <v>5.9756742464304603E-2</v>
      </c>
      <c r="J45" s="194">
        <f t="shared" ca="1" si="3"/>
        <v>5.9756742464304603E-2</v>
      </c>
      <c r="K45" s="378">
        <f t="shared" si="4"/>
        <v>113</v>
      </c>
      <c r="L45" s="194">
        <f t="shared" ca="1" si="5"/>
        <v>5.9662090813093982E-2</v>
      </c>
      <c r="M45" s="194">
        <f t="shared" ca="1" si="6"/>
        <v>5.9662090813093982E-2</v>
      </c>
    </row>
    <row r="46" spans="1:13" ht="25.5">
      <c r="A46" s="467">
        <v>16</v>
      </c>
      <c r="B46" s="473" t="s">
        <v>826</v>
      </c>
      <c r="C46" s="469" t="s">
        <v>827</v>
      </c>
      <c r="D46" s="475">
        <v>39121</v>
      </c>
      <c r="E46" s="478">
        <v>39203</v>
      </c>
      <c r="F46" s="476">
        <v>39203</v>
      </c>
      <c r="G46" s="9">
        <f t="shared" si="0"/>
        <v>1</v>
      </c>
      <c r="H46" s="378">
        <f t="shared" si="1"/>
        <v>82</v>
      </c>
      <c r="I46" s="194">
        <f t="shared" ca="1" si="2"/>
        <v>4.3363299841353779E-2</v>
      </c>
      <c r="J46" s="194">
        <f t="shared" ca="1" si="3"/>
        <v>4.3363299841353779E-2</v>
      </c>
      <c r="K46" s="378">
        <f t="shared" si="4"/>
        <v>82</v>
      </c>
      <c r="L46" s="194">
        <f t="shared" ca="1" si="5"/>
        <v>4.3294614572333683E-2</v>
      </c>
      <c r="M46" s="194">
        <f t="shared" ca="1" si="6"/>
        <v>4.3294614572333683E-2</v>
      </c>
    </row>
    <row r="47" spans="1:13" ht="25.5">
      <c r="A47" s="467">
        <v>19</v>
      </c>
      <c r="B47" s="473" t="s">
        <v>828</v>
      </c>
      <c r="C47" s="469" t="s">
        <v>829</v>
      </c>
      <c r="D47" s="475">
        <v>39121</v>
      </c>
      <c r="E47" s="478">
        <v>39203</v>
      </c>
      <c r="F47" s="476">
        <v>39203</v>
      </c>
      <c r="G47" s="9">
        <f t="shared" si="0"/>
        <v>1</v>
      </c>
      <c r="H47" s="378">
        <f t="shared" si="1"/>
        <v>82</v>
      </c>
      <c r="I47" s="194">
        <f t="shared" ca="1" si="2"/>
        <v>4.3363299841353779E-2</v>
      </c>
      <c r="J47" s="194">
        <f t="shared" ca="1" si="3"/>
        <v>4.3363299841353779E-2</v>
      </c>
      <c r="K47" s="378">
        <f t="shared" si="4"/>
        <v>82</v>
      </c>
      <c r="L47" s="194">
        <f t="shared" ca="1" si="5"/>
        <v>4.3294614572333683E-2</v>
      </c>
      <c r="M47" s="194">
        <f t="shared" ca="1" si="6"/>
        <v>4.3294614572333683E-2</v>
      </c>
    </row>
    <row r="48" spans="1:13" ht="25.5">
      <c r="A48" s="479">
        <v>15</v>
      </c>
      <c r="B48" s="473" t="s">
        <v>830</v>
      </c>
      <c r="C48" s="469" t="s">
        <v>831</v>
      </c>
      <c r="D48" s="475">
        <v>39121</v>
      </c>
      <c r="E48" s="478">
        <v>39206</v>
      </c>
      <c r="F48" s="476">
        <v>39206</v>
      </c>
      <c r="G48" s="9">
        <f t="shared" si="0"/>
        <v>1</v>
      </c>
      <c r="H48" s="378">
        <f t="shared" si="1"/>
        <v>85</v>
      </c>
      <c r="I48" s="194">
        <f t="shared" ca="1" si="2"/>
        <v>4.4949762030671601E-2</v>
      </c>
      <c r="J48" s="194">
        <f t="shared" ca="1" si="3"/>
        <v>4.4949762030671601E-2</v>
      </c>
      <c r="K48" s="378">
        <f t="shared" si="4"/>
        <v>85</v>
      </c>
      <c r="L48" s="194">
        <f t="shared" ca="1" si="5"/>
        <v>4.4878563885955652E-2</v>
      </c>
      <c r="M48" s="194">
        <f t="shared" ca="1" si="6"/>
        <v>4.4878563885955652E-2</v>
      </c>
    </row>
    <row r="49" spans="1:13" ht="38.25">
      <c r="A49" s="467">
        <v>10</v>
      </c>
      <c r="B49" s="473" t="s">
        <v>832</v>
      </c>
      <c r="C49" s="469" t="s">
        <v>833</v>
      </c>
      <c r="D49" s="475">
        <v>39196</v>
      </c>
      <c r="E49" s="475">
        <v>39213</v>
      </c>
      <c r="F49" s="476">
        <v>39213</v>
      </c>
      <c r="G49" s="9">
        <f t="shared" si="0"/>
        <v>1</v>
      </c>
      <c r="H49" s="378">
        <f t="shared" si="1"/>
        <v>17</v>
      </c>
      <c r="I49" s="194">
        <f t="shared" ca="1" si="2"/>
        <v>8.9899524061343213E-3</v>
      </c>
      <c r="J49" s="194">
        <f t="shared" ca="1" si="3"/>
        <v>8.9899524061343213E-3</v>
      </c>
      <c r="K49" s="378">
        <f t="shared" si="4"/>
        <v>17</v>
      </c>
      <c r="L49" s="194">
        <f t="shared" ca="1" si="5"/>
        <v>8.9757127771911294E-3</v>
      </c>
      <c r="M49" s="194">
        <f t="shared" ca="1" si="6"/>
        <v>8.9757127771911294E-3</v>
      </c>
    </row>
    <row r="50" spans="1:13" ht="38.25">
      <c r="A50" s="472">
        <v>3</v>
      </c>
      <c r="B50" s="473" t="s">
        <v>834</v>
      </c>
      <c r="C50" s="469" t="s">
        <v>835</v>
      </c>
      <c r="D50" s="475">
        <v>39114</v>
      </c>
      <c r="E50" s="478">
        <v>39235</v>
      </c>
      <c r="F50" s="476">
        <v>39235</v>
      </c>
      <c r="G50" s="9">
        <f t="shared" si="0"/>
        <v>1</v>
      </c>
      <c r="H50" s="378">
        <f t="shared" si="1"/>
        <v>121</v>
      </c>
      <c r="I50" s="194">
        <f t="shared" ca="1" si="2"/>
        <v>6.398730830248546E-2</v>
      </c>
      <c r="J50" s="194">
        <f t="shared" ca="1" si="3"/>
        <v>6.398730830248546E-2</v>
      </c>
      <c r="K50" s="378">
        <f t="shared" si="4"/>
        <v>121</v>
      </c>
      <c r="L50" s="194">
        <f t="shared" ca="1" si="5"/>
        <v>6.3885955649419221E-2</v>
      </c>
      <c r="M50" s="194">
        <f t="shared" ca="1" si="6"/>
        <v>6.3885955649419221E-2</v>
      </c>
    </row>
    <row r="51" spans="1:13" ht="63.75">
      <c r="A51" s="472">
        <v>7</v>
      </c>
      <c r="B51" s="473" t="s">
        <v>836</v>
      </c>
      <c r="C51" s="469" t="s">
        <v>837</v>
      </c>
      <c r="D51" s="475">
        <v>39114</v>
      </c>
      <c r="E51" s="478">
        <v>39235</v>
      </c>
      <c r="F51" s="476">
        <v>39235</v>
      </c>
      <c r="G51" s="9">
        <f t="shared" si="0"/>
        <v>1</v>
      </c>
      <c r="H51" s="378">
        <f t="shared" si="1"/>
        <v>121</v>
      </c>
      <c r="I51" s="194">
        <f t="shared" ca="1" si="2"/>
        <v>6.398730830248546E-2</v>
      </c>
      <c r="J51" s="194">
        <f t="shared" ca="1" si="3"/>
        <v>6.398730830248546E-2</v>
      </c>
      <c r="K51" s="378">
        <f t="shared" si="4"/>
        <v>121</v>
      </c>
      <c r="L51" s="194">
        <f t="shared" ca="1" si="5"/>
        <v>6.3885955649419221E-2</v>
      </c>
      <c r="M51" s="194">
        <f t="shared" ca="1" si="6"/>
        <v>6.3885955649419221E-2</v>
      </c>
    </row>
    <row r="52" spans="1:13" ht="63.75">
      <c r="A52" s="467">
        <v>11</v>
      </c>
      <c r="B52" s="468" t="s">
        <v>838</v>
      </c>
      <c r="C52" s="469" t="s">
        <v>839</v>
      </c>
      <c r="D52" s="470">
        <v>39125</v>
      </c>
      <c r="E52" s="470" t="s">
        <v>664</v>
      </c>
      <c r="F52" s="471" t="s">
        <v>664</v>
      </c>
      <c r="G52" s="9" t="str">
        <f t="shared" si="0"/>
        <v>Not Used</v>
      </c>
      <c r="H52" s="378" t="str">
        <f t="shared" si="1"/>
        <v>Not Used</v>
      </c>
      <c r="I52" s="194" t="str">
        <f t="shared" si="2"/>
        <v>Not Used</v>
      </c>
      <c r="J52" s="194" t="str">
        <f t="shared" si="3"/>
        <v>Not Used</v>
      </c>
      <c r="K52" s="378" t="str">
        <f t="shared" si="4"/>
        <v>Not Used</v>
      </c>
      <c r="L52" s="194" t="str">
        <f t="shared" si="5"/>
        <v>Not Used</v>
      </c>
      <c r="M52" s="194" t="str">
        <f t="shared" si="6"/>
        <v>Not Used</v>
      </c>
    </row>
    <row r="53" spans="1:13">
      <c r="A53" s="13"/>
      <c r="B53" s="350"/>
      <c r="C53" s="350"/>
      <c r="D53" s="350"/>
      <c r="E53" s="350"/>
      <c r="F53" s="350"/>
      <c r="G53" s="9" t="str">
        <f t="shared" si="0"/>
        <v>Not Used</v>
      </c>
      <c r="H53" s="378" t="str">
        <f t="shared" si="1"/>
        <v>Not Used</v>
      </c>
      <c r="I53" s="194" t="str">
        <f t="shared" si="2"/>
        <v>Not Used</v>
      </c>
      <c r="J53" s="194" t="str">
        <f t="shared" si="3"/>
        <v>Not Used</v>
      </c>
      <c r="K53" s="378" t="str">
        <f t="shared" si="4"/>
        <v>Not Used</v>
      </c>
      <c r="L53" s="194" t="str">
        <f t="shared" si="5"/>
        <v>Not Used</v>
      </c>
      <c r="M53" s="194" t="str">
        <f t="shared" si="6"/>
        <v>Not Used</v>
      </c>
    </row>
    <row r="54" spans="1:13">
      <c r="A54" s="350"/>
      <c r="B54" s="480" t="s">
        <v>840</v>
      </c>
      <c r="C54" s="221"/>
      <c r="D54" s="221"/>
      <c r="E54" s="221"/>
      <c r="F54" s="221"/>
      <c r="G54" s="9" t="str">
        <f t="shared" si="0"/>
        <v>Not Used</v>
      </c>
      <c r="H54" s="378" t="str">
        <f t="shared" si="1"/>
        <v>Not Used</v>
      </c>
      <c r="I54" s="194" t="str">
        <f t="shared" si="2"/>
        <v>Not Used</v>
      </c>
      <c r="J54" s="194" t="str">
        <f t="shared" si="3"/>
        <v>Not Used</v>
      </c>
      <c r="K54" s="378" t="str">
        <f t="shared" si="4"/>
        <v>Not Used</v>
      </c>
      <c r="L54" s="194" t="str">
        <f t="shared" si="5"/>
        <v>Not Used</v>
      </c>
      <c r="M54" s="194" t="str">
        <f t="shared" si="6"/>
        <v>Not Used</v>
      </c>
    </row>
    <row r="55" spans="1:13">
      <c r="A55" s="350"/>
      <c r="B55" s="480" t="s">
        <v>841</v>
      </c>
      <c r="C55" s="221"/>
      <c r="D55" s="221"/>
      <c r="E55" s="221"/>
      <c r="F55" s="221"/>
      <c r="G55" s="9" t="str">
        <f t="shared" si="0"/>
        <v>Not Used</v>
      </c>
      <c r="H55" s="378" t="str">
        <f t="shared" si="1"/>
        <v>Not Used</v>
      </c>
      <c r="I55" s="194" t="str">
        <f t="shared" si="2"/>
        <v>Not Used</v>
      </c>
      <c r="J55" s="194" t="str">
        <f t="shared" si="3"/>
        <v>Not Used</v>
      </c>
      <c r="K55" s="378" t="str">
        <f t="shared" si="4"/>
        <v>Not Used</v>
      </c>
      <c r="L55" s="194" t="str">
        <f t="shared" si="5"/>
        <v>Not Used</v>
      </c>
      <c r="M55" s="194" t="str">
        <f t="shared" si="6"/>
        <v>Not Used</v>
      </c>
    </row>
    <row r="56" spans="1:13">
      <c r="A56" s="350"/>
      <c r="B56" s="480" t="s">
        <v>842</v>
      </c>
      <c r="C56" s="481"/>
      <c r="D56" s="481"/>
      <c r="E56" s="481"/>
      <c r="F56" s="481"/>
      <c r="G56" s="9" t="str">
        <f t="shared" si="0"/>
        <v>Not Used</v>
      </c>
      <c r="H56" s="378" t="str">
        <f t="shared" si="1"/>
        <v>Not Used</v>
      </c>
      <c r="I56" s="194" t="str">
        <f t="shared" si="2"/>
        <v>Not Used</v>
      </c>
      <c r="J56" s="194" t="str">
        <f t="shared" si="3"/>
        <v>Not Used</v>
      </c>
      <c r="K56" s="378" t="str">
        <f t="shared" si="4"/>
        <v>Not Used</v>
      </c>
      <c r="L56" s="194" t="str">
        <f t="shared" si="5"/>
        <v>Not Used</v>
      </c>
      <c r="M56" s="194" t="str">
        <f t="shared" si="6"/>
        <v>Not Used</v>
      </c>
    </row>
    <row r="57" spans="1:13">
      <c r="A57" s="350"/>
      <c r="B57" s="482" t="s">
        <v>843</v>
      </c>
      <c r="C57" s="483"/>
      <c r="D57" s="484"/>
      <c r="E57" s="484"/>
      <c r="F57" s="484"/>
      <c r="G57" s="9" t="str">
        <f t="shared" si="0"/>
        <v>Not Used</v>
      </c>
      <c r="H57" s="378" t="str">
        <f t="shared" si="1"/>
        <v>Not Used</v>
      </c>
      <c r="I57" s="194" t="str">
        <f t="shared" si="2"/>
        <v>Not Used</v>
      </c>
      <c r="J57" s="194" t="str">
        <f t="shared" si="3"/>
        <v>Not Used</v>
      </c>
      <c r="K57" s="378" t="str">
        <f t="shared" si="4"/>
        <v>Not Used</v>
      </c>
      <c r="L57" s="194" t="str">
        <f t="shared" si="5"/>
        <v>Not Used</v>
      </c>
      <c r="M57" s="194" t="str">
        <f t="shared" si="6"/>
        <v>Not Used</v>
      </c>
    </row>
    <row r="58" spans="1:13">
      <c r="A58" s="350"/>
      <c r="B58" s="482" t="s">
        <v>844</v>
      </c>
      <c r="C58" s="483"/>
      <c r="D58" s="484"/>
      <c r="E58" s="484"/>
      <c r="F58" s="484"/>
      <c r="G58" s="9" t="str">
        <f t="shared" si="0"/>
        <v>Not Used</v>
      </c>
      <c r="H58" s="378" t="str">
        <f t="shared" si="1"/>
        <v>Not Used</v>
      </c>
      <c r="I58" s="194" t="str">
        <f t="shared" si="2"/>
        <v>Not Used</v>
      </c>
      <c r="J58" s="194" t="str">
        <f t="shared" si="3"/>
        <v>Not Used</v>
      </c>
      <c r="K58" s="378" t="str">
        <f t="shared" si="4"/>
        <v>Not Used</v>
      </c>
      <c r="L58" s="194" t="str">
        <f t="shared" si="5"/>
        <v>Not Used</v>
      </c>
      <c r="M58" s="194" t="str">
        <f t="shared" si="6"/>
        <v>Not Used</v>
      </c>
    </row>
  </sheetData>
  <mergeCells count="3">
    <mergeCell ref="K30:M30"/>
    <mergeCell ref="N30:O31"/>
    <mergeCell ref="N32:O32"/>
  </mergeCells>
  <dataValidations count="1">
    <dataValidation allowBlank="1" showInputMessage="1" showErrorMessage="1" errorTitle="Input Invalid" error="Selection must be from drop down list." sqref="E33:F33 E57:F58 D34:F52"/>
  </dataValidations>
  <hyperlinks>
    <hyperlink ref="N32:O32" r:id="rId1" display="PMO Status Report Directory"/>
    <hyperlink ref="A2" location="'On-Time Delivery Data'!A1" display="On-Time Delivery Data"/>
    <hyperlink ref="A1" location="'Table of Contents'!A1" display="Table of Contents"/>
  </hyperlinks>
  <pageMargins left="0.7" right="0.7" top="0.75" bottom="0.75" header="0.3" footer="0.3"/>
  <pageSetup orientation="portrait" r:id="rId2"/>
  <headerFooter>
    <oddFooter>&amp;L&amp;5&amp;Z&amp;F
Created: 9/29/2006 10:44:00 PM
Last Saved: 2/22/2008 9:07:29 AM
Last Printed: 2/22/2008 9:10:13 AM&amp;R&amp;5&amp;P - &amp;N
Title :&lt;Not Set&gt;
Subject: &lt;Not Set&gt;</oddFooter>
  </headerFooter>
</worksheet>
</file>

<file path=xl/worksheets/sheet26.xml><?xml version="1.0" encoding="utf-8"?>
<worksheet xmlns="http://schemas.openxmlformats.org/spreadsheetml/2006/main" xmlns:r="http://schemas.openxmlformats.org/officeDocument/2006/relationships">
  <sheetPr codeName="Sheet27"/>
  <dimension ref="A1:W49"/>
  <sheetViews>
    <sheetView topLeftCell="A46" workbookViewId="0">
      <selection activeCell="E25" sqref="E25"/>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1" t="s">
        <v>421</v>
      </c>
      <c r="C4" s="351" t="s">
        <v>715</v>
      </c>
    </row>
    <row r="5" spans="1:3">
      <c r="B5" s="351" t="s">
        <v>422</v>
      </c>
      <c r="C5" t="str">
        <f>Survey_Period</f>
        <v>2007 H1</v>
      </c>
    </row>
    <row r="6" spans="1:3">
      <c r="B6" s="351" t="s">
        <v>716</v>
      </c>
      <c r="C6" s="351" t="s">
        <v>846</v>
      </c>
    </row>
    <row r="7" spans="1:3">
      <c r="B7" s="351" t="s">
        <v>717</v>
      </c>
      <c r="C7" s="351" t="s">
        <v>847</v>
      </c>
    </row>
    <row r="11" spans="1:3">
      <c r="B11" s="351" t="s">
        <v>21</v>
      </c>
      <c r="C11" s="351" t="s">
        <v>44</v>
      </c>
    </row>
    <row r="12" spans="1:3">
      <c r="B12" s="351" t="s">
        <v>51</v>
      </c>
      <c r="C12" s="351" t="s">
        <v>331</v>
      </c>
    </row>
    <row r="13" spans="1:3">
      <c r="B13" s="351" t="s">
        <v>425</v>
      </c>
      <c r="C13">
        <v>34</v>
      </c>
    </row>
    <row r="14" spans="1:3">
      <c r="B14" s="351" t="s">
        <v>426</v>
      </c>
      <c r="C14">
        <v>49</v>
      </c>
    </row>
    <row r="15" spans="1:3">
      <c r="B15" s="351" t="s">
        <v>427</v>
      </c>
      <c r="C15">
        <v>7</v>
      </c>
    </row>
    <row r="16" spans="1:3">
      <c r="B16" s="351" t="s">
        <v>428</v>
      </c>
      <c r="C16">
        <v>7</v>
      </c>
    </row>
    <row r="24" spans="1:23">
      <c r="B24" s="351" t="s">
        <v>718</v>
      </c>
      <c r="C24" s="9">
        <f ca="1">SUM(INDIRECT(ADDRESS($C$13, 13, TRUE)):INDIRECT(ADDRESS($C$14, 13, TRUE)))</f>
        <v>0.99999999999999989</v>
      </c>
    </row>
    <row r="25" spans="1:23">
      <c r="B25" s="351" t="s">
        <v>719</v>
      </c>
      <c r="C25" s="9">
        <f ca="1">SUM(INDIRECT(ADDRESS($C$13, 10, TRUE)):INDIRECT(ADDRESS($C$14, 10, TRUE)))</f>
        <v>0.99999999999999989</v>
      </c>
    </row>
    <row r="26" spans="1:23">
      <c r="B26" s="351" t="s">
        <v>720</v>
      </c>
      <c r="C26" s="9">
        <f ca="1">AVERAGE(INDIRECT(ADDRESS($C$13, $C$15, TRUE)):INDIRECT(ADDRESS($C$14, $C$16, TRUE)))</f>
        <v>1</v>
      </c>
    </row>
    <row r="27" spans="1:23">
      <c r="B27" s="351" t="s">
        <v>721</v>
      </c>
      <c r="C27" s="378">
        <v>2</v>
      </c>
      <c r="D27" s="378">
        <f>$C$14 - $C$13 + 1</f>
        <v>16</v>
      </c>
    </row>
    <row r="28" spans="1:23">
      <c r="B28" s="351" t="s">
        <v>722</v>
      </c>
      <c r="C28" s="378">
        <f ca="1">SUM(INDIRECT(ADDRESS($C$13, 8, TRUE)):INDIRECT(ADDRESS($C$14, 8, TRUE)))</f>
        <v>1040</v>
      </c>
    </row>
    <row r="29" spans="1:23">
      <c r="B29" s="351" t="s">
        <v>723</v>
      </c>
      <c r="C29" s="378">
        <f ca="1">SUM(INDIRECT(ADDRESS($C$13, 11, TRUE)):INDIRECT(ADDRESS($C$14, 11, TRUE)))</f>
        <v>1040</v>
      </c>
    </row>
    <row r="30" spans="1:23">
      <c r="A30" s="793" t="s">
        <v>248</v>
      </c>
      <c r="B30" s="794"/>
      <c r="C30" s="794"/>
      <c r="D30" s="794"/>
      <c r="E30" s="794"/>
      <c r="F30" s="794"/>
      <c r="G30" s="794"/>
      <c r="H30" s="794"/>
      <c r="I30" s="794"/>
      <c r="J30" s="794"/>
      <c r="K30" s="794"/>
      <c r="L30" s="794"/>
      <c r="M30" s="794"/>
      <c r="N30" s="794"/>
      <c r="O30" s="795"/>
      <c r="P30" s="487"/>
      <c r="Q30" s="488"/>
      <c r="R30" s="488"/>
      <c r="S30" s="488"/>
      <c r="T30" s="488"/>
      <c r="U30" s="488"/>
      <c r="V30" s="488"/>
      <c r="W30" s="488"/>
    </row>
    <row r="31" spans="1:23">
      <c r="A31" s="796" t="s">
        <v>44</v>
      </c>
      <c r="B31" s="797"/>
      <c r="C31" s="797"/>
      <c r="D31" s="797"/>
      <c r="E31" s="797"/>
      <c r="F31" s="797"/>
      <c r="G31" s="797"/>
      <c r="H31" s="797"/>
      <c r="I31" s="797"/>
      <c r="J31" s="797"/>
      <c r="K31" s="797"/>
      <c r="L31" s="797"/>
      <c r="M31" s="797"/>
      <c r="N31" s="797"/>
      <c r="O31" s="771"/>
      <c r="P31" s="489"/>
      <c r="Q31" s="89"/>
      <c r="R31" s="89"/>
      <c r="S31" s="89"/>
      <c r="T31" s="89"/>
      <c r="U31" s="89"/>
      <c r="V31" s="89"/>
      <c r="W31" s="89"/>
    </row>
    <row r="32" spans="1:23">
      <c r="A32" s="798" t="s">
        <v>848</v>
      </c>
      <c r="B32" s="799"/>
      <c r="C32" s="799"/>
      <c r="D32" s="799"/>
      <c r="E32" s="799"/>
      <c r="F32" s="799"/>
      <c r="G32" s="799"/>
      <c r="H32" s="799"/>
      <c r="I32" s="799"/>
      <c r="J32" s="799"/>
      <c r="K32" s="799"/>
      <c r="L32" s="799"/>
      <c r="M32" s="799"/>
      <c r="N32" s="799"/>
      <c r="O32" s="772"/>
      <c r="P32" s="489"/>
      <c r="Q32" s="89"/>
      <c r="R32" s="89"/>
      <c r="S32" s="89"/>
      <c r="T32" s="89"/>
      <c r="U32" s="89"/>
      <c r="V32" s="89"/>
      <c r="W32" s="89"/>
    </row>
    <row r="33" spans="1:13" ht="45">
      <c r="A33" s="381" t="s">
        <v>683</v>
      </c>
      <c r="B33" s="490" t="s">
        <v>684</v>
      </c>
      <c r="C33" s="381" t="s">
        <v>685</v>
      </c>
      <c r="D33" s="492" t="s">
        <v>686</v>
      </c>
      <c r="E33" s="491" t="s">
        <v>687</v>
      </c>
      <c r="F33" s="491" t="s">
        <v>688</v>
      </c>
      <c r="G33" s="379" t="s">
        <v>720</v>
      </c>
      <c r="H33" s="380" t="s">
        <v>722</v>
      </c>
      <c r="I33" s="380" t="s">
        <v>724</v>
      </c>
      <c r="J33" s="380" t="s">
        <v>719</v>
      </c>
      <c r="K33" s="380" t="s">
        <v>723</v>
      </c>
      <c r="L33" s="380" t="s">
        <v>725</v>
      </c>
      <c r="M33" s="380" t="s">
        <v>718</v>
      </c>
    </row>
    <row r="34" spans="1:13" ht="15">
      <c r="A34" s="493" t="s">
        <v>849</v>
      </c>
      <c r="B34" s="494"/>
      <c r="C34" s="494"/>
      <c r="D34" s="495"/>
      <c r="E34" s="494"/>
      <c r="F34" s="494"/>
      <c r="G34" s="9" t="str">
        <f t="shared" ref="G34:G49" si="0">IF(AND(NOT(ISBLANK(D34)),ISNUMBER(D34),     NOT(ISBLANK(E34)),ISNUMBER(E34),     NOT(ISBLANK(F34)),ISNUMBER(F34)),NETWORKDAYS(D34,F34)/NETWORKDAYS(D34,E34),"Not Used")</f>
        <v>Not Used</v>
      </c>
      <c r="H34" s="378" t="str">
        <f t="shared" ref="H34:H49" si="1">IF(AND(ISNUMBER(F34), ISNUMBER(D34)), F34 - D34, "Not Used")</f>
        <v>Not Used</v>
      </c>
      <c r="I34" s="194" t="str">
        <f t="shared" ref="I34:I49" si="2">IF(ISNUMBER(H34), H34 / $C$28, "Not Used")</f>
        <v>Not Used</v>
      </c>
      <c r="J34" s="194" t="str">
        <f t="shared" ref="J34:J49" si="3">IF(ISNUMBER(G34), G34 * I34, "Not Used")</f>
        <v>Not Used</v>
      </c>
      <c r="K34" s="378" t="str">
        <f t="shared" ref="K34:K49" si="4">IF(AND(ISNUMBER(E34), ISNUMBER(D34)), E34 - D34, "Not Used")</f>
        <v>Not Used</v>
      </c>
      <c r="L34" s="194" t="str">
        <f t="shared" ref="L34:L49" si="5">IF(ISNUMBER(K34), K34 / $C$29, "Not Used")</f>
        <v>Not Used</v>
      </c>
      <c r="M34" s="194" t="str">
        <f t="shared" ref="M34:M49" si="6">IF(ISNUMBER(G34), G34 * L34, "Not Used")</f>
        <v>Not Used</v>
      </c>
    </row>
    <row r="35" spans="1:13">
      <c r="A35" s="496">
        <v>1</v>
      </c>
      <c r="B35" s="497" t="s">
        <v>850</v>
      </c>
      <c r="C35" s="800"/>
      <c r="D35" s="800"/>
      <c r="E35" s="388">
        <v>39114</v>
      </c>
      <c r="F35" s="498">
        <v>39114</v>
      </c>
      <c r="G35" s="9" t="str">
        <f t="shared" si="0"/>
        <v>Not Used</v>
      </c>
      <c r="H35" s="378" t="str">
        <f t="shared" si="1"/>
        <v>Not Used</v>
      </c>
      <c r="I35" s="194" t="str">
        <f t="shared" si="2"/>
        <v>Not Used</v>
      </c>
      <c r="J35" s="194" t="str">
        <f t="shared" si="3"/>
        <v>Not Used</v>
      </c>
      <c r="K35" s="378" t="str">
        <f t="shared" si="4"/>
        <v>Not Used</v>
      </c>
      <c r="L35" s="194" t="str">
        <f t="shared" si="5"/>
        <v>Not Used</v>
      </c>
      <c r="M35" s="194" t="str">
        <f t="shared" si="6"/>
        <v>Not Used</v>
      </c>
    </row>
    <row r="36" spans="1:13" ht="25.5">
      <c r="A36" s="499">
        <v>2</v>
      </c>
      <c r="B36" s="500" t="s">
        <v>851</v>
      </c>
      <c r="C36" s="474" t="s">
        <v>852</v>
      </c>
      <c r="D36" s="387">
        <v>39005</v>
      </c>
      <c r="E36" s="388">
        <v>39114</v>
      </c>
      <c r="F36" s="388">
        <v>39114</v>
      </c>
      <c r="G36" s="9">
        <f t="shared" si="0"/>
        <v>1</v>
      </c>
      <c r="H36" s="378">
        <f t="shared" si="1"/>
        <v>109</v>
      </c>
      <c r="I36" s="194">
        <f t="shared" ca="1" si="2"/>
        <v>0.10480769230769231</v>
      </c>
      <c r="J36" s="194">
        <f t="shared" ca="1" si="3"/>
        <v>0.10480769230769231</v>
      </c>
      <c r="K36" s="378">
        <f t="shared" si="4"/>
        <v>109</v>
      </c>
      <c r="L36" s="194">
        <f t="shared" ca="1" si="5"/>
        <v>0.10480769230769231</v>
      </c>
      <c r="M36" s="194">
        <f t="shared" ca="1" si="6"/>
        <v>0.10480769230769231</v>
      </c>
    </row>
    <row r="37" spans="1:13" ht="25.5">
      <c r="A37" s="499">
        <v>3</v>
      </c>
      <c r="B37" s="503" t="s">
        <v>854</v>
      </c>
      <c r="C37" s="502" t="s">
        <v>852</v>
      </c>
      <c r="D37" s="387">
        <v>39005</v>
      </c>
      <c r="E37" s="388">
        <v>39114</v>
      </c>
      <c r="F37" s="388">
        <v>39114</v>
      </c>
      <c r="G37" s="9">
        <f t="shared" si="0"/>
        <v>1</v>
      </c>
      <c r="H37" s="378">
        <f t="shared" si="1"/>
        <v>109</v>
      </c>
      <c r="I37" s="194">
        <f t="shared" ca="1" si="2"/>
        <v>0.10480769230769231</v>
      </c>
      <c r="J37" s="194">
        <f t="shared" ca="1" si="3"/>
        <v>0.10480769230769231</v>
      </c>
      <c r="K37" s="378">
        <f t="shared" si="4"/>
        <v>109</v>
      </c>
      <c r="L37" s="194">
        <f t="shared" ca="1" si="5"/>
        <v>0.10480769230769231</v>
      </c>
      <c r="M37" s="194">
        <f t="shared" ca="1" si="6"/>
        <v>0.10480769230769231</v>
      </c>
    </row>
    <row r="38" spans="1:13" ht="38.25">
      <c r="A38" s="499">
        <v>4</v>
      </c>
      <c r="B38" s="503" t="s">
        <v>855</v>
      </c>
      <c r="C38" s="502" t="s">
        <v>852</v>
      </c>
      <c r="D38" s="387">
        <v>39005</v>
      </c>
      <c r="E38" s="388">
        <v>39114</v>
      </c>
      <c r="F38" s="388">
        <v>39114</v>
      </c>
      <c r="G38" s="9">
        <f t="shared" si="0"/>
        <v>1</v>
      </c>
      <c r="H38" s="378">
        <f t="shared" si="1"/>
        <v>109</v>
      </c>
      <c r="I38" s="194">
        <f t="shared" ca="1" si="2"/>
        <v>0.10480769230769231</v>
      </c>
      <c r="J38" s="194">
        <f t="shared" ca="1" si="3"/>
        <v>0.10480769230769231</v>
      </c>
      <c r="K38" s="378">
        <f t="shared" si="4"/>
        <v>109</v>
      </c>
      <c r="L38" s="194">
        <f t="shared" ca="1" si="5"/>
        <v>0.10480769230769231</v>
      </c>
      <c r="M38" s="194">
        <f t="shared" ca="1" si="6"/>
        <v>0.10480769230769231</v>
      </c>
    </row>
    <row r="39" spans="1:13" ht="25.5">
      <c r="A39" s="499">
        <v>5</v>
      </c>
      <c r="B39" s="503" t="s">
        <v>856</v>
      </c>
      <c r="C39" s="502" t="s">
        <v>852</v>
      </c>
      <c r="D39" s="387">
        <v>39005</v>
      </c>
      <c r="E39" s="388">
        <v>39114</v>
      </c>
      <c r="F39" s="388">
        <v>39114</v>
      </c>
      <c r="G39" s="9">
        <f t="shared" si="0"/>
        <v>1</v>
      </c>
      <c r="H39" s="378">
        <f t="shared" si="1"/>
        <v>109</v>
      </c>
      <c r="I39" s="194">
        <f t="shared" ca="1" si="2"/>
        <v>0.10480769230769231</v>
      </c>
      <c r="J39" s="194">
        <f t="shared" ca="1" si="3"/>
        <v>0.10480769230769231</v>
      </c>
      <c r="K39" s="378">
        <f t="shared" si="4"/>
        <v>109</v>
      </c>
      <c r="L39" s="194">
        <f t="shared" ca="1" si="5"/>
        <v>0.10480769230769231</v>
      </c>
      <c r="M39" s="194">
        <f t="shared" ca="1" si="6"/>
        <v>0.10480769230769231</v>
      </c>
    </row>
    <row r="40" spans="1:13" ht="25.5">
      <c r="A40" s="499">
        <v>6</v>
      </c>
      <c r="B40" s="503" t="s">
        <v>857</v>
      </c>
      <c r="C40" s="502" t="s">
        <v>852</v>
      </c>
      <c r="D40" s="387">
        <v>39005</v>
      </c>
      <c r="E40" s="388">
        <v>39114</v>
      </c>
      <c r="F40" s="388">
        <v>39114</v>
      </c>
      <c r="G40" s="9">
        <f t="shared" si="0"/>
        <v>1</v>
      </c>
      <c r="H40" s="378">
        <f t="shared" si="1"/>
        <v>109</v>
      </c>
      <c r="I40" s="194">
        <f t="shared" ca="1" si="2"/>
        <v>0.10480769230769231</v>
      </c>
      <c r="J40" s="194">
        <f t="shared" ca="1" si="3"/>
        <v>0.10480769230769231</v>
      </c>
      <c r="K40" s="378">
        <f t="shared" si="4"/>
        <v>109</v>
      </c>
      <c r="L40" s="194">
        <f t="shared" ca="1" si="5"/>
        <v>0.10480769230769231</v>
      </c>
      <c r="M40" s="194">
        <f t="shared" ca="1" si="6"/>
        <v>0.10480769230769231</v>
      </c>
    </row>
    <row r="41" spans="1:13" ht="25.5">
      <c r="A41" s="504">
        <v>7</v>
      </c>
      <c r="B41" s="497" t="s">
        <v>858</v>
      </c>
      <c r="C41" s="502" t="s">
        <v>852</v>
      </c>
      <c r="D41" s="387">
        <v>39005</v>
      </c>
      <c r="E41" s="388">
        <v>39114</v>
      </c>
      <c r="F41" s="388">
        <v>39114</v>
      </c>
      <c r="G41" s="9">
        <f t="shared" si="0"/>
        <v>1</v>
      </c>
      <c r="H41" s="378">
        <f t="shared" si="1"/>
        <v>109</v>
      </c>
      <c r="I41" s="194">
        <f t="shared" ca="1" si="2"/>
        <v>0.10480769230769231</v>
      </c>
      <c r="J41" s="194">
        <f t="shared" ca="1" si="3"/>
        <v>0.10480769230769231</v>
      </c>
      <c r="K41" s="378">
        <f t="shared" si="4"/>
        <v>109</v>
      </c>
      <c r="L41" s="194">
        <f t="shared" ca="1" si="5"/>
        <v>0.10480769230769231</v>
      </c>
      <c r="M41" s="194">
        <f t="shared" ca="1" si="6"/>
        <v>0.10480769230769231</v>
      </c>
    </row>
    <row r="42" spans="1:13" ht="25.5">
      <c r="A42" s="499">
        <v>8</v>
      </c>
      <c r="B42" s="497" t="s">
        <v>859</v>
      </c>
      <c r="C42" s="502" t="s">
        <v>852</v>
      </c>
      <c r="D42" s="387">
        <v>39005</v>
      </c>
      <c r="E42" s="388">
        <v>39114</v>
      </c>
      <c r="F42" s="388">
        <v>39114</v>
      </c>
      <c r="G42" s="9">
        <f t="shared" si="0"/>
        <v>1</v>
      </c>
      <c r="H42" s="378">
        <f t="shared" si="1"/>
        <v>109</v>
      </c>
      <c r="I42" s="194">
        <f t="shared" ca="1" si="2"/>
        <v>0.10480769230769231</v>
      </c>
      <c r="J42" s="194">
        <f t="shared" ca="1" si="3"/>
        <v>0.10480769230769231</v>
      </c>
      <c r="K42" s="378">
        <f t="shared" si="4"/>
        <v>109</v>
      </c>
      <c r="L42" s="194">
        <f t="shared" ca="1" si="5"/>
        <v>0.10480769230769231</v>
      </c>
      <c r="M42" s="194">
        <f t="shared" ca="1" si="6"/>
        <v>0.10480769230769231</v>
      </c>
    </row>
    <row r="43" spans="1:13" ht="15">
      <c r="A43" s="505" t="s">
        <v>860</v>
      </c>
      <c r="B43" s="494"/>
      <c r="C43" s="494"/>
      <c r="D43" s="495"/>
      <c r="E43" s="494"/>
      <c r="F43" s="494"/>
      <c r="G43" s="9" t="str">
        <f t="shared" si="0"/>
        <v>Not Used</v>
      </c>
      <c r="H43" s="378" t="str">
        <f t="shared" si="1"/>
        <v>Not Used</v>
      </c>
      <c r="I43" s="194" t="str">
        <f t="shared" si="2"/>
        <v>Not Used</v>
      </c>
      <c r="J43" s="194" t="str">
        <f t="shared" si="3"/>
        <v>Not Used</v>
      </c>
      <c r="K43" s="378" t="str">
        <f t="shared" si="4"/>
        <v>Not Used</v>
      </c>
      <c r="L43" s="194" t="str">
        <f t="shared" si="5"/>
        <v>Not Used</v>
      </c>
      <c r="M43" s="194" t="str">
        <f t="shared" si="6"/>
        <v>Not Used</v>
      </c>
    </row>
    <row r="44" spans="1:13">
      <c r="A44" s="506">
        <v>1</v>
      </c>
      <c r="B44" s="497" t="s">
        <v>850</v>
      </c>
      <c r="C44" s="800"/>
      <c r="D44" s="800"/>
      <c r="E44" s="388">
        <v>39203</v>
      </c>
      <c r="F44" s="498">
        <v>39203</v>
      </c>
      <c r="G44" s="9" t="str">
        <f t="shared" si="0"/>
        <v>Not Used</v>
      </c>
      <c r="H44" s="378" t="str">
        <f t="shared" si="1"/>
        <v>Not Used</v>
      </c>
      <c r="I44" s="194" t="str">
        <f t="shared" si="2"/>
        <v>Not Used</v>
      </c>
      <c r="J44" s="194" t="str">
        <f t="shared" si="3"/>
        <v>Not Used</v>
      </c>
      <c r="K44" s="378" t="str">
        <f t="shared" si="4"/>
        <v>Not Used</v>
      </c>
      <c r="L44" s="194" t="str">
        <f t="shared" si="5"/>
        <v>Not Used</v>
      </c>
      <c r="M44" s="194" t="str">
        <f t="shared" si="6"/>
        <v>Not Used</v>
      </c>
    </row>
    <row r="45" spans="1:13">
      <c r="A45" s="506">
        <v>2</v>
      </c>
      <c r="B45" s="503" t="s">
        <v>861</v>
      </c>
      <c r="C45" s="507" t="s">
        <v>862</v>
      </c>
      <c r="D45" s="387"/>
      <c r="E45" s="388">
        <v>39203</v>
      </c>
      <c r="F45" s="498">
        <v>39203</v>
      </c>
      <c r="G45" s="9" t="str">
        <f t="shared" si="0"/>
        <v>Not Used</v>
      </c>
      <c r="H45" s="378" t="str">
        <f t="shared" si="1"/>
        <v>Not Used</v>
      </c>
      <c r="I45" s="194" t="str">
        <f t="shared" si="2"/>
        <v>Not Used</v>
      </c>
      <c r="J45" s="194" t="str">
        <f t="shared" si="3"/>
        <v>Not Used</v>
      </c>
      <c r="K45" s="378" t="str">
        <f t="shared" si="4"/>
        <v>Not Used</v>
      </c>
      <c r="L45" s="194" t="str">
        <f t="shared" si="5"/>
        <v>Not Used</v>
      </c>
      <c r="M45" s="194" t="str">
        <f t="shared" si="6"/>
        <v>Not Used</v>
      </c>
    </row>
    <row r="46" spans="1:13" ht="25.5">
      <c r="A46" s="506">
        <v>3</v>
      </c>
      <c r="B46" s="497" t="s">
        <v>863</v>
      </c>
      <c r="C46" s="469" t="s">
        <v>864</v>
      </c>
      <c r="D46" s="501">
        <v>39153</v>
      </c>
      <c r="E46" s="498">
        <v>39203</v>
      </c>
      <c r="F46" s="498">
        <v>39203</v>
      </c>
      <c r="G46" s="9">
        <f t="shared" si="0"/>
        <v>1</v>
      </c>
      <c r="H46" s="378">
        <f t="shared" si="1"/>
        <v>50</v>
      </c>
      <c r="I46" s="194">
        <f t="shared" ca="1" si="2"/>
        <v>4.807692307692308E-2</v>
      </c>
      <c r="J46" s="194">
        <f t="shared" ca="1" si="3"/>
        <v>4.807692307692308E-2</v>
      </c>
      <c r="K46" s="378">
        <f t="shared" si="4"/>
        <v>50</v>
      </c>
      <c r="L46" s="194">
        <f t="shared" ca="1" si="5"/>
        <v>4.807692307692308E-2</v>
      </c>
      <c r="M46" s="194">
        <f t="shared" ca="1" si="6"/>
        <v>4.807692307692308E-2</v>
      </c>
    </row>
    <row r="47" spans="1:13" ht="38.25">
      <c r="A47" s="499">
        <v>4</v>
      </c>
      <c r="B47" s="497" t="s">
        <v>865</v>
      </c>
      <c r="C47" s="469" t="s">
        <v>866</v>
      </c>
      <c r="D47" s="501">
        <v>39157</v>
      </c>
      <c r="E47" s="498">
        <v>39203</v>
      </c>
      <c r="F47" s="498">
        <v>39203</v>
      </c>
      <c r="G47" s="9">
        <f t="shared" si="0"/>
        <v>1</v>
      </c>
      <c r="H47" s="378">
        <f t="shared" si="1"/>
        <v>46</v>
      </c>
      <c r="I47" s="194">
        <f t="shared" ca="1" si="2"/>
        <v>4.4230769230769233E-2</v>
      </c>
      <c r="J47" s="194">
        <f t="shared" ca="1" si="3"/>
        <v>4.4230769230769233E-2</v>
      </c>
      <c r="K47" s="378">
        <f t="shared" si="4"/>
        <v>46</v>
      </c>
      <c r="L47" s="194">
        <f t="shared" ca="1" si="5"/>
        <v>4.4230769230769233E-2</v>
      </c>
      <c r="M47" s="194">
        <f t="shared" ca="1" si="6"/>
        <v>4.4230769230769233E-2</v>
      </c>
    </row>
    <row r="48" spans="1:13" ht="25.5">
      <c r="A48" s="504">
        <v>5</v>
      </c>
      <c r="B48" s="497" t="s">
        <v>867</v>
      </c>
      <c r="C48" s="469" t="s">
        <v>868</v>
      </c>
      <c r="D48" s="501">
        <v>39133</v>
      </c>
      <c r="E48" s="498">
        <v>39203</v>
      </c>
      <c r="F48" s="498">
        <v>39203</v>
      </c>
      <c r="G48" s="9">
        <f t="shared" si="0"/>
        <v>1</v>
      </c>
      <c r="H48" s="378">
        <f t="shared" si="1"/>
        <v>70</v>
      </c>
      <c r="I48" s="194">
        <f t="shared" ca="1" si="2"/>
        <v>6.7307692307692304E-2</v>
      </c>
      <c r="J48" s="194">
        <f t="shared" ca="1" si="3"/>
        <v>6.7307692307692304E-2</v>
      </c>
      <c r="K48" s="378">
        <f t="shared" si="4"/>
        <v>70</v>
      </c>
      <c r="L48" s="194">
        <f t="shared" ca="1" si="5"/>
        <v>6.7307692307692304E-2</v>
      </c>
      <c r="M48" s="194">
        <f t="shared" ca="1" si="6"/>
        <v>6.7307692307692304E-2</v>
      </c>
    </row>
    <row r="49" spans="1:13" ht="25.5">
      <c r="A49" s="504">
        <v>6</v>
      </c>
      <c r="B49" s="497" t="s">
        <v>869</v>
      </c>
      <c r="C49" s="469" t="s">
        <v>870</v>
      </c>
      <c r="D49" s="501">
        <v>39092</v>
      </c>
      <c r="E49" s="498">
        <v>39203</v>
      </c>
      <c r="F49" s="498">
        <v>39203</v>
      </c>
      <c r="G49" s="9">
        <f t="shared" si="0"/>
        <v>1</v>
      </c>
      <c r="H49" s="378">
        <f t="shared" si="1"/>
        <v>111</v>
      </c>
      <c r="I49" s="194">
        <f t="shared" ca="1" si="2"/>
        <v>0.10673076923076923</v>
      </c>
      <c r="J49" s="194">
        <f t="shared" ca="1" si="3"/>
        <v>0.10673076923076923</v>
      </c>
      <c r="K49" s="378">
        <f t="shared" si="4"/>
        <v>111</v>
      </c>
      <c r="L49" s="194">
        <f t="shared" ca="1" si="5"/>
        <v>0.10673076923076923</v>
      </c>
      <c r="M49" s="194">
        <f t="shared" ca="1" si="6"/>
        <v>0.10673076923076923</v>
      </c>
    </row>
  </sheetData>
  <mergeCells count="5">
    <mergeCell ref="A30:O30"/>
    <mergeCell ref="A31:O31"/>
    <mergeCell ref="A32:O32"/>
    <mergeCell ref="C35:D35"/>
    <mergeCell ref="C44:D44"/>
  </mergeCells>
  <dataValidations count="1">
    <dataValidation allowBlank="1" showInputMessage="1" showErrorMessage="1" errorTitle="Input Invalid" error="Selection must be from drop down list." sqref="E43:F44 D33:F33 D43 D45:F45 D47:F49"/>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legacyDrawing r:id="rId2"/>
</worksheet>
</file>

<file path=xl/worksheets/sheet27.xml><?xml version="1.0" encoding="utf-8"?>
<worksheet xmlns="http://schemas.openxmlformats.org/spreadsheetml/2006/main" xmlns:r="http://schemas.openxmlformats.org/officeDocument/2006/relationships">
  <sheetPr codeName="Sheet31"/>
  <dimension ref="A1:M61"/>
  <sheetViews>
    <sheetView topLeftCell="A13" workbookViewId="0">
      <selection activeCell="K32" sqref="K32"/>
    </sheetView>
  </sheetViews>
  <sheetFormatPr defaultRowHeight="12.75"/>
  <cols>
    <col min="1" max="1" width="5.7109375" customWidth="1"/>
    <col min="2" max="2" width="30.7109375" customWidth="1"/>
    <col min="3" max="3" width="50.7109375" customWidth="1"/>
    <col min="4" max="6" width="12.7109375" customWidth="1"/>
    <col min="7" max="7" width="10.7109375" style="9" customWidth="1"/>
  </cols>
  <sheetData>
    <row r="1" spans="1:3">
      <c r="A1" s="5" t="s">
        <v>29</v>
      </c>
    </row>
    <row r="2" spans="1:3">
      <c r="A2" s="5" t="s">
        <v>57</v>
      </c>
    </row>
    <row r="4" spans="1:3">
      <c r="B4" s="351" t="s">
        <v>421</v>
      </c>
      <c r="C4" s="351" t="s">
        <v>715</v>
      </c>
    </row>
    <row r="5" spans="1:3">
      <c r="B5" s="351" t="s">
        <v>422</v>
      </c>
      <c r="C5" t="str">
        <f>Survey_Period</f>
        <v>2007 H1</v>
      </c>
    </row>
    <row r="6" spans="1:3">
      <c r="B6" s="351" t="s">
        <v>716</v>
      </c>
      <c r="C6" s="351" t="s">
        <v>872</v>
      </c>
    </row>
    <row r="7" spans="1:3">
      <c r="B7" s="351" t="s">
        <v>717</v>
      </c>
      <c r="C7" s="351" t="s">
        <v>873</v>
      </c>
    </row>
    <row r="11" spans="1:3">
      <c r="B11" s="351" t="s">
        <v>21</v>
      </c>
      <c r="C11" s="351" t="s">
        <v>82</v>
      </c>
    </row>
    <row r="12" spans="1:3">
      <c r="B12" s="351" t="s">
        <v>51</v>
      </c>
      <c r="C12" s="351" t="s">
        <v>361</v>
      </c>
    </row>
    <row r="13" spans="1:3">
      <c r="B13" s="351" t="s">
        <v>425</v>
      </c>
      <c r="C13">
        <v>31</v>
      </c>
    </row>
    <row r="14" spans="1:3">
      <c r="B14" s="351" t="s">
        <v>426</v>
      </c>
      <c r="C14">
        <v>61</v>
      </c>
    </row>
    <row r="15" spans="1:3">
      <c r="B15" s="351" t="s">
        <v>427</v>
      </c>
      <c r="C15">
        <v>7</v>
      </c>
    </row>
    <row r="16" spans="1:3">
      <c r="B16" s="351" t="s">
        <v>428</v>
      </c>
      <c r="C16">
        <v>7</v>
      </c>
    </row>
    <row r="24" spans="1:13">
      <c r="B24" s="351" t="s">
        <v>718</v>
      </c>
      <c r="C24" s="9">
        <f ca="1">SUM(INDIRECT(ADDRESS($C$13, 13, TRUE)):INDIRECT(ADDRESS($C$14, 13, TRUE)))</f>
        <v>0.94793017556014536</v>
      </c>
    </row>
    <row r="25" spans="1:13">
      <c r="B25" s="351" t="s">
        <v>719</v>
      </c>
      <c r="C25" s="9">
        <f ca="1">SUM(INDIRECT(ADDRESS($C$13, 10, TRUE)):INDIRECT(ADDRESS($C$14, 10, TRUE)))</f>
        <v>0.97975906520312273</v>
      </c>
    </row>
    <row r="26" spans="1:13">
      <c r="B26" s="351" t="s">
        <v>720</v>
      </c>
      <c r="C26" s="9">
        <f ca="1">AVERAGE(INDIRECT(ADDRESS($C$13, $C$15, TRUE)):INDIRECT(ADDRESS($C$14, $C$16, TRUE)))</f>
        <v>0.97726578003399933</v>
      </c>
    </row>
    <row r="27" spans="1:13">
      <c r="B27" s="351" t="s">
        <v>721</v>
      </c>
      <c r="C27" s="378">
        <f>$C$14 - $C$13 + 1</f>
        <v>31</v>
      </c>
    </row>
    <row r="28" spans="1:13">
      <c r="B28" s="351" t="s">
        <v>722</v>
      </c>
      <c r="C28" s="378">
        <f ca="1">SUM(INDIRECT(ADDRESS($C$13, 8, TRUE)):INDIRECT(ADDRESS($C$14, 8, TRUE)))</f>
        <v>3211</v>
      </c>
    </row>
    <row r="29" spans="1:13">
      <c r="B29" s="351" t="s">
        <v>723</v>
      </c>
      <c r="C29" s="378">
        <f ca="1">SUM(INDIRECT(ADDRESS($C$13, 11, TRUE)):INDIRECT(ADDRESS($C$14, 11, TRUE)))</f>
        <v>3382</v>
      </c>
    </row>
    <row r="30" spans="1:13" ht="45">
      <c r="A30" s="409" t="s">
        <v>683</v>
      </c>
      <c r="B30" s="409" t="s">
        <v>684</v>
      </c>
      <c r="C30" s="409" t="s">
        <v>685</v>
      </c>
      <c r="D30" s="409" t="s">
        <v>686</v>
      </c>
      <c r="E30" s="508" t="s">
        <v>687</v>
      </c>
      <c r="F30" s="508" t="s">
        <v>688</v>
      </c>
      <c r="G30" s="379" t="s">
        <v>720</v>
      </c>
      <c r="H30" s="380" t="s">
        <v>722</v>
      </c>
      <c r="I30" s="380" t="s">
        <v>724</v>
      </c>
      <c r="J30" s="380" t="s">
        <v>719</v>
      </c>
      <c r="K30" s="380" t="s">
        <v>723</v>
      </c>
      <c r="L30" s="380" t="s">
        <v>725</v>
      </c>
      <c r="M30" s="380" t="s">
        <v>718</v>
      </c>
    </row>
    <row r="31" spans="1:13">
      <c r="A31" s="509" t="s">
        <v>874</v>
      </c>
      <c r="B31" s="450" t="s">
        <v>875</v>
      </c>
      <c r="C31" s="419" t="s">
        <v>876</v>
      </c>
      <c r="D31" s="510">
        <v>38734</v>
      </c>
      <c r="E31" s="510">
        <v>39094</v>
      </c>
      <c r="F31" s="510">
        <v>39094</v>
      </c>
      <c r="G31" s="9">
        <f t="shared" ref="G31:G61" si="0">IF(AND(NOT(ISBLANK(D31)),ISNUMBER(D31),     NOT(ISBLANK(E31)),ISNUMBER(E31),     NOT(ISBLANK(F31)),ISNUMBER(F31)),NETWORKDAYS(D31,F31)/NETWORKDAYS(D31,E31),"Not Used")</f>
        <v>1</v>
      </c>
      <c r="H31" s="378">
        <f t="shared" ref="H31:H61" si="1">IF(AND(ISNUMBER(F31), ISNUMBER(D31)), F31 - D31, "Not Used")</f>
        <v>360</v>
      </c>
      <c r="I31" s="194">
        <f t="shared" ref="I31:I61" ca="1" si="2">IF(ISNUMBER(H31), H31 / $C$28, "Not Used")</f>
        <v>0.11211460604173155</v>
      </c>
      <c r="J31" s="194">
        <f t="shared" ref="J31:J61" ca="1" si="3">IF(ISNUMBER(G31), G31 * I31, "Not Used")</f>
        <v>0.11211460604173155</v>
      </c>
      <c r="K31" s="378">
        <f t="shared" ref="K31:K61" si="4">IF(AND(ISNUMBER(E31), ISNUMBER(D31)), E31 - D31, "Not Used")</f>
        <v>360</v>
      </c>
      <c r="L31" s="194">
        <f t="shared" ref="L31:L61" ca="1" si="5">IF(ISNUMBER(K31), K31 / $C$29, "Not Used")</f>
        <v>0.10644589000591366</v>
      </c>
      <c r="M31" s="194">
        <f t="shared" ref="M31:M61" ca="1" si="6">IF(ISNUMBER(G31), G31 * L31, "Not Used")</f>
        <v>0.10644589000591366</v>
      </c>
    </row>
    <row r="32" spans="1:13" ht="94.5">
      <c r="A32" s="509" t="s">
        <v>877</v>
      </c>
      <c r="B32" s="450" t="s">
        <v>878</v>
      </c>
      <c r="C32" s="419" t="s">
        <v>879</v>
      </c>
      <c r="D32" s="418">
        <v>39013</v>
      </c>
      <c r="E32" s="510">
        <v>39101</v>
      </c>
      <c r="F32" s="510">
        <v>39101</v>
      </c>
      <c r="G32" s="9">
        <f t="shared" si="0"/>
        <v>1</v>
      </c>
      <c r="H32" s="378">
        <f t="shared" si="1"/>
        <v>88</v>
      </c>
      <c r="I32" s="194">
        <f t="shared" ca="1" si="2"/>
        <v>2.7405792587978824E-2</v>
      </c>
      <c r="J32" s="194">
        <f t="shared" ca="1" si="3"/>
        <v>2.7405792587978824E-2</v>
      </c>
      <c r="K32" s="378">
        <f t="shared" si="4"/>
        <v>88</v>
      </c>
      <c r="L32" s="194">
        <f t="shared" ca="1" si="5"/>
        <v>2.6020106445890007E-2</v>
      </c>
      <c r="M32" s="194">
        <f t="shared" ca="1" si="6"/>
        <v>2.6020106445890007E-2</v>
      </c>
    </row>
    <row r="33" spans="1:13" ht="45">
      <c r="A33" s="509" t="s">
        <v>880</v>
      </c>
      <c r="B33" s="450" t="s">
        <v>881</v>
      </c>
      <c r="C33" s="419" t="s">
        <v>882</v>
      </c>
      <c r="D33" s="418">
        <v>38991</v>
      </c>
      <c r="E33" s="418">
        <v>39115</v>
      </c>
      <c r="F33" s="510">
        <v>39115</v>
      </c>
      <c r="G33" s="9">
        <f t="shared" si="0"/>
        <v>1</v>
      </c>
      <c r="H33" s="378">
        <f t="shared" si="1"/>
        <v>124</v>
      </c>
      <c r="I33" s="194">
        <f t="shared" ca="1" si="2"/>
        <v>3.8617253192151979E-2</v>
      </c>
      <c r="J33" s="194">
        <f t="shared" ca="1" si="3"/>
        <v>3.8617253192151979E-2</v>
      </c>
      <c r="K33" s="378">
        <f t="shared" si="4"/>
        <v>124</v>
      </c>
      <c r="L33" s="194">
        <f t="shared" ca="1" si="5"/>
        <v>3.666469544648137E-2</v>
      </c>
      <c r="M33" s="194">
        <f t="shared" ca="1" si="6"/>
        <v>3.666469544648137E-2</v>
      </c>
    </row>
    <row r="34" spans="1:13" ht="45">
      <c r="A34" s="509" t="s">
        <v>883</v>
      </c>
      <c r="B34" s="450" t="s">
        <v>884</v>
      </c>
      <c r="C34" s="419" t="s">
        <v>885</v>
      </c>
      <c r="D34" s="418">
        <v>39002</v>
      </c>
      <c r="E34" s="510">
        <v>39094</v>
      </c>
      <c r="F34" s="510">
        <v>39093</v>
      </c>
      <c r="G34" s="9">
        <f t="shared" si="0"/>
        <v>0.9850746268656716</v>
      </c>
      <c r="H34" s="378">
        <f t="shared" si="1"/>
        <v>91</v>
      </c>
      <c r="I34" s="194">
        <f t="shared" ca="1" si="2"/>
        <v>2.8340080971659919E-2</v>
      </c>
      <c r="J34" s="194">
        <f t="shared" ca="1" si="3"/>
        <v>2.7917094688500815E-2</v>
      </c>
      <c r="K34" s="378">
        <f t="shared" si="4"/>
        <v>92</v>
      </c>
      <c r="L34" s="194">
        <f t="shared" ca="1" si="5"/>
        <v>2.7202838557066823E-2</v>
      </c>
      <c r="M34" s="194">
        <f t="shared" ca="1" si="6"/>
        <v>2.6796826041289704E-2</v>
      </c>
    </row>
    <row r="35" spans="1:13" ht="45">
      <c r="A35" s="509" t="s">
        <v>886</v>
      </c>
      <c r="B35" s="450" t="s">
        <v>887</v>
      </c>
      <c r="C35" s="419" t="s">
        <v>888</v>
      </c>
      <c r="D35" s="418">
        <v>39010</v>
      </c>
      <c r="E35" s="510">
        <v>39101</v>
      </c>
      <c r="F35" s="510">
        <v>39101</v>
      </c>
      <c r="G35" s="9">
        <f t="shared" si="0"/>
        <v>1</v>
      </c>
      <c r="H35" s="378">
        <f t="shared" si="1"/>
        <v>91</v>
      </c>
      <c r="I35" s="194">
        <f t="shared" ca="1" si="2"/>
        <v>2.8340080971659919E-2</v>
      </c>
      <c r="J35" s="194">
        <f t="shared" ca="1" si="3"/>
        <v>2.8340080971659919E-2</v>
      </c>
      <c r="K35" s="378">
        <f t="shared" si="4"/>
        <v>91</v>
      </c>
      <c r="L35" s="194">
        <f t="shared" ca="1" si="5"/>
        <v>2.6907155529272621E-2</v>
      </c>
      <c r="M35" s="194">
        <f t="shared" ca="1" si="6"/>
        <v>2.6907155529272621E-2</v>
      </c>
    </row>
    <row r="36" spans="1:13" ht="25.5">
      <c r="A36" s="509" t="s">
        <v>889</v>
      </c>
      <c r="B36" s="450" t="s">
        <v>890</v>
      </c>
      <c r="C36" s="474" t="s">
        <v>853</v>
      </c>
      <c r="D36" s="418">
        <v>39010</v>
      </c>
      <c r="E36" s="510">
        <v>39144</v>
      </c>
      <c r="F36" s="510">
        <v>39144</v>
      </c>
      <c r="G36" s="9">
        <f t="shared" si="0"/>
        <v>1</v>
      </c>
      <c r="H36" s="378">
        <f t="shared" si="1"/>
        <v>134</v>
      </c>
      <c r="I36" s="194">
        <f t="shared" ca="1" si="2"/>
        <v>4.17315478044223E-2</v>
      </c>
      <c r="J36" s="194">
        <f t="shared" ca="1" si="3"/>
        <v>4.17315478044223E-2</v>
      </c>
      <c r="K36" s="378">
        <f t="shared" si="4"/>
        <v>134</v>
      </c>
      <c r="L36" s="194">
        <f t="shared" ca="1" si="5"/>
        <v>3.9621525724423415E-2</v>
      </c>
      <c r="M36" s="194">
        <f t="shared" ca="1" si="6"/>
        <v>3.9621525724423415E-2</v>
      </c>
    </row>
    <row r="37" spans="1:13" ht="45">
      <c r="A37" s="509" t="s">
        <v>891</v>
      </c>
      <c r="B37" s="450" t="s">
        <v>892</v>
      </c>
      <c r="C37" s="419" t="s">
        <v>893</v>
      </c>
      <c r="D37" s="418">
        <v>39114</v>
      </c>
      <c r="E37" s="510">
        <v>39144</v>
      </c>
      <c r="F37" s="510">
        <v>39144</v>
      </c>
      <c r="G37" s="9">
        <f t="shared" si="0"/>
        <v>1</v>
      </c>
      <c r="H37" s="378">
        <f t="shared" si="1"/>
        <v>30</v>
      </c>
      <c r="I37" s="194">
        <f t="shared" ca="1" si="2"/>
        <v>9.3428838368109623E-3</v>
      </c>
      <c r="J37" s="194">
        <f t="shared" ca="1" si="3"/>
        <v>9.3428838368109623E-3</v>
      </c>
      <c r="K37" s="378">
        <f t="shared" si="4"/>
        <v>30</v>
      </c>
      <c r="L37" s="194">
        <f t="shared" ca="1" si="5"/>
        <v>8.8704908338261383E-3</v>
      </c>
      <c r="M37" s="194">
        <f t="shared" ca="1" si="6"/>
        <v>8.8704908338261383E-3</v>
      </c>
    </row>
    <row r="38" spans="1:13" ht="90">
      <c r="A38" s="509" t="s">
        <v>894</v>
      </c>
      <c r="B38" s="450" t="s">
        <v>895</v>
      </c>
      <c r="C38" s="419" t="s">
        <v>896</v>
      </c>
      <c r="D38" s="418">
        <v>39052</v>
      </c>
      <c r="E38" s="510">
        <v>39136</v>
      </c>
      <c r="F38" s="510">
        <v>39136</v>
      </c>
      <c r="G38" s="9">
        <f t="shared" si="0"/>
        <v>1</v>
      </c>
      <c r="H38" s="378">
        <f t="shared" si="1"/>
        <v>84</v>
      </c>
      <c r="I38" s="194">
        <f t="shared" ca="1" si="2"/>
        <v>2.6160074743070694E-2</v>
      </c>
      <c r="J38" s="194">
        <f t="shared" ca="1" si="3"/>
        <v>2.6160074743070694E-2</v>
      </c>
      <c r="K38" s="378">
        <f t="shared" si="4"/>
        <v>84</v>
      </c>
      <c r="L38" s="194">
        <f t="shared" ca="1" si="5"/>
        <v>2.4837374334713187E-2</v>
      </c>
      <c r="M38" s="194">
        <f t="shared" ca="1" si="6"/>
        <v>2.4837374334713187E-2</v>
      </c>
    </row>
    <row r="39" spans="1:13" ht="78.75">
      <c r="A39" s="509" t="s">
        <v>897</v>
      </c>
      <c r="B39" s="450" t="s">
        <v>898</v>
      </c>
      <c r="C39" s="419" t="s">
        <v>899</v>
      </c>
      <c r="D39" s="418">
        <v>39097</v>
      </c>
      <c r="E39" s="510">
        <v>39164</v>
      </c>
      <c r="F39" s="510">
        <v>39163</v>
      </c>
      <c r="G39" s="9">
        <f t="shared" si="0"/>
        <v>0.98</v>
      </c>
      <c r="H39" s="378">
        <f t="shared" si="1"/>
        <v>66</v>
      </c>
      <c r="I39" s="194">
        <f t="shared" ca="1" si="2"/>
        <v>2.0554344440984116E-2</v>
      </c>
      <c r="J39" s="194">
        <f t="shared" ca="1" si="3"/>
        <v>2.0143257552164433E-2</v>
      </c>
      <c r="K39" s="378">
        <f t="shared" si="4"/>
        <v>67</v>
      </c>
      <c r="L39" s="194">
        <f t="shared" ca="1" si="5"/>
        <v>1.9810762862211707E-2</v>
      </c>
      <c r="M39" s="194">
        <f t="shared" ca="1" si="6"/>
        <v>1.9414547604967473E-2</v>
      </c>
    </row>
    <row r="40" spans="1:13" ht="45">
      <c r="A40" s="509" t="s">
        <v>900</v>
      </c>
      <c r="B40" s="450" t="s">
        <v>901</v>
      </c>
      <c r="C40" s="419" t="s">
        <v>902</v>
      </c>
      <c r="D40" s="418">
        <v>39097</v>
      </c>
      <c r="E40" s="510">
        <v>39164</v>
      </c>
      <c r="F40" s="510">
        <v>39164</v>
      </c>
      <c r="G40" s="9">
        <f t="shared" si="0"/>
        <v>1</v>
      </c>
      <c r="H40" s="378">
        <f t="shared" si="1"/>
        <v>67</v>
      </c>
      <c r="I40" s="194">
        <f t="shared" ca="1" si="2"/>
        <v>2.086577390221115E-2</v>
      </c>
      <c r="J40" s="194">
        <f t="shared" ca="1" si="3"/>
        <v>2.086577390221115E-2</v>
      </c>
      <c r="K40" s="378">
        <f t="shared" si="4"/>
        <v>67</v>
      </c>
      <c r="L40" s="194">
        <f t="shared" ca="1" si="5"/>
        <v>1.9810762862211707E-2</v>
      </c>
      <c r="M40" s="194">
        <f t="shared" ca="1" si="6"/>
        <v>1.9810762862211707E-2</v>
      </c>
    </row>
    <row r="41" spans="1:13" ht="45">
      <c r="A41" s="509" t="s">
        <v>903</v>
      </c>
      <c r="B41" s="450" t="s">
        <v>904</v>
      </c>
      <c r="C41" s="419" t="s">
        <v>905</v>
      </c>
      <c r="D41" s="418">
        <v>39097</v>
      </c>
      <c r="E41" s="510">
        <v>39172</v>
      </c>
      <c r="F41" s="510">
        <v>39172</v>
      </c>
      <c r="G41" s="9">
        <f t="shared" si="0"/>
        <v>1</v>
      </c>
      <c r="H41" s="378">
        <f t="shared" si="1"/>
        <v>75</v>
      </c>
      <c r="I41" s="194">
        <f t="shared" ca="1" si="2"/>
        <v>2.3357209592027407E-2</v>
      </c>
      <c r="J41" s="194">
        <f t="shared" ca="1" si="3"/>
        <v>2.3357209592027407E-2</v>
      </c>
      <c r="K41" s="378">
        <f t="shared" si="4"/>
        <v>75</v>
      </c>
      <c r="L41" s="194">
        <f t="shared" ca="1" si="5"/>
        <v>2.2176227084565348E-2</v>
      </c>
      <c r="M41" s="194">
        <f t="shared" ca="1" si="6"/>
        <v>2.2176227084565348E-2</v>
      </c>
    </row>
    <row r="42" spans="1:13" ht="45">
      <c r="A42" s="509" t="s">
        <v>906</v>
      </c>
      <c r="B42" s="450" t="s">
        <v>907</v>
      </c>
      <c r="C42" s="511" t="s">
        <v>908</v>
      </c>
      <c r="D42" s="418">
        <v>39114</v>
      </c>
      <c r="E42" s="510">
        <v>39170</v>
      </c>
      <c r="F42" s="510">
        <v>39167</v>
      </c>
      <c r="G42" s="9">
        <f t="shared" si="0"/>
        <v>0.92682926829268297</v>
      </c>
      <c r="H42" s="378">
        <f t="shared" si="1"/>
        <v>53</v>
      </c>
      <c r="I42" s="194">
        <f t="shared" ca="1" si="2"/>
        <v>1.6505761445032699E-2</v>
      </c>
      <c r="J42" s="194">
        <f t="shared" ca="1" si="3"/>
        <v>1.5298022802713234E-2</v>
      </c>
      <c r="K42" s="378">
        <f t="shared" si="4"/>
        <v>56</v>
      </c>
      <c r="L42" s="194">
        <f t="shared" ca="1" si="5"/>
        <v>1.655824955647546E-2</v>
      </c>
      <c r="M42" s="194">
        <f t="shared" ca="1" si="6"/>
        <v>1.5346670320635794E-2</v>
      </c>
    </row>
    <row r="43" spans="1:13" ht="45">
      <c r="A43" s="509" t="s">
        <v>909</v>
      </c>
      <c r="B43" s="450" t="s">
        <v>910</v>
      </c>
      <c r="C43" s="419" t="s">
        <v>911</v>
      </c>
      <c r="D43" s="418">
        <v>38934</v>
      </c>
      <c r="E43" s="418">
        <v>39101</v>
      </c>
      <c r="F43" s="510">
        <v>39101</v>
      </c>
      <c r="G43" s="9">
        <f t="shared" si="0"/>
        <v>1</v>
      </c>
      <c r="H43" s="378">
        <f t="shared" si="1"/>
        <v>167</v>
      </c>
      <c r="I43" s="194">
        <f t="shared" ca="1" si="2"/>
        <v>5.2008720024914357E-2</v>
      </c>
      <c r="J43" s="194">
        <f t="shared" ca="1" si="3"/>
        <v>5.2008720024914357E-2</v>
      </c>
      <c r="K43" s="378">
        <f t="shared" si="4"/>
        <v>167</v>
      </c>
      <c r="L43" s="194">
        <f t="shared" ca="1" si="5"/>
        <v>4.9379065641632171E-2</v>
      </c>
      <c r="M43" s="194">
        <f t="shared" ca="1" si="6"/>
        <v>4.9379065641632171E-2</v>
      </c>
    </row>
    <row r="44" spans="1:13" ht="80.25">
      <c r="A44" s="509" t="s">
        <v>912</v>
      </c>
      <c r="B44" s="450" t="s">
        <v>913</v>
      </c>
      <c r="C44" s="512" t="s">
        <v>914</v>
      </c>
      <c r="D44" s="418">
        <v>39118</v>
      </c>
      <c r="E44" s="510">
        <v>39203</v>
      </c>
      <c r="F44" s="510">
        <v>39203</v>
      </c>
      <c r="G44" s="9">
        <f t="shared" si="0"/>
        <v>1</v>
      </c>
      <c r="H44" s="378">
        <f t="shared" si="1"/>
        <v>85</v>
      </c>
      <c r="I44" s="194">
        <f t="shared" ca="1" si="2"/>
        <v>2.6471504204297728E-2</v>
      </c>
      <c r="J44" s="194">
        <f t="shared" ca="1" si="3"/>
        <v>2.6471504204297728E-2</v>
      </c>
      <c r="K44" s="378">
        <f t="shared" si="4"/>
        <v>85</v>
      </c>
      <c r="L44" s="194">
        <f t="shared" ca="1" si="5"/>
        <v>2.5133057362507392E-2</v>
      </c>
      <c r="M44" s="194">
        <f t="shared" ca="1" si="6"/>
        <v>2.5133057362507392E-2</v>
      </c>
    </row>
    <row r="45" spans="1:13" ht="45">
      <c r="A45" s="509" t="s">
        <v>915</v>
      </c>
      <c r="B45" s="450" t="s">
        <v>916</v>
      </c>
      <c r="C45" s="419" t="s">
        <v>917</v>
      </c>
      <c r="D45" s="418">
        <v>38626</v>
      </c>
      <c r="E45" s="418">
        <v>39206</v>
      </c>
      <c r="F45" s="510">
        <v>39209</v>
      </c>
      <c r="G45" s="9">
        <f t="shared" si="0"/>
        <v>1.0024096385542169</v>
      </c>
      <c r="H45" s="378">
        <f t="shared" si="1"/>
        <v>583</v>
      </c>
      <c r="I45" s="194">
        <f t="shared" ca="1" si="2"/>
        <v>0.1815633758953597</v>
      </c>
      <c r="J45" s="194">
        <f t="shared" ca="1" si="3"/>
        <v>0.18200087800595094</v>
      </c>
      <c r="K45" s="378">
        <f t="shared" si="4"/>
        <v>580</v>
      </c>
      <c r="L45" s="194">
        <f t="shared" ca="1" si="5"/>
        <v>0.17149615612063868</v>
      </c>
      <c r="M45" s="194">
        <f t="shared" ca="1" si="6"/>
        <v>0.17190939987032697</v>
      </c>
    </row>
    <row r="46" spans="1:13" ht="45">
      <c r="A46" s="509" t="s">
        <v>906</v>
      </c>
      <c r="B46" s="513" t="s">
        <v>918</v>
      </c>
      <c r="C46" s="511" t="s">
        <v>919</v>
      </c>
      <c r="D46" s="418">
        <v>39114</v>
      </c>
      <c r="E46" s="510">
        <v>39202</v>
      </c>
      <c r="F46" s="510">
        <v>39202</v>
      </c>
      <c r="G46" s="9">
        <f t="shared" si="0"/>
        <v>1</v>
      </c>
      <c r="H46" s="378">
        <f t="shared" si="1"/>
        <v>88</v>
      </c>
      <c r="I46" s="194">
        <f t="shared" ca="1" si="2"/>
        <v>2.7405792587978824E-2</v>
      </c>
      <c r="J46" s="194">
        <f t="shared" ca="1" si="3"/>
        <v>2.7405792587978824E-2</v>
      </c>
      <c r="K46" s="378">
        <f t="shared" si="4"/>
        <v>88</v>
      </c>
      <c r="L46" s="194">
        <f t="shared" ca="1" si="5"/>
        <v>2.6020106445890007E-2</v>
      </c>
      <c r="M46" s="194">
        <f t="shared" ca="1" si="6"/>
        <v>2.6020106445890007E-2</v>
      </c>
    </row>
    <row r="47" spans="1:13" ht="45">
      <c r="A47" s="509" t="s">
        <v>920</v>
      </c>
      <c r="B47" s="514" t="s">
        <v>921</v>
      </c>
      <c r="C47" s="511" t="s">
        <v>922</v>
      </c>
      <c r="D47" s="418">
        <v>39142</v>
      </c>
      <c r="E47" s="510">
        <v>39203</v>
      </c>
      <c r="F47" s="510">
        <v>39203</v>
      </c>
      <c r="G47" s="9">
        <f t="shared" si="0"/>
        <v>1</v>
      </c>
      <c r="H47" s="378">
        <f t="shared" si="1"/>
        <v>61</v>
      </c>
      <c r="I47" s="194">
        <f t="shared" ca="1" si="2"/>
        <v>1.8997197134848955E-2</v>
      </c>
      <c r="J47" s="194">
        <f t="shared" ca="1" si="3"/>
        <v>1.8997197134848955E-2</v>
      </c>
      <c r="K47" s="378">
        <f t="shared" si="4"/>
        <v>61</v>
      </c>
      <c r="L47" s="194">
        <f t="shared" ca="1" si="5"/>
        <v>1.8036664695446483E-2</v>
      </c>
      <c r="M47" s="194">
        <f t="shared" ca="1" si="6"/>
        <v>1.8036664695446483E-2</v>
      </c>
    </row>
    <row r="48" spans="1:13" ht="45">
      <c r="A48" s="509" t="s">
        <v>923</v>
      </c>
      <c r="B48" s="450" t="s">
        <v>924</v>
      </c>
      <c r="C48" s="419" t="s">
        <v>925</v>
      </c>
      <c r="D48" s="418">
        <v>39114</v>
      </c>
      <c r="E48" s="510">
        <v>39206</v>
      </c>
      <c r="F48" s="510"/>
      <c r="G48" s="9" t="str">
        <f t="shared" si="0"/>
        <v>Not Used</v>
      </c>
      <c r="H48" s="378" t="str">
        <f t="shared" si="1"/>
        <v>Not Used</v>
      </c>
      <c r="I48" s="194" t="str">
        <f t="shared" si="2"/>
        <v>Not Used</v>
      </c>
      <c r="J48" s="194" t="str">
        <f t="shared" si="3"/>
        <v>Not Used</v>
      </c>
      <c r="K48" s="378">
        <f t="shared" si="4"/>
        <v>92</v>
      </c>
      <c r="L48" s="194">
        <f t="shared" ca="1" si="5"/>
        <v>2.7202838557066823E-2</v>
      </c>
      <c r="M48" s="194" t="str">
        <f t="shared" si="6"/>
        <v>Not Used</v>
      </c>
    </row>
    <row r="49" spans="1:13" ht="56.25">
      <c r="A49" s="509" t="s">
        <v>926</v>
      </c>
      <c r="B49" s="450" t="s">
        <v>927</v>
      </c>
      <c r="C49" s="515" t="s">
        <v>928</v>
      </c>
      <c r="D49" s="418">
        <v>39102</v>
      </c>
      <c r="E49" s="510">
        <v>39220</v>
      </c>
      <c r="F49" s="510">
        <v>39220</v>
      </c>
      <c r="G49" s="9">
        <f t="shared" si="0"/>
        <v>1</v>
      </c>
      <c r="H49" s="378">
        <f t="shared" si="1"/>
        <v>118</v>
      </c>
      <c r="I49" s="194">
        <f t="shared" ca="1" si="2"/>
        <v>3.6748676424789788E-2</v>
      </c>
      <c r="J49" s="194">
        <f t="shared" ca="1" si="3"/>
        <v>3.6748676424789788E-2</v>
      </c>
      <c r="K49" s="378">
        <f t="shared" si="4"/>
        <v>118</v>
      </c>
      <c r="L49" s="194">
        <f t="shared" ca="1" si="5"/>
        <v>3.4890597279716141E-2</v>
      </c>
      <c r="M49" s="194">
        <f t="shared" ca="1" si="6"/>
        <v>3.4890597279716141E-2</v>
      </c>
    </row>
    <row r="50" spans="1:13" ht="56.25">
      <c r="A50" s="509" t="s">
        <v>929</v>
      </c>
      <c r="B50" s="450" t="s">
        <v>930</v>
      </c>
      <c r="C50" s="516" t="s">
        <v>931</v>
      </c>
      <c r="D50" s="418">
        <v>39101</v>
      </c>
      <c r="E50" s="510">
        <v>39192</v>
      </c>
      <c r="F50" s="510">
        <v>39192</v>
      </c>
      <c r="G50" s="9">
        <f t="shared" si="0"/>
        <v>1</v>
      </c>
      <c r="H50" s="378">
        <f t="shared" si="1"/>
        <v>91</v>
      </c>
      <c r="I50" s="194">
        <f t="shared" ca="1" si="2"/>
        <v>2.8340080971659919E-2</v>
      </c>
      <c r="J50" s="194">
        <f t="shared" ca="1" si="3"/>
        <v>2.8340080971659919E-2</v>
      </c>
      <c r="K50" s="378">
        <f t="shared" si="4"/>
        <v>91</v>
      </c>
      <c r="L50" s="194">
        <f t="shared" ca="1" si="5"/>
        <v>2.6907155529272621E-2</v>
      </c>
      <c r="M50" s="194">
        <f t="shared" ca="1" si="6"/>
        <v>2.6907155529272621E-2</v>
      </c>
    </row>
    <row r="51" spans="1:13" ht="67.5">
      <c r="A51" s="517" t="s">
        <v>932</v>
      </c>
      <c r="B51" s="513" t="s">
        <v>933</v>
      </c>
      <c r="C51" s="511" t="s">
        <v>934</v>
      </c>
      <c r="D51" s="418">
        <v>39142</v>
      </c>
      <c r="E51" s="510">
        <v>39220</v>
      </c>
      <c r="F51" s="510">
        <v>39220</v>
      </c>
      <c r="G51" s="9">
        <f t="shared" si="0"/>
        <v>1</v>
      </c>
      <c r="H51" s="378">
        <f t="shared" si="1"/>
        <v>78</v>
      </c>
      <c r="I51" s="194">
        <f t="shared" ca="1" si="2"/>
        <v>2.4291497975708502E-2</v>
      </c>
      <c r="J51" s="194">
        <f t="shared" ca="1" si="3"/>
        <v>2.4291497975708502E-2</v>
      </c>
      <c r="K51" s="378">
        <f t="shared" si="4"/>
        <v>78</v>
      </c>
      <c r="L51" s="194">
        <f t="shared" ca="1" si="5"/>
        <v>2.3063276167947958E-2</v>
      </c>
      <c r="M51" s="194">
        <f t="shared" ca="1" si="6"/>
        <v>2.3063276167947958E-2</v>
      </c>
    </row>
    <row r="52" spans="1:13" ht="101.25">
      <c r="A52" s="517" t="s">
        <v>935</v>
      </c>
      <c r="B52" s="513" t="s">
        <v>936</v>
      </c>
      <c r="C52" s="516" t="s">
        <v>937</v>
      </c>
      <c r="D52" s="418">
        <v>39184</v>
      </c>
      <c r="E52" s="510">
        <v>39255</v>
      </c>
      <c r="F52" s="510">
        <v>39254</v>
      </c>
      <c r="G52" s="9">
        <f t="shared" si="0"/>
        <v>0.98076923076923073</v>
      </c>
      <c r="H52" s="378">
        <f t="shared" si="1"/>
        <v>70</v>
      </c>
      <c r="I52" s="194">
        <f t="shared" ca="1" si="2"/>
        <v>2.1800062285892246E-2</v>
      </c>
      <c r="J52" s="194">
        <f t="shared" ca="1" si="3"/>
        <v>2.1380830318855855E-2</v>
      </c>
      <c r="K52" s="378">
        <f t="shared" si="4"/>
        <v>71</v>
      </c>
      <c r="L52" s="194">
        <f t="shared" ca="1" si="5"/>
        <v>2.0993494973388527E-2</v>
      </c>
      <c r="M52" s="194">
        <f t="shared" ca="1" si="6"/>
        <v>2.0589773916207976E-2</v>
      </c>
    </row>
    <row r="53" spans="1:13" ht="45">
      <c r="A53" s="509" t="s">
        <v>938</v>
      </c>
      <c r="B53" s="419" t="s">
        <v>939</v>
      </c>
      <c r="C53" s="419" t="s">
        <v>940</v>
      </c>
      <c r="D53" s="418">
        <v>38945</v>
      </c>
      <c r="E53" s="418">
        <v>39199</v>
      </c>
      <c r="F53" s="510">
        <v>39135</v>
      </c>
      <c r="G53" s="9">
        <f t="shared" si="0"/>
        <v>0.74863387978142082</v>
      </c>
      <c r="H53" s="378">
        <f t="shared" si="1"/>
        <v>190</v>
      </c>
      <c r="I53" s="194">
        <f t="shared" ca="1" si="2"/>
        <v>5.9171597633136092E-2</v>
      </c>
      <c r="J53" s="194">
        <f t="shared" ca="1" si="3"/>
        <v>4.4297862708959808E-2</v>
      </c>
      <c r="K53" s="378">
        <f t="shared" si="4"/>
        <v>254</v>
      </c>
      <c r="L53" s="194">
        <f t="shared" ca="1" si="5"/>
        <v>7.5103489059727968E-2</v>
      </c>
      <c r="M53" s="194">
        <f t="shared" ca="1" si="6"/>
        <v>5.6225016399905639E-2</v>
      </c>
    </row>
    <row r="54" spans="1:13" ht="45">
      <c r="A54" s="509" t="s">
        <v>941</v>
      </c>
      <c r="B54" s="419" t="s">
        <v>942</v>
      </c>
      <c r="C54" s="419" t="s">
        <v>943</v>
      </c>
      <c r="D54" s="418">
        <v>39119</v>
      </c>
      <c r="E54" s="418">
        <v>39140</v>
      </c>
      <c r="F54" s="510">
        <v>39139</v>
      </c>
      <c r="G54" s="9">
        <f t="shared" si="0"/>
        <v>0.9375</v>
      </c>
      <c r="H54" s="378">
        <f t="shared" si="1"/>
        <v>20</v>
      </c>
      <c r="I54" s="194">
        <f t="shared" ca="1" si="2"/>
        <v>6.2285892245406418E-3</v>
      </c>
      <c r="J54" s="194">
        <f t="shared" ca="1" si="3"/>
        <v>5.8393023980068516E-3</v>
      </c>
      <c r="K54" s="378">
        <f t="shared" si="4"/>
        <v>21</v>
      </c>
      <c r="L54" s="194">
        <f t="shared" ca="1" si="5"/>
        <v>6.2093435836782966E-3</v>
      </c>
      <c r="M54" s="194">
        <f t="shared" ca="1" si="6"/>
        <v>5.8212596096984034E-3</v>
      </c>
    </row>
    <row r="55" spans="1:13" ht="45">
      <c r="A55" s="509" t="s">
        <v>944</v>
      </c>
      <c r="B55" s="419" t="s">
        <v>945</v>
      </c>
      <c r="C55" s="419" t="s">
        <v>946</v>
      </c>
      <c r="D55" s="510">
        <v>39008</v>
      </c>
      <c r="E55" s="510">
        <v>39181</v>
      </c>
      <c r="F55" s="510">
        <v>39181</v>
      </c>
      <c r="G55" s="9">
        <f t="shared" si="0"/>
        <v>1</v>
      </c>
      <c r="H55" s="378">
        <f t="shared" si="1"/>
        <v>173</v>
      </c>
      <c r="I55" s="194">
        <f t="shared" ca="1" si="2"/>
        <v>5.3877296792276548E-2</v>
      </c>
      <c r="J55" s="194">
        <f t="shared" ca="1" si="3"/>
        <v>5.3877296792276548E-2</v>
      </c>
      <c r="K55" s="378">
        <f t="shared" si="4"/>
        <v>173</v>
      </c>
      <c r="L55" s="194">
        <f t="shared" ca="1" si="5"/>
        <v>5.1153163808397399E-2</v>
      </c>
      <c r="M55" s="194">
        <f t="shared" ca="1" si="6"/>
        <v>5.1153163808397399E-2</v>
      </c>
    </row>
    <row r="56" spans="1:13" ht="45">
      <c r="A56" s="509" t="s">
        <v>912</v>
      </c>
      <c r="B56" s="450" t="s">
        <v>913</v>
      </c>
      <c r="C56" s="419" t="s">
        <v>947</v>
      </c>
      <c r="D56" s="418">
        <v>39118</v>
      </c>
      <c r="E56" s="510">
        <v>39203</v>
      </c>
      <c r="F56" s="510">
        <v>39203</v>
      </c>
      <c r="G56" s="9">
        <f t="shared" si="0"/>
        <v>1</v>
      </c>
      <c r="H56" s="378">
        <f t="shared" si="1"/>
        <v>85</v>
      </c>
      <c r="I56" s="194">
        <f t="shared" ca="1" si="2"/>
        <v>2.6471504204297728E-2</v>
      </c>
      <c r="J56" s="194">
        <f t="shared" ca="1" si="3"/>
        <v>2.6471504204297728E-2</v>
      </c>
      <c r="K56" s="378">
        <f t="shared" si="4"/>
        <v>85</v>
      </c>
      <c r="L56" s="194">
        <f t="shared" ca="1" si="5"/>
        <v>2.5133057362507392E-2</v>
      </c>
      <c r="M56" s="194">
        <f t="shared" ca="1" si="6"/>
        <v>2.5133057362507392E-2</v>
      </c>
    </row>
    <row r="57" spans="1:13" ht="90">
      <c r="A57" s="509" t="s">
        <v>948</v>
      </c>
      <c r="B57" s="419" t="s">
        <v>949</v>
      </c>
      <c r="C57" s="516" t="s">
        <v>950</v>
      </c>
      <c r="D57" s="518">
        <v>39203</v>
      </c>
      <c r="E57" s="518">
        <v>39227</v>
      </c>
      <c r="F57" s="518">
        <v>39227</v>
      </c>
      <c r="G57" s="9">
        <f t="shared" si="0"/>
        <v>1</v>
      </c>
      <c r="H57" s="378">
        <f t="shared" si="1"/>
        <v>24</v>
      </c>
      <c r="I57" s="194">
        <f t="shared" ca="1" si="2"/>
        <v>7.47430706944877E-3</v>
      </c>
      <c r="J57" s="194">
        <f t="shared" ca="1" si="3"/>
        <v>7.47430706944877E-3</v>
      </c>
      <c r="K57" s="378">
        <f t="shared" si="4"/>
        <v>24</v>
      </c>
      <c r="L57" s="194">
        <f t="shared" ca="1" si="5"/>
        <v>7.0963926670609108E-3</v>
      </c>
      <c r="M57" s="194">
        <f t="shared" ca="1" si="6"/>
        <v>7.0963926670609108E-3</v>
      </c>
    </row>
    <row r="58" spans="1:13" ht="33.75">
      <c r="A58" s="509" t="s">
        <v>951</v>
      </c>
      <c r="B58" s="419" t="s">
        <v>952</v>
      </c>
      <c r="C58" s="516" t="s">
        <v>953</v>
      </c>
      <c r="D58" s="518">
        <v>39203</v>
      </c>
      <c r="E58" s="518">
        <v>39227</v>
      </c>
      <c r="F58" s="518">
        <v>39227</v>
      </c>
      <c r="G58" s="9">
        <f t="shared" si="0"/>
        <v>1</v>
      </c>
      <c r="H58" s="378">
        <f t="shared" si="1"/>
        <v>24</v>
      </c>
      <c r="I58" s="194">
        <f t="shared" ca="1" si="2"/>
        <v>7.47430706944877E-3</v>
      </c>
      <c r="J58" s="194">
        <f t="shared" ca="1" si="3"/>
        <v>7.47430706944877E-3</v>
      </c>
      <c r="K58" s="378">
        <f t="shared" si="4"/>
        <v>24</v>
      </c>
      <c r="L58" s="194">
        <f t="shared" ca="1" si="5"/>
        <v>7.0963926670609108E-3</v>
      </c>
      <c r="M58" s="194">
        <f t="shared" ca="1" si="6"/>
        <v>7.0963926670609108E-3</v>
      </c>
    </row>
    <row r="59" spans="1:13" ht="101.25">
      <c r="A59" s="509" t="s">
        <v>954</v>
      </c>
      <c r="B59" s="419" t="s">
        <v>955</v>
      </c>
      <c r="C59" s="419" t="s">
        <v>956</v>
      </c>
      <c r="D59" s="418">
        <v>39234</v>
      </c>
      <c r="E59" s="510">
        <v>39260</v>
      </c>
      <c r="F59" s="518">
        <v>39260</v>
      </c>
      <c r="G59" s="9">
        <f t="shared" si="0"/>
        <v>1</v>
      </c>
      <c r="H59" s="378">
        <f t="shared" si="1"/>
        <v>26</v>
      </c>
      <c r="I59" s="194">
        <f t="shared" ca="1" si="2"/>
        <v>8.0971659919028341E-3</v>
      </c>
      <c r="J59" s="194">
        <f t="shared" ca="1" si="3"/>
        <v>8.0971659919028341E-3</v>
      </c>
      <c r="K59" s="378">
        <f t="shared" si="4"/>
        <v>26</v>
      </c>
      <c r="L59" s="194">
        <f t="shared" ca="1" si="5"/>
        <v>7.68775872264932E-3</v>
      </c>
      <c r="M59" s="194">
        <f t="shared" ca="1" si="6"/>
        <v>7.68775872264932E-3</v>
      </c>
    </row>
    <row r="60" spans="1:13" ht="56.25">
      <c r="A60" s="509" t="s">
        <v>957</v>
      </c>
      <c r="B60" s="419" t="s">
        <v>952</v>
      </c>
      <c r="C60" s="419" t="s">
        <v>958</v>
      </c>
      <c r="D60" s="418">
        <v>39234</v>
      </c>
      <c r="E60" s="510">
        <v>39260</v>
      </c>
      <c r="F60" s="518">
        <v>39260</v>
      </c>
      <c r="G60" s="9">
        <f t="shared" si="0"/>
        <v>1</v>
      </c>
      <c r="H60" s="378">
        <f t="shared" si="1"/>
        <v>26</v>
      </c>
      <c r="I60" s="194">
        <f t="shared" ca="1" si="2"/>
        <v>8.0971659919028341E-3</v>
      </c>
      <c r="J60" s="194">
        <f t="shared" ca="1" si="3"/>
        <v>8.0971659919028341E-3</v>
      </c>
      <c r="K60" s="378">
        <f t="shared" si="4"/>
        <v>26</v>
      </c>
      <c r="L60" s="194">
        <f t="shared" ca="1" si="5"/>
        <v>7.68775872264932E-3</v>
      </c>
      <c r="M60" s="194">
        <f t="shared" ca="1" si="6"/>
        <v>7.68775872264932E-3</v>
      </c>
    </row>
    <row r="61" spans="1:13" ht="33.75">
      <c r="A61" s="509" t="s">
        <v>959</v>
      </c>
      <c r="B61" s="419" t="s">
        <v>960</v>
      </c>
      <c r="C61" s="419" t="s">
        <v>961</v>
      </c>
      <c r="D61" s="418">
        <v>39198</v>
      </c>
      <c r="E61" s="418">
        <v>39248</v>
      </c>
      <c r="F61" s="518">
        <v>39237</v>
      </c>
      <c r="G61" s="9">
        <f t="shared" si="0"/>
        <v>0.7567567567567568</v>
      </c>
      <c r="H61" s="378">
        <f t="shared" si="1"/>
        <v>39</v>
      </c>
      <c r="I61" s="194">
        <f t="shared" ca="1" si="2"/>
        <v>1.2145748987854251E-2</v>
      </c>
      <c r="J61" s="194">
        <f t="shared" ca="1" si="3"/>
        <v>9.1913776124302442E-3</v>
      </c>
      <c r="K61" s="378">
        <f t="shared" si="4"/>
        <v>50</v>
      </c>
      <c r="L61" s="194">
        <f t="shared" ca="1" si="5"/>
        <v>1.478415138971023E-2</v>
      </c>
      <c r="M61" s="194">
        <f t="shared" ca="1" si="6"/>
        <v>1.1188006457078013E-2</v>
      </c>
    </row>
  </sheetData>
  <dataValidations count="2">
    <dataValidation allowBlank="1" showInputMessage="1" showErrorMessage="1" errorTitle="Input Invalid" error="Selection must be from drop down list." sqref="E35:F52 E34 E30:F33"/>
    <dataValidation type="list" allowBlank="1" showDropDown="1" showInputMessage="1" errorTitle="Input Invalid" error="Selection must be from drop down list." sqref="D30">
      <formula1>#REF!</formula1>
    </dataValidation>
  </dataValidations>
  <hyperlinks>
    <hyperlink ref="A2" location="'On-Time Delivery Data'!A1" display="On-Time Delivery Data"/>
    <hyperlink ref="A1" location="'Table of Contents'!A1" display="Table of Contents"/>
  </hyperlinks>
  <pageMargins left="0.7" right="0.7" top="0.75" bottom="0.75" header="0.3" footer="0.3"/>
  <pageSetup orientation="portrait" r:id="rId1"/>
  <headerFooter>
    <oddFooter>&amp;L&amp;5&amp;Z&amp;F
Created: 9/29/2006 10:44:00 PM
Last Saved: 2/22/2008 9:07:29 AM
Last Printed: 2/22/2008 9:10:13 AM&amp;R&amp;5&amp;P - &amp;N
Title :&lt;Not Set&gt;
Subject: &lt;Not Set&gt;</oddFooter>
  </headerFooter>
</worksheet>
</file>

<file path=xl/worksheets/sheet28.xml><?xml version="1.0" encoding="utf-8"?>
<worksheet xmlns="http://schemas.openxmlformats.org/spreadsheetml/2006/main" xmlns:r="http://schemas.openxmlformats.org/officeDocument/2006/relationships">
  <sheetPr codeName="Sheet1"/>
  <dimension ref="A1:L205"/>
  <sheetViews>
    <sheetView topLeftCell="A19" zoomScale="90" zoomScaleNormal="90" workbookViewId="0">
      <pane xSplit="1" topLeftCell="H1" activePane="topRight" state="frozen"/>
      <selection activeCell="A22" sqref="A22"/>
      <selection pane="topRight" activeCell="I39" sqref="I39"/>
    </sheetView>
  </sheetViews>
  <sheetFormatPr defaultRowHeight="12.75"/>
  <cols>
    <col min="1" max="1" width="27.7109375" customWidth="1"/>
    <col min="2" max="3" width="18.7109375" style="90" customWidth="1"/>
    <col min="4" max="4" width="18.7109375" customWidth="1"/>
    <col min="5" max="5" width="18.7109375" style="14" customWidth="1"/>
    <col min="6" max="6" width="13.28515625" bestFit="1" customWidth="1"/>
    <col min="7" max="7" width="19.85546875" customWidth="1"/>
    <col min="8" max="8" width="12.28515625" bestFit="1" customWidth="1"/>
    <col min="9" max="9" width="102.140625" customWidth="1"/>
    <col min="10" max="10" width="21.85546875" customWidth="1"/>
    <col min="11" max="11" width="12.85546875" bestFit="1" customWidth="1"/>
    <col min="12" max="12" width="36.28515625" customWidth="1"/>
  </cols>
  <sheetData>
    <row r="1" spans="1:4">
      <c r="A1" s="5" t="s">
        <v>29</v>
      </c>
      <c r="B1" s="5"/>
      <c r="C1" s="5"/>
    </row>
    <row r="4" spans="1:4">
      <c r="B4" s="89" t="s">
        <v>306</v>
      </c>
      <c r="C4" s="89" t="s">
        <v>305</v>
      </c>
    </row>
    <row r="5" spans="1:4">
      <c r="B5" s="230">
        <v>0</v>
      </c>
      <c r="C5" s="231">
        <v>1</v>
      </c>
      <c r="D5" s="231" t="s">
        <v>310</v>
      </c>
    </row>
    <row r="6" spans="1:4">
      <c r="B6" s="196">
        <v>0.7</v>
      </c>
      <c r="C6" s="232">
        <v>2</v>
      </c>
      <c r="D6" s="232" t="s">
        <v>321</v>
      </c>
    </row>
    <row r="7" spans="1:4">
      <c r="B7" s="196">
        <v>0.8</v>
      </c>
      <c r="C7" s="232">
        <v>3</v>
      </c>
      <c r="D7" s="232" t="s">
        <v>322</v>
      </c>
    </row>
    <row r="8" spans="1:4">
      <c r="B8" s="195">
        <v>0.9</v>
      </c>
      <c r="C8" s="233">
        <v>4</v>
      </c>
      <c r="D8" s="233" t="s">
        <v>311</v>
      </c>
    </row>
    <row r="9" spans="1:4">
      <c r="B9" s="195">
        <v>0.95</v>
      </c>
      <c r="C9" s="233">
        <v>4.5</v>
      </c>
      <c r="D9" s="233" t="s">
        <v>312</v>
      </c>
    </row>
    <row r="10" spans="1:4">
      <c r="B10" s="228">
        <v>0.98</v>
      </c>
      <c r="C10" s="229">
        <v>5</v>
      </c>
      <c r="D10" s="229" t="s">
        <v>316</v>
      </c>
    </row>
    <row r="11" spans="1:4">
      <c r="B11" s="228">
        <v>1</v>
      </c>
      <c r="C11" s="229">
        <v>5</v>
      </c>
      <c r="D11" s="229" t="s">
        <v>317</v>
      </c>
    </row>
    <row r="12" spans="1:4">
      <c r="B12" s="195">
        <v>1.0201</v>
      </c>
      <c r="C12" s="233">
        <v>4.5</v>
      </c>
      <c r="D12" s="233" t="s">
        <v>313</v>
      </c>
    </row>
    <row r="13" spans="1:4">
      <c r="B13" s="195">
        <v>1.0501</v>
      </c>
      <c r="C13" s="233">
        <v>4</v>
      </c>
      <c r="D13" s="233" t="s">
        <v>314</v>
      </c>
    </row>
    <row r="14" spans="1:4">
      <c r="B14" s="196">
        <v>1.1001000000000001</v>
      </c>
      <c r="C14" s="232">
        <v>3</v>
      </c>
      <c r="D14" s="232" t="s">
        <v>323</v>
      </c>
    </row>
    <row r="15" spans="1:4">
      <c r="B15" s="196">
        <v>1.2000999999999999</v>
      </c>
      <c r="C15" s="232">
        <v>2</v>
      </c>
      <c r="D15" s="232" t="s">
        <v>324</v>
      </c>
    </row>
    <row r="16" spans="1:4">
      <c r="B16" s="230">
        <v>1.3001</v>
      </c>
      <c r="C16" s="231">
        <v>1</v>
      </c>
      <c r="D16" s="231" t="s">
        <v>315</v>
      </c>
    </row>
    <row r="17" spans="1:12">
      <c r="B17" s="194">
        <v>100</v>
      </c>
      <c r="C17" s="202">
        <v>1</v>
      </c>
      <c r="D17" s="202"/>
    </row>
    <row r="30" spans="1:12" ht="48" thickBot="1">
      <c r="A30" s="7" t="s">
        <v>51</v>
      </c>
      <c r="B30" s="7" t="s">
        <v>305</v>
      </c>
      <c r="C30" s="7" t="s">
        <v>526</v>
      </c>
      <c r="D30" s="7" t="s">
        <v>525</v>
      </c>
      <c r="E30" s="7" t="s">
        <v>309</v>
      </c>
      <c r="F30" s="15" t="s">
        <v>83</v>
      </c>
      <c r="G30" s="7" t="s">
        <v>21</v>
      </c>
      <c r="H30" s="7" t="s">
        <v>20</v>
      </c>
      <c r="I30" s="7" t="s">
        <v>52</v>
      </c>
      <c r="J30" s="7" t="s">
        <v>53</v>
      </c>
      <c r="K30" s="7" t="s">
        <v>54</v>
      </c>
      <c r="L30" s="7" t="s">
        <v>55</v>
      </c>
    </row>
    <row r="31" spans="1:12" ht="13.5" thickTop="1">
      <c r="A31" s="209" t="s">
        <v>56</v>
      </c>
      <c r="B31" s="226">
        <f t="shared" ref="B31:B45" ca="1" si="0">IF(ISNUMBER(C31), LOOKUP(C31,$B$5:$B$14,$C$5:$C$14), "")</f>
        <v>5</v>
      </c>
      <c r="C31" s="189">
        <f ca="1">AVERAGE(C32:C45)</f>
        <v>0.9877987908808975</v>
      </c>
      <c r="D31" s="189">
        <f ca="1">AVERAGE(D32:D45)</f>
        <v>0.99483434813530081</v>
      </c>
      <c r="E31" s="189">
        <f ca="1">AVERAGE(E32:E45)</f>
        <v>0.98513480740415138</v>
      </c>
      <c r="F31" s="225">
        <f>SUM(F32:F45)</f>
        <v>101</v>
      </c>
      <c r="I31" s="75"/>
      <c r="J31" s="75"/>
      <c r="K31" s="75"/>
      <c r="L31" s="75"/>
    </row>
    <row r="32" spans="1:12">
      <c r="A32" s="210" t="s">
        <v>23</v>
      </c>
      <c r="B32" s="226">
        <f t="shared" ca="1" si="0"/>
        <v>5</v>
      </c>
      <c r="C32" s="189">
        <f ca="1">'eBusiness OT Data'!$C$24</f>
        <v>1</v>
      </c>
      <c r="D32" s="189">
        <f ca="1">'eBusiness OT Data'!$C$25</f>
        <v>1</v>
      </c>
      <c r="E32" s="189">
        <f ca="1">'eBusiness OT Data'!$C$26</f>
        <v>1</v>
      </c>
      <c r="F32" s="225">
        <f>'eBusiness OT Data'!$C$27</f>
        <v>13</v>
      </c>
      <c r="G32" s="207" t="str">
        <f t="shared" ref="G32:G45" ca="1" si="1">LOOKUP(A32,INDIRECT(Team_Manager_Lookup))</f>
        <v>Christine Kellerman</v>
      </c>
      <c r="I32" s="8" t="s">
        <v>679</v>
      </c>
      <c r="J32" s="227" t="s">
        <v>680</v>
      </c>
      <c r="K32" s="1" t="s">
        <v>681</v>
      </c>
      <c r="L32" s="5" t="s">
        <v>726</v>
      </c>
    </row>
    <row r="33" spans="1:12">
      <c r="A33" s="210" t="s">
        <v>24</v>
      </c>
      <c r="B33" s="226" t="str">
        <f t="shared" si="0"/>
        <v/>
      </c>
      <c r="C33" s="189" t="s">
        <v>527</v>
      </c>
      <c r="D33" s="189" t="s">
        <v>527</v>
      </c>
      <c r="E33" s="189" t="s">
        <v>527</v>
      </c>
      <c r="F33" s="225" t="s">
        <v>527</v>
      </c>
      <c r="G33" s="207" t="str">
        <f t="shared" ca="1" si="1"/>
        <v>Jeff Cranney</v>
      </c>
      <c r="I33" s="8"/>
      <c r="J33" s="8"/>
      <c r="K33" s="1"/>
      <c r="L33" s="5"/>
    </row>
    <row r="34" spans="1:12">
      <c r="A34" s="210" t="s">
        <v>336</v>
      </c>
      <c r="B34" s="226" t="str">
        <f t="shared" si="0"/>
        <v/>
      </c>
      <c r="C34" s="189" t="s">
        <v>527</v>
      </c>
      <c r="D34" s="189" t="s">
        <v>527</v>
      </c>
      <c r="E34" s="189" t="s">
        <v>527</v>
      </c>
      <c r="F34" s="225" t="s">
        <v>527</v>
      </c>
      <c r="G34" s="207" t="str">
        <f t="shared" ca="1" si="1"/>
        <v>Pam Askins</v>
      </c>
      <c r="I34" s="8"/>
      <c r="J34" s="8"/>
      <c r="K34" s="86"/>
      <c r="L34" s="5"/>
    </row>
    <row r="35" spans="1:12">
      <c r="A35" s="211" t="s">
        <v>365</v>
      </c>
      <c r="B35" s="226" t="str">
        <f t="shared" si="0"/>
        <v/>
      </c>
      <c r="C35" s="189" t="s">
        <v>527</v>
      </c>
      <c r="D35" s="189" t="s">
        <v>527</v>
      </c>
      <c r="E35" s="189" t="s">
        <v>527</v>
      </c>
      <c r="F35" s="225" t="s">
        <v>527</v>
      </c>
      <c r="G35" s="207" t="str">
        <f t="shared" ca="1" si="1"/>
        <v>Maureen Romano</v>
      </c>
      <c r="I35" s="8"/>
      <c r="J35" s="8"/>
      <c r="K35" s="1"/>
      <c r="L35" s="5"/>
    </row>
    <row r="36" spans="1:12">
      <c r="A36" s="210" t="s">
        <v>364</v>
      </c>
      <c r="B36" s="226" t="str">
        <f t="shared" si="0"/>
        <v/>
      </c>
      <c r="C36" s="189" t="s">
        <v>527</v>
      </c>
      <c r="D36" s="189" t="s">
        <v>527</v>
      </c>
      <c r="E36" s="189" t="s">
        <v>527</v>
      </c>
      <c r="F36" s="225" t="s">
        <v>527</v>
      </c>
      <c r="G36" s="207" t="str">
        <f t="shared" ca="1" si="1"/>
        <v>Maureen Romano</v>
      </c>
      <c r="I36" s="8"/>
      <c r="J36" s="8"/>
      <c r="K36" s="619"/>
      <c r="L36" s="5"/>
    </row>
    <row r="37" spans="1:12">
      <c r="A37" s="210" t="s">
        <v>335</v>
      </c>
      <c r="B37" s="226">
        <f t="shared" ca="1" si="0"/>
        <v>5</v>
      </c>
      <c r="C37" s="189">
        <f ca="1">'New Business Workflow OT Data'!$C$24</f>
        <v>1.0000249057140824</v>
      </c>
      <c r="D37" s="189">
        <f ca="1">'New Business Workflow OT Data'!$C$25</f>
        <v>1.0002269187283064</v>
      </c>
      <c r="E37" s="189">
        <f ca="1">'New Business Workflow OT Data'!$C$26</f>
        <v>0.9965630114566284</v>
      </c>
      <c r="F37" s="225">
        <f>'New Business Workflow OT Data'!$C$27</f>
        <v>5</v>
      </c>
      <c r="G37" s="207" t="str">
        <f t="shared" ca="1" si="1"/>
        <v>Nedra Jerry</v>
      </c>
      <c r="I37" s="8" t="s">
        <v>727</v>
      </c>
      <c r="J37" s="227" t="s">
        <v>728</v>
      </c>
      <c r="K37" s="1" t="s">
        <v>681</v>
      </c>
      <c r="L37" s="5" t="s">
        <v>741</v>
      </c>
    </row>
    <row r="38" spans="1:12">
      <c r="A38" s="210" t="s">
        <v>12</v>
      </c>
      <c r="B38" s="226" t="str">
        <f t="shared" si="0"/>
        <v/>
      </c>
      <c r="C38" s="189" t="s">
        <v>527</v>
      </c>
      <c r="D38" s="189" t="s">
        <v>527</v>
      </c>
      <c r="E38" s="189" t="s">
        <v>527</v>
      </c>
      <c r="F38" s="225" t="s">
        <v>527</v>
      </c>
      <c r="G38" s="207" t="str">
        <f t="shared" ca="1" si="1"/>
        <v>Nicole Hourigan</v>
      </c>
      <c r="I38" s="619"/>
      <c r="J38" s="619"/>
      <c r="K38" s="619"/>
      <c r="L38" s="619"/>
    </row>
    <row r="39" spans="1:12">
      <c r="A39" s="210" t="s">
        <v>333</v>
      </c>
      <c r="B39" s="226">
        <f t="shared" ca="1" si="0"/>
        <v>4.5</v>
      </c>
      <c r="C39" s="189">
        <f ca="1">'Producer Admin OT Data'!$C$24</f>
        <v>0.96863181961181222</v>
      </c>
      <c r="D39" s="189">
        <f ca="1">'Producer Admin OT Data'!$C$25</f>
        <v>0.98568128826398205</v>
      </c>
      <c r="E39" s="189">
        <f ca="1">'Producer Admin OT Data'!$C$26</f>
        <v>0.93510187332544492</v>
      </c>
      <c r="F39" s="225">
        <f>'Producer Admin OT Data'!$C$27</f>
        <v>24</v>
      </c>
      <c r="G39" s="207" t="str">
        <f t="shared" ca="1" si="1"/>
        <v>Barbara Allan</v>
      </c>
      <c r="I39" s="8" t="s">
        <v>742</v>
      </c>
      <c r="J39" s="227" t="s">
        <v>743</v>
      </c>
      <c r="K39" s="1" t="s">
        <v>681</v>
      </c>
      <c r="L39" s="5" t="s">
        <v>775</v>
      </c>
    </row>
    <row r="40" spans="1:12">
      <c r="A40" s="210" t="s">
        <v>334</v>
      </c>
      <c r="B40" s="226">
        <f t="shared" ca="1" si="0"/>
        <v>5</v>
      </c>
      <c r="C40" s="189">
        <f ca="1">'Producer CRM OT Data'!$C$24</f>
        <v>1</v>
      </c>
      <c r="D40" s="189">
        <f ca="1">'Producer CRM OT Data'!$C$25</f>
        <v>1</v>
      </c>
      <c r="E40" s="189">
        <f ca="1">'Producer CRM OT Data'!$C$26</f>
        <v>1</v>
      </c>
      <c r="F40" s="225">
        <f>'Producer CRM OT Data'!$C$27</f>
        <v>8</v>
      </c>
      <c r="G40" s="207" t="str">
        <f t="shared" ca="1" si="1"/>
        <v>Karen Hayden</v>
      </c>
      <c r="I40" s="8" t="s">
        <v>776</v>
      </c>
      <c r="J40" s="227" t="s">
        <v>743</v>
      </c>
      <c r="K40" s="619" t="s">
        <v>681</v>
      </c>
      <c r="L40" s="5" t="s">
        <v>794</v>
      </c>
    </row>
    <row r="41" spans="1:12" s="86" customFormat="1">
      <c r="A41" s="210" t="s">
        <v>10</v>
      </c>
      <c r="B41" s="226">
        <f t="shared" ca="1" si="0"/>
        <v>5</v>
      </c>
      <c r="C41" s="189">
        <f ca="1">'Product Admin OT Data'!$C$24</f>
        <v>0.99800463528024264</v>
      </c>
      <c r="D41" s="189">
        <f ca="1">'Product Admin OT Data'!$C$25</f>
        <v>0.9981731647516946</v>
      </c>
      <c r="E41" s="189">
        <f ca="1">'Product Admin OT Data'!$C$26</f>
        <v>0.98701298701298712</v>
      </c>
      <c r="F41" s="225">
        <f>'Product Admin OT Data'!$C$27</f>
        <v>18</v>
      </c>
      <c r="G41" s="207" t="str">
        <f t="shared" ca="1" si="1"/>
        <v>Bill Martineau</v>
      </c>
      <c r="I41" s="8" t="s">
        <v>795</v>
      </c>
      <c r="J41" s="227" t="s">
        <v>10</v>
      </c>
      <c r="K41" s="1" t="s">
        <v>681</v>
      </c>
      <c r="L41" s="5" t="s">
        <v>845</v>
      </c>
    </row>
    <row r="42" spans="1:12" s="202" customFormat="1">
      <c r="A42" s="210" t="s">
        <v>331</v>
      </c>
      <c r="B42" s="226">
        <f t="shared" ca="1" si="0"/>
        <v>5</v>
      </c>
      <c r="C42" s="189">
        <f ca="1">'Sales OT Data'!$C$24</f>
        <v>0.99999999999999989</v>
      </c>
      <c r="D42" s="189">
        <f ca="1">'Sales OT Data'!$C$25</f>
        <v>0.99999999999999989</v>
      </c>
      <c r="E42" s="189">
        <f ca="1">'Sales OT Data'!$C$26</f>
        <v>1</v>
      </c>
      <c r="F42" s="225">
        <f>'Sales OT Data'!$C$27</f>
        <v>2</v>
      </c>
      <c r="G42" s="207" t="str">
        <f t="shared" ca="1" si="1"/>
        <v>Kayleen Weeks</v>
      </c>
      <c r="I42" s="8" t="s">
        <v>846</v>
      </c>
      <c r="J42" s="227" t="s">
        <v>847</v>
      </c>
      <c r="K42" s="619" t="s">
        <v>681</v>
      </c>
      <c r="L42" s="5" t="s">
        <v>871</v>
      </c>
    </row>
    <row r="43" spans="1:12" s="86" customFormat="1">
      <c r="A43" s="210" t="s">
        <v>353</v>
      </c>
      <c r="B43" s="226" t="str">
        <f t="shared" si="0"/>
        <v/>
      </c>
      <c r="C43" s="189" t="s">
        <v>527</v>
      </c>
      <c r="D43" s="189" t="s">
        <v>527</v>
      </c>
      <c r="E43" s="189" t="s">
        <v>527</v>
      </c>
      <c r="F43" s="225" t="s">
        <v>527</v>
      </c>
      <c r="G43" s="207" t="str">
        <f t="shared" ca="1" si="1"/>
        <v>Warren Fox</v>
      </c>
      <c r="I43" s="8"/>
      <c r="J43" s="8"/>
      <c r="K43" s="1"/>
      <c r="L43" s="5"/>
    </row>
    <row r="44" spans="1:12">
      <c r="A44" s="210" t="s">
        <v>361</v>
      </c>
      <c r="B44" s="226">
        <f t="shared" ca="1" si="0"/>
        <v>4</v>
      </c>
      <c r="C44" s="189">
        <f ca="1">'Service OT Data'!$C$24</f>
        <v>0.94793017556014536</v>
      </c>
      <c r="D44" s="189">
        <f ca="1">'Service OT Data'!$C$25</f>
        <v>0.97975906520312273</v>
      </c>
      <c r="E44" s="189">
        <f ca="1">'Service OT Data'!$C$26</f>
        <v>0.97726578003399933</v>
      </c>
      <c r="F44" s="225">
        <f>'Service OT Data'!$C$27</f>
        <v>31</v>
      </c>
      <c r="G44" s="207" t="str">
        <f t="shared" ca="1" si="1"/>
        <v>Michelle Kinney</v>
      </c>
      <c r="I44" s="8" t="s">
        <v>872</v>
      </c>
      <c r="J44" s="227" t="s">
        <v>873</v>
      </c>
      <c r="K44" s="1" t="s">
        <v>681</v>
      </c>
      <c r="L44" s="5" t="s">
        <v>962</v>
      </c>
    </row>
    <row r="45" spans="1:12">
      <c r="A45" s="210" t="s">
        <v>363</v>
      </c>
      <c r="B45" s="226" t="str">
        <f t="shared" si="0"/>
        <v/>
      </c>
      <c r="C45" s="189" t="s">
        <v>527</v>
      </c>
      <c r="D45" s="189" t="s">
        <v>527</v>
      </c>
      <c r="E45" s="189" t="s">
        <v>527</v>
      </c>
      <c r="F45" s="225" t="s">
        <v>527</v>
      </c>
      <c r="G45" s="207" t="str">
        <f t="shared" ca="1" si="1"/>
        <v>Christian Berke</v>
      </c>
      <c r="I45" s="8"/>
      <c r="J45" s="8"/>
      <c r="K45" s="1"/>
      <c r="L45" s="5"/>
    </row>
    <row r="47" spans="1:12">
      <c r="B47" s="193"/>
      <c r="C47" s="194"/>
      <c r="F47" s="225"/>
    </row>
    <row r="48" spans="1:12">
      <c r="B48" s="193"/>
      <c r="C48" s="194"/>
    </row>
    <row r="49" spans="2:5">
      <c r="B49" s="193"/>
      <c r="C49" s="194"/>
    </row>
    <row r="50" spans="2:5">
      <c r="B50"/>
      <c r="C50"/>
      <c r="E50"/>
    </row>
    <row r="51" spans="2:5">
      <c r="B51"/>
      <c r="C51"/>
      <c r="E51"/>
    </row>
    <row r="52" spans="2:5">
      <c r="B52"/>
      <c r="C52"/>
      <c r="E52"/>
    </row>
    <row r="53" spans="2:5">
      <c r="B53"/>
      <c r="C53"/>
      <c r="E53"/>
    </row>
    <row r="54" spans="2:5">
      <c r="B54"/>
      <c r="C54"/>
      <c r="E54"/>
    </row>
    <row r="55" spans="2:5">
      <c r="B55"/>
      <c r="C55"/>
      <c r="E55"/>
    </row>
    <row r="56" spans="2:5">
      <c r="B56"/>
      <c r="C56"/>
      <c r="E56"/>
    </row>
    <row r="57" spans="2:5">
      <c r="B57"/>
      <c r="C57"/>
      <c r="E57"/>
    </row>
    <row r="58" spans="2:5">
      <c r="B58"/>
      <c r="C58"/>
      <c r="E58"/>
    </row>
    <row r="59" spans="2:5">
      <c r="B59"/>
      <c r="C59"/>
      <c r="E59"/>
    </row>
    <row r="60" spans="2:5">
      <c r="B60"/>
      <c r="C60"/>
      <c r="E60"/>
    </row>
    <row r="61" spans="2:5">
      <c r="B61"/>
      <c r="C61"/>
      <c r="E61"/>
    </row>
    <row r="62" spans="2:5">
      <c r="B62"/>
      <c r="C62"/>
      <c r="E62"/>
    </row>
    <row r="63" spans="2:5">
      <c r="B63"/>
      <c r="C63"/>
      <c r="E63"/>
    </row>
    <row r="64" spans="2:5">
      <c r="B64"/>
      <c r="C64"/>
      <c r="E64"/>
    </row>
    <row r="65" spans="2:5">
      <c r="B65"/>
      <c r="C65"/>
      <c r="E65"/>
    </row>
    <row r="66" spans="2:5">
      <c r="B66"/>
      <c r="C66"/>
      <c r="E66"/>
    </row>
    <row r="67" spans="2:5">
      <c r="B67"/>
      <c r="C67"/>
      <c r="E67"/>
    </row>
    <row r="68" spans="2:5">
      <c r="B68"/>
      <c r="C68"/>
      <c r="E68"/>
    </row>
    <row r="69" spans="2:5">
      <c r="B69"/>
      <c r="C69"/>
      <c r="E69"/>
    </row>
    <row r="70" spans="2:5">
      <c r="B70"/>
      <c r="C70"/>
      <c r="E70"/>
    </row>
    <row r="71" spans="2:5">
      <c r="B71"/>
      <c r="C71"/>
      <c r="E71"/>
    </row>
    <row r="72" spans="2:5">
      <c r="B72"/>
      <c r="C72"/>
      <c r="E72"/>
    </row>
    <row r="73" spans="2:5">
      <c r="B73"/>
      <c r="C73"/>
      <c r="E73"/>
    </row>
    <row r="74" spans="2:5">
      <c r="B74"/>
      <c r="C74"/>
      <c r="E74"/>
    </row>
    <row r="75" spans="2:5">
      <c r="B75"/>
      <c r="C75"/>
      <c r="E75"/>
    </row>
    <row r="76" spans="2:5">
      <c r="B76"/>
      <c r="C76"/>
      <c r="E76"/>
    </row>
    <row r="77" spans="2:5">
      <c r="B77"/>
      <c r="C77"/>
      <c r="E77"/>
    </row>
    <row r="78" spans="2:5">
      <c r="B78"/>
      <c r="C78"/>
      <c r="E78"/>
    </row>
    <row r="79" spans="2:5">
      <c r="B79"/>
      <c r="C79"/>
      <c r="E79"/>
    </row>
    <row r="80" spans="2:5">
      <c r="B80"/>
      <c r="C80"/>
      <c r="E80"/>
    </row>
    <row r="81" spans="2:5">
      <c r="B81"/>
      <c r="C81"/>
      <c r="E81"/>
    </row>
    <row r="82" spans="2:5">
      <c r="B82"/>
      <c r="C82"/>
      <c r="E82"/>
    </row>
    <row r="83" spans="2:5">
      <c r="B83"/>
      <c r="C83"/>
      <c r="E83"/>
    </row>
    <row r="84" spans="2:5">
      <c r="B84"/>
      <c r="C84"/>
      <c r="E84"/>
    </row>
    <row r="85" spans="2:5">
      <c r="B85"/>
      <c r="C85"/>
      <c r="E85"/>
    </row>
    <row r="86" spans="2:5">
      <c r="B86"/>
      <c r="C86"/>
      <c r="E86"/>
    </row>
    <row r="87" spans="2:5">
      <c r="B87"/>
      <c r="C87"/>
      <c r="E87"/>
    </row>
    <row r="88" spans="2:5">
      <c r="B88"/>
      <c r="C88"/>
      <c r="E88"/>
    </row>
    <row r="89" spans="2:5">
      <c r="B89"/>
      <c r="C89"/>
      <c r="E89"/>
    </row>
    <row r="90" spans="2:5">
      <c r="B90"/>
      <c r="C90"/>
      <c r="E90"/>
    </row>
    <row r="91" spans="2:5">
      <c r="B91"/>
      <c r="C91"/>
      <c r="E91"/>
    </row>
    <row r="92" spans="2:5">
      <c r="B92"/>
      <c r="C92"/>
      <c r="E92"/>
    </row>
    <row r="93" spans="2:5">
      <c r="B93"/>
      <c r="C93"/>
      <c r="E93"/>
    </row>
    <row r="94" spans="2:5">
      <c r="B94"/>
      <c r="C94"/>
      <c r="E94"/>
    </row>
    <row r="95" spans="2:5">
      <c r="B95"/>
      <c r="C95"/>
      <c r="E95"/>
    </row>
    <row r="96" spans="2:5">
      <c r="B96"/>
      <c r="C96"/>
      <c r="E96"/>
    </row>
    <row r="97" spans="2:5">
      <c r="B97"/>
      <c r="C97"/>
      <c r="E97"/>
    </row>
    <row r="98" spans="2:5">
      <c r="B98"/>
      <c r="C98"/>
      <c r="E98"/>
    </row>
    <row r="99" spans="2:5">
      <c r="B99"/>
      <c r="C99"/>
      <c r="E99"/>
    </row>
    <row r="100" spans="2:5">
      <c r="B100"/>
      <c r="C100"/>
      <c r="E100"/>
    </row>
    <row r="101" spans="2:5">
      <c r="B101"/>
      <c r="C101"/>
      <c r="E101"/>
    </row>
    <row r="102" spans="2:5">
      <c r="B102"/>
      <c r="C102"/>
      <c r="E102"/>
    </row>
    <row r="103" spans="2:5">
      <c r="B103"/>
      <c r="C103"/>
      <c r="E103"/>
    </row>
    <row r="104" spans="2:5">
      <c r="B104"/>
      <c r="C104"/>
      <c r="E104"/>
    </row>
    <row r="105" spans="2:5">
      <c r="B105"/>
      <c r="C105"/>
      <c r="E105"/>
    </row>
    <row r="106" spans="2:5">
      <c r="B106"/>
      <c r="C106"/>
      <c r="E106"/>
    </row>
    <row r="107" spans="2:5">
      <c r="B107"/>
      <c r="C107"/>
      <c r="E107"/>
    </row>
    <row r="108" spans="2:5">
      <c r="B108"/>
      <c r="C108"/>
      <c r="E108"/>
    </row>
    <row r="109" spans="2:5">
      <c r="B109"/>
      <c r="C109"/>
      <c r="E109"/>
    </row>
    <row r="110" spans="2:5">
      <c r="B110"/>
      <c r="C110"/>
      <c r="E110"/>
    </row>
    <row r="111" spans="2:5">
      <c r="B111"/>
      <c r="C111"/>
      <c r="E111"/>
    </row>
    <row r="112" spans="2:5">
      <c r="B112"/>
      <c r="C112"/>
      <c r="E112"/>
    </row>
    <row r="113" spans="2:5">
      <c r="B113"/>
      <c r="C113"/>
      <c r="E113"/>
    </row>
    <row r="114" spans="2:5">
      <c r="B114"/>
      <c r="C114"/>
      <c r="E114"/>
    </row>
    <row r="115" spans="2:5">
      <c r="B115"/>
      <c r="C115"/>
      <c r="E115"/>
    </row>
    <row r="116" spans="2:5">
      <c r="B116"/>
      <c r="C116"/>
      <c r="E116"/>
    </row>
    <row r="117" spans="2:5">
      <c r="B117"/>
      <c r="C117"/>
      <c r="E117"/>
    </row>
    <row r="118" spans="2:5">
      <c r="B118"/>
      <c r="C118"/>
      <c r="E118"/>
    </row>
    <row r="119" spans="2:5">
      <c r="B119"/>
      <c r="C119"/>
      <c r="E119"/>
    </row>
    <row r="120" spans="2:5">
      <c r="B120"/>
      <c r="C120"/>
      <c r="E120"/>
    </row>
    <row r="121" spans="2:5">
      <c r="B121"/>
      <c r="C121"/>
      <c r="E121"/>
    </row>
    <row r="122" spans="2:5">
      <c r="B122"/>
      <c r="C122"/>
      <c r="E122"/>
    </row>
    <row r="123" spans="2:5">
      <c r="B123"/>
      <c r="C123"/>
      <c r="E123"/>
    </row>
    <row r="124" spans="2:5">
      <c r="B124"/>
      <c r="C124"/>
      <c r="E124"/>
    </row>
    <row r="125" spans="2:5">
      <c r="B125"/>
      <c r="C125"/>
      <c r="E125"/>
    </row>
    <row r="126" spans="2:5">
      <c r="B126"/>
      <c r="C126"/>
      <c r="E126"/>
    </row>
    <row r="127" spans="2:5">
      <c r="B127"/>
      <c r="C127"/>
      <c r="E127"/>
    </row>
    <row r="128" spans="2:5">
      <c r="B128"/>
      <c r="C128"/>
      <c r="E128"/>
    </row>
    <row r="129" spans="2:5">
      <c r="B129"/>
      <c r="C129"/>
      <c r="E129"/>
    </row>
    <row r="130" spans="2:5">
      <c r="B130"/>
      <c r="C130"/>
      <c r="E130"/>
    </row>
    <row r="131" spans="2:5">
      <c r="B131"/>
      <c r="C131"/>
      <c r="E131"/>
    </row>
    <row r="132" spans="2:5">
      <c r="B132"/>
      <c r="C132"/>
      <c r="E132"/>
    </row>
    <row r="133" spans="2:5">
      <c r="B133"/>
      <c r="C133"/>
      <c r="E133"/>
    </row>
    <row r="134" spans="2:5">
      <c r="B134"/>
      <c r="C134"/>
      <c r="E134"/>
    </row>
    <row r="135" spans="2:5">
      <c r="B135"/>
      <c r="C135"/>
      <c r="E135"/>
    </row>
    <row r="136" spans="2:5">
      <c r="B136"/>
      <c r="C136"/>
      <c r="E136"/>
    </row>
    <row r="137" spans="2:5">
      <c r="B137"/>
      <c r="C137"/>
      <c r="E137"/>
    </row>
    <row r="138" spans="2:5">
      <c r="B138"/>
      <c r="C138"/>
      <c r="E138"/>
    </row>
    <row r="139" spans="2:5">
      <c r="B139"/>
      <c r="C139"/>
      <c r="E139"/>
    </row>
    <row r="140" spans="2:5">
      <c r="B140" s="193"/>
      <c r="C140" s="194"/>
    </row>
    <row r="141" spans="2:5">
      <c r="B141" s="193"/>
      <c r="C141" s="194"/>
    </row>
    <row r="142" spans="2:5">
      <c r="B142" s="193"/>
      <c r="C142" s="194"/>
    </row>
    <row r="143" spans="2:5">
      <c r="B143" s="193"/>
      <c r="C143" s="194"/>
    </row>
    <row r="144" spans="2:5">
      <c r="B144" s="193"/>
      <c r="C144" s="194"/>
    </row>
    <row r="145" spans="2:3">
      <c r="B145" s="193"/>
      <c r="C145" s="194"/>
    </row>
    <row r="146" spans="2:3">
      <c r="B146" s="193"/>
      <c r="C146" s="194"/>
    </row>
    <row r="147" spans="2:3">
      <c r="B147" s="193"/>
      <c r="C147" s="194"/>
    </row>
    <row r="148" spans="2:3">
      <c r="B148" s="193"/>
      <c r="C148" s="194"/>
    </row>
    <row r="149" spans="2:3">
      <c r="B149" s="193"/>
      <c r="C149" s="194"/>
    </row>
    <row r="150" spans="2:3">
      <c r="B150" s="193"/>
      <c r="C150" s="194"/>
    </row>
    <row r="151" spans="2:3">
      <c r="B151" s="193"/>
      <c r="C151" s="194"/>
    </row>
    <row r="152" spans="2:3">
      <c r="B152" s="193"/>
      <c r="C152" s="194"/>
    </row>
    <row r="153" spans="2:3">
      <c r="B153" s="193"/>
      <c r="C153" s="194"/>
    </row>
    <row r="154" spans="2:3">
      <c r="B154" s="193"/>
      <c r="C154" s="194"/>
    </row>
    <row r="155" spans="2:3">
      <c r="B155" s="193"/>
      <c r="C155" s="194"/>
    </row>
    <row r="156" spans="2:3">
      <c r="B156" s="193"/>
      <c r="C156" s="194"/>
    </row>
    <row r="157" spans="2:3">
      <c r="B157" s="193"/>
      <c r="C157" s="194"/>
    </row>
    <row r="158" spans="2:3">
      <c r="B158" s="193"/>
      <c r="C158" s="194"/>
    </row>
    <row r="159" spans="2:3">
      <c r="B159" s="193"/>
      <c r="C159" s="194"/>
    </row>
    <row r="160" spans="2:3">
      <c r="B160" s="193"/>
      <c r="C160" s="194"/>
    </row>
    <row r="161" spans="2:3">
      <c r="B161" s="193"/>
      <c r="C161" s="194"/>
    </row>
    <row r="162" spans="2:3">
      <c r="B162" s="193"/>
      <c r="C162" s="194"/>
    </row>
    <row r="163" spans="2:3">
      <c r="B163" s="193"/>
      <c r="C163" s="194"/>
    </row>
    <row r="164" spans="2:3">
      <c r="B164" s="193"/>
      <c r="C164" s="194"/>
    </row>
    <row r="165" spans="2:3">
      <c r="B165" s="193"/>
      <c r="C165" s="194"/>
    </row>
    <row r="166" spans="2:3">
      <c r="B166" s="193"/>
      <c r="C166" s="194"/>
    </row>
    <row r="167" spans="2:3">
      <c r="B167" s="193"/>
      <c r="C167" s="194"/>
    </row>
    <row r="168" spans="2:3">
      <c r="B168" s="193"/>
      <c r="C168" s="194"/>
    </row>
    <row r="169" spans="2:3">
      <c r="B169" s="193"/>
      <c r="C169" s="194"/>
    </row>
    <row r="170" spans="2:3">
      <c r="B170" s="193"/>
      <c r="C170" s="194"/>
    </row>
    <row r="171" spans="2:3">
      <c r="B171" s="193"/>
      <c r="C171" s="194"/>
    </row>
    <row r="172" spans="2:3">
      <c r="B172" s="193"/>
      <c r="C172" s="194"/>
    </row>
    <row r="173" spans="2:3">
      <c r="B173" s="193"/>
      <c r="C173" s="194"/>
    </row>
    <row r="174" spans="2:3">
      <c r="B174" s="193"/>
      <c r="C174" s="194"/>
    </row>
    <row r="175" spans="2:3">
      <c r="B175" s="193"/>
      <c r="C175" s="194"/>
    </row>
    <row r="176" spans="2:3">
      <c r="C176" s="194"/>
    </row>
    <row r="177" spans="3:3">
      <c r="C177" s="9"/>
    </row>
    <row r="178" spans="3:3">
      <c r="C178" s="9"/>
    </row>
    <row r="179" spans="3:3">
      <c r="C179" s="9"/>
    </row>
    <row r="180" spans="3:3">
      <c r="C180" s="9"/>
    </row>
    <row r="181" spans="3:3">
      <c r="C181" s="9"/>
    </row>
    <row r="182" spans="3:3">
      <c r="C182" s="9"/>
    </row>
    <row r="183" spans="3:3">
      <c r="C183" s="9"/>
    </row>
    <row r="184" spans="3:3">
      <c r="C184" s="9"/>
    </row>
    <row r="185" spans="3:3">
      <c r="C185" s="9"/>
    </row>
    <row r="186" spans="3:3">
      <c r="C186" s="9"/>
    </row>
    <row r="187" spans="3:3">
      <c r="C187" s="9"/>
    </row>
    <row r="188" spans="3:3">
      <c r="C188" s="9"/>
    </row>
    <row r="189" spans="3:3">
      <c r="C189" s="9"/>
    </row>
    <row r="190" spans="3:3">
      <c r="C190" s="9"/>
    </row>
    <row r="191" spans="3:3">
      <c r="C191" s="9"/>
    </row>
    <row r="192" spans="3:3">
      <c r="C192" s="9"/>
    </row>
    <row r="193" spans="3:3">
      <c r="C193" s="9"/>
    </row>
    <row r="194" spans="3:3">
      <c r="C194" s="9"/>
    </row>
    <row r="195" spans="3:3">
      <c r="C195" s="9"/>
    </row>
    <row r="196" spans="3:3">
      <c r="C196" s="9"/>
    </row>
    <row r="197" spans="3:3">
      <c r="C197" s="9"/>
    </row>
    <row r="198" spans="3:3">
      <c r="C198" s="9"/>
    </row>
    <row r="199" spans="3:3">
      <c r="C199" s="9"/>
    </row>
    <row r="200" spans="3:3">
      <c r="C200" s="9"/>
    </row>
    <row r="201" spans="3:3">
      <c r="C201" s="9"/>
    </row>
    <row r="202" spans="3:3">
      <c r="C202" s="9"/>
    </row>
    <row r="203" spans="3:3">
      <c r="C203" s="9"/>
    </row>
    <row r="204" spans="3:3">
      <c r="C204" s="9"/>
    </row>
    <row r="205" spans="3:3">
      <c r="C205" s="9"/>
    </row>
  </sheetData>
  <sortState ref="A31:L45">
    <sortCondition ref="A31:A45"/>
  </sortState>
  <dataValidations count="2">
    <dataValidation type="list" allowBlank="1" showInputMessage="1" showErrorMessage="1" sqref="G31">
      <formula1>Team_Managers</formula1>
    </dataValidation>
    <dataValidation type="list" allowBlank="1" showInputMessage="1" showErrorMessage="1" sqref="A31:A44">
      <formula1>Team_Names</formula1>
    </dataValidation>
  </dataValidations>
  <hyperlinks>
    <hyperlink ref="A1" location="'Table of Contents'!A1" display="Table of Contents"/>
    <hyperlink ref="L32" location="'eBusiness OT Data'!A1" display="eBusiness OT Data"/>
    <hyperlink ref="L37" location="'New Business Workflow OT Data'!A1" display="New Business Workflow OT Data"/>
    <hyperlink ref="L39" location="'Producer Admin OT Data'!A1" display="Producer Admin OT Data"/>
    <hyperlink ref="L40" location="'Producer CRM OT Data'!A1" display="Producer CRM OT Data"/>
    <hyperlink ref="L41" location="'Product Admin OT Data'!A1" display="Product Admin OT Data"/>
    <hyperlink ref="L42" location="'Sales OT Data'!A1" display="Sales OT Data"/>
    <hyperlink ref="L44" location="'Service OT Data'!A1" display="Service OT Data"/>
  </hyperlinks>
  <printOptions headings="1" gridLines="1"/>
  <pageMargins left="0.25" right="0.25" top="0.75" bottom="0.75" header="0.3" footer="0.3"/>
  <pageSetup orientation="portrait" r:id="rId1"/>
  <headerFooter>
    <oddFooter>&amp;L&amp;5&amp;Z&amp;F
Created: 9/29/2006 10:44:00 PM
Last Saved: 2/22/2008 9:07:29 AM
Last Printed: 2/22/2008 9:10:13 AM&amp;R&amp;5&amp;P - &amp;N
Title :&lt;Not Set&gt;
Subject: &lt;Not Set&gt;</oddFooter>
  </headerFooter>
  <legacyDrawing r:id="rId2"/>
</worksheet>
</file>

<file path=xl/worksheets/sheet29.xml><?xml version="1.0" encoding="utf-8"?>
<worksheet xmlns="http://schemas.openxmlformats.org/spreadsheetml/2006/main" xmlns:r="http://schemas.openxmlformats.org/officeDocument/2006/relationships">
  <sheetPr codeName="Sheet17"/>
  <dimension ref="A1:O819"/>
  <sheetViews>
    <sheetView topLeftCell="A10" workbookViewId="0">
      <selection activeCell="K38" sqref="K38:K40"/>
    </sheetView>
  </sheetViews>
  <sheetFormatPr defaultRowHeight="12.75"/>
  <cols>
    <col min="1" max="1" width="23.42578125" style="74" bestFit="1" customWidth="1"/>
    <col min="2" max="2" width="2.85546875" style="74" customWidth="1"/>
    <col min="3" max="3" width="12" style="74" customWidth="1"/>
    <col min="4" max="4" width="2.85546875" style="85" customWidth="1"/>
    <col min="5" max="5" width="12" style="74" customWidth="1"/>
    <col min="6" max="6" width="2.85546875" style="85" customWidth="1"/>
    <col min="7" max="7" width="12" style="74" customWidth="1"/>
    <col min="8" max="8" width="2.85546875" style="85" customWidth="1"/>
    <col min="9" max="9" width="12" style="74" customWidth="1"/>
    <col min="10" max="10" width="2.85546875" style="85" customWidth="1"/>
    <col min="11" max="11" width="12" style="74" customWidth="1"/>
    <col min="12" max="12" width="2.85546875" style="85" customWidth="1"/>
    <col min="13" max="13" width="12" style="74" customWidth="1"/>
    <col min="14" max="14" width="12.42578125" style="74" bestFit="1" customWidth="1"/>
    <col min="15" max="16384" width="9.140625" style="74"/>
  </cols>
  <sheetData>
    <row r="1" spans="1:13">
      <c r="A1" s="5" t="s">
        <v>29</v>
      </c>
      <c r="C1"/>
      <c r="D1"/>
      <c r="E1"/>
      <c r="F1"/>
      <c r="G1"/>
      <c r="H1"/>
      <c r="I1"/>
      <c r="J1"/>
      <c r="K1"/>
      <c r="L1"/>
      <c r="M1"/>
    </row>
    <row r="2" spans="1:13">
      <c r="C2"/>
      <c r="D2"/>
      <c r="E2"/>
      <c r="F2"/>
      <c r="G2"/>
      <c r="H2"/>
      <c r="I2"/>
      <c r="J2"/>
      <c r="K2"/>
      <c r="L2"/>
      <c r="M2"/>
    </row>
    <row r="3" spans="1:13">
      <c r="A3" s="76" t="s">
        <v>971</v>
      </c>
      <c r="C3" s="12"/>
      <c r="D3" s="12"/>
      <c r="F3" s="12"/>
      <c r="G3" s="12"/>
      <c r="H3" s="12"/>
      <c r="I3" s="12"/>
      <c r="J3" s="12"/>
      <c r="K3" s="12"/>
      <c r="L3" s="12"/>
      <c r="M3" s="12"/>
    </row>
    <row r="4" spans="1:13" customFormat="1"/>
    <row r="5" spans="1:13" customFormat="1"/>
    <row r="6" spans="1:13" customFormat="1"/>
    <row r="7" spans="1:13" customFormat="1"/>
    <row r="8" spans="1:13" customFormat="1"/>
    <row r="9" spans="1:13" customFormat="1"/>
    <row r="10" spans="1:13" customFormat="1"/>
    <row r="11" spans="1:13" customFormat="1"/>
    <row r="12" spans="1:13" customFormat="1"/>
    <row r="13" spans="1:13" customFormat="1"/>
    <row r="14" spans="1:13" customFormat="1"/>
    <row r="15" spans="1:13" customFormat="1"/>
    <row r="16" spans="1:13" customFormat="1"/>
    <row r="17" spans="1:15" customFormat="1"/>
    <row r="18" spans="1:15" customFormat="1"/>
    <row r="19" spans="1:15" customFormat="1"/>
    <row r="20" spans="1:15" customFormat="1"/>
    <row r="21" spans="1:15" ht="33.75">
      <c r="A21" s="77" t="s">
        <v>236</v>
      </c>
      <c r="B21" s="78"/>
      <c r="C21" s="79" t="s">
        <v>237</v>
      </c>
      <c r="D21" s="80"/>
      <c r="E21" s="79" t="s">
        <v>238</v>
      </c>
      <c r="F21" s="80"/>
      <c r="G21" s="79" t="s">
        <v>239</v>
      </c>
      <c r="H21" s="80"/>
      <c r="I21" s="79" t="s">
        <v>240</v>
      </c>
      <c r="J21" s="80"/>
      <c r="K21" s="79" t="s">
        <v>241</v>
      </c>
      <c r="L21" s="80"/>
      <c r="M21" s="79" t="s">
        <v>242</v>
      </c>
      <c r="N21" s="12"/>
      <c r="O21" s="12"/>
    </row>
    <row r="22" spans="1:15">
      <c r="A22" s="83" t="s">
        <v>56</v>
      </c>
      <c r="B22" s="83"/>
      <c r="C22" s="84"/>
      <c r="D22" s="84"/>
      <c r="E22" s="84"/>
      <c r="F22" s="84"/>
      <c r="G22" s="84"/>
      <c r="H22" s="84"/>
      <c r="I22" s="84"/>
      <c r="J22" s="84"/>
      <c r="K22" s="84"/>
      <c r="L22" s="84"/>
      <c r="M22" s="84"/>
      <c r="N22" s="12"/>
      <c r="O22" s="12"/>
    </row>
    <row r="23" spans="1:15">
      <c r="A23" s="210" t="s">
        <v>23</v>
      </c>
      <c r="B23" s="78"/>
      <c r="C23" s="81">
        <v>0.94</v>
      </c>
      <c r="D23" s="82"/>
      <c r="E23" s="81"/>
      <c r="F23" s="82"/>
      <c r="G23" s="81">
        <v>1.46</v>
      </c>
      <c r="H23" s="82"/>
      <c r="I23" s="81"/>
      <c r="J23" s="82"/>
      <c r="K23" s="81">
        <v>0.93</v>
      </c>
      <c r="L23" s="82"/>
      <c r="M23" s="81"/>
      <c r="N23" s="12"/>
      <c r="O23" s="12"/>
    </row>
    <row r="24" spans="1:15">
      <c r="A24" s="210" t="s">
        <v>24</v>
      </c>
      <c r="B24" s="78"/>
      <c r="C24" s="81"/>
      <c r="D24" s="82"/>
      <c r="E24" s="81">
        <v>5.84</v>
      </c>
      <c r="F24" s="82"/>
      <c r="G24" s="81">
        <v>0.56000000000000005</v>
      </c>
      <c r="H24" s="82"/>
      <c r="I24" s="81">
        <v>0.25</v>
      </c>
      <c r="J24" s="82"/>
      <c r="K24" s="81">
        <v>0.99</v>
      </c>
      <c r="L24" s="82"/>
      <c r="M24" s="81">
        <v>-2.12</v>
      </c>
      <c r="N24" s="12"/>
      <c r="O24" s="12"/>
    </row>
    <row r="25" spans="1:15">
      <c r="A25" s="210" t="s">
        <v>336</v>
      </c>
      <c r="B25" s="78"/>
      <c r="C25" s="81"/>
      <c r="D25" s="82"/>
      <c r="E25" s="81"/>
      <c r="F25" s="82"/>
      <c r="G25" s="81"/>
      <c r="H25" s="82"/>
      <c r="I25" s="81"/>
      <c r="J25" s="82"/>
      <c r="K25" s="81"/>
      <c r="L25" s="82"/>
      <c r="M25" s="81"/>
      <c r="N25" s="12"/>
      <c r="O25" s="12"/>
    </row>
    <row r="26" spans="1:15">
      <c r="A26" s="302" t="s">
        <v>536</v>
      </c>
      <c r="B26" s="78"/>
      <c r="C26" s="81"/>
      <c r="D26" s="82"/>
      <c r="E26" s="81">
        <v>5.84</v>
      </c>
      <c r="F26" s="82"/>
      <c r="G26" s="81">
        <v>0.56000000000000005</v>
      </c>
      <c r="H26" s="82"/>
      <c r="I26" s="81">
        <v>0.25</v>
      </c>
      <c r="J26" s="82"/>
      <c r="K26" s="81">
        <v>0.99</v>
      </c>
      <c r="L26" s="82"/>
      <c r="M26" s="81">
        <v>-2.12</v>
      </c>
      <c r="N26" s="12"/>
      <c r="O26" s="12"/>
    </row>
    <row r="27" spans="1:15">
      <c r="A27" s="211" t="s">
        <v>365</v>
      </c>
      <c r="B27" s="78"/>
      <c r="C27" s="81"/>
      <c r="D27" s="82"/>
      <c r="E27" s="81">
        <v>0.22</v>
      </c>
      <c r="F27" s="82"/>
      <c r="G27" s="81">
        <v>0.33</v>
      </c>
      <c r="H27" s="82"/>
      <c r="I27" s="81">
        <v>0.46</v>
      </c>
      <c r="J27" s="82"/>
      <c r="K27" s="81">
        <v>0.96</v>
      </c>
      <c r="L27" s="82"/>
      <c r="M27" s="81">
        <v>1.17</v>
      </c>
      <c r="N27" s="12"/>
      <c r="O27" s="12"/>
    </row>
    <row r="28" spans="1:15">
      <c r="A28" s="210" t="s">
        <v>335</v>
      </c>
      <c r="B28" s="78"/>
      <c r="C28" s="81">
        <v>2.2999999999999998</v>
      </c>
      <c r="D28" s="82"/>
      <c r="E28" s="81"/>
      <c r="F28" s="82"/>
      <c r="G28" s="81">
        <v>2.16</v>
      </c>
      <c r="H28" s="82"/>
      <c r="I28" s="81">
        <v>2.3199999999999998</v>
      </c>
      <c r="J28" s="82"/>
      <c r="K28" s="81">
        <v>0.88</v>
      </c>
      <c r="L28" s="82"/>
      <c r="M28" s="81"/>
      <c r="N28" s="12"/>
      <c r="O28" s="12"/>
    </row>
    <row r="29" spans="1:15">
      <c r="A29" s="210" t="s">
        <v>12</v>
      </c>
      <c r="B29" s="78"/>
      <c r="C29" s="81"/>
      <c r="D29" s="82"/>
      <c r="E29" s="81"/>
      <c r="F29" s="82"/>
      <c r="G29" s="81"/>
      <c r="H29" s="82"/>
      <c r="I29" s="81"/>
      <c r="J29" s="82"/>
      <c r="K29" s="81"/>
      <c r="L29" s="82"/>
      <c r="M29" s="81"/>
      <c r="N29" s="12"/>
      <c r="O29" s="12"/>
    </row>
    <row r="30" spans="1:15">
      <c r="A30" s="210" t="s">
        <v>333</v>
      </c>
      <c r="B30" s="78"/>
      <c r="C30" s="81">
        <v>0.77</v>
      </c>
      <c r="D30" s="82"/>
      <c r="E30" s="81">
        <v>0.94</v>
      </c>
      <c r="F30" s="82"/>
      <c r="G30" s="81">
        <v>0.43</v>
      </c>
      <c r="H30" s="82"/>
      <c r="I30" s="81">
        <v>0.38</v>
      </c>
      <c r="J30" s="82"/>
      <c r="K30" s="81">
        <v>1.06</v>
      </c>
      <c r="L30" s="82"/>
      <c r="M30" s="81"/>
      <c r="N30" s="12"/>
      <c r="O30" s="12"/>
    </row>
    <row r="31" spans="1:15">
      <c r="A31" s="210" t="s">
        <v>334</v>
      </c>
      <c r="B31" s="78"/>
      <c r="C31" s="81"/>
      <c r="D31" s="82"/>
      <c r="E31" s="81"/>
      <c r="F31" s="82"/>
      <c r="G31" s="81"/>
      <c r="H31" s="82"/>
      <c r="I31" s="81"/>
      <c r="J31" s="82"/>
      <c r="K31" s="81">
        <v>0.91</v>
      </c>
      <c r="L31" s="82"/>
      <c r="M31" s="81"/>
      <c r="N31" s="12"/>
      <c r="O31" s="12"/>
    </row>
    <row r="32" spans="1:15">
      <c r="A32" s="210" t="s">
        <v>10</v>
      </c>
      <c r="B32" s="78"/>
      <c r="C32" s="81">
        <v>0.8</v>
      </c>
      <c r="D32" s="82"/>
      <c r="E32" s="81"/>
      <c r="F32" s="82"/>
      <c r="G32" s="81"/>
      <c r="H32" s="82"/>
      <c r="I32" s="81">
        <v>0.02</v>
      </c>
      <c r="J32" s="82"/>
      <c r="K32" s="81">
        <v>0.95</v>
      </c>
      <c r="L32" s="82"/>
      <c r="M32" s="81"/>
      <c r="N32" s="12"/>
      <c r="O32" s="12"/>
    </row>
    <row r="33" spans="1:15">
      <c r="A33" s="210" t="s">
        <v>331</v>
      </c>
      <c r="B33" s="78"/>
      <c r="C33" s="81"/>
      <c r="D33" s="82"/>
      <c r="E33" s="81"/>
      <c r="F33" s="82"/>
      <c r="G33" s="81">
        <v>0.8</v>
      </c>
      <c r="H33" s="82"/>
      <c r="I33" s="81"/>
      <c r="J33" s="82"/>
      <c r="K33" s="81">
        <v>0.99</v>
      </c>
      <c r="L33" s="82"/>
      <c r="M33" s="81"/>
      <c r="N33" s="12"/>
      <c r="O33" s="12"/>
    </row>
    <row r="34" spans="1:15">
      <c r="A34" s="210" t="s">
        <v>353</v>
      </c>
      <c r="B34" s="78"/>
      <c r="C34" s="81"/>
      <c r="D34" s="82"/>
      <c r="E34" s="81"/>
      <c r="F34" s="82"/>
      <c r="G34" s="81"/>
      <c r="H34" s="82"/>
      <c r="I34" s="81"/>
      <c r="J34" s="82"/>
      <c r="K34" s="81"/>
      <c r="L34" s="82"/>
      <c r="M34" s="81"/>
      <c r="N34" s="12"/>
      <c r="O34" s="12"/>
    </row>
    <row r="35" spans="1:15">
      <c r="A35" s="210" t="s">
        <v>361</v>
      </c>
      <c r="B35" s="78"/>
      <c r="C35" s="81">
        <v>1.1200000000000001</v>
      </c>
      <c r="D35" s="82"/>
      <c r="E35" s="81"/>
      <c r="F35" s="82"/>
      <c r="G35" s="81">
        <v>0.84</v>
      </c>
      <c r="H35" s="82"/>
      <c r="I35" s="81">
        <v>0.14000000000000001</v>
      </c>
      <c r="J35" s="82"/>
      <c r="K35" s="81">
        <v>1.02</v>
      </c>
      <c r="L35" s="82"/>
      <c r="M35" s="81"/>
      <c r="N35" s="12"/>
      <c r="O35" s="12"/>
    </row>
    <row r="36" spans="1:15">
      <c r="A36" s="210" t="s">
        <v>363</v>
      </c>
      <c r="B36" s="78"/>
      <c r="C36" s="81">
        <v>0.37</v>
      </c>
      <c r="D36" s="82"/>
      <c r="E36" s="81">
        <v>3.96</v>
      </c>
      <c r="F36" s="82"/>
      <c r="G36" s="81">
        <v>5.25</v>
      </c>
      <c r="H36" s="82"/>
      <c r="I36" s="81">
        <v>0.33</v>
      </c>
      <c r="J36" s="82"/>
      <c r="K36" s="81">
        <v>0.96</v>
      </c>
      <c r="L36" s="82"/>
      <c r="M36" s="81"/>
      <c r="N36" s="488" t="s">
        <v>84</v>
      </c>
      <c r="O36" s="12"/>
    </row>
    <row r="37" spans="1:15">
      <c r="C37" s="12"/>
      <c r="D37" s="12"/>
      <c r="E37" s="12"/>
      <c r="F37" s="12"/>
      <c r="G37" s="12"/>
      <c r="H37" s="12"/>
      <c r="I37" s="12"/>
      <c r="J37" s="12"/>
      <c r="K37" s="12"/>
      <c r="L37" s="12"/>
      <c r="M37" s="12"/>
      <c r="N37" s="12"/>
      <c r="O37" s="12"/>
    </row>
    <row r="38" spans="1:15" customFormat="1">
      <c r="K38" s="643">
        <v>0.98</v>
      </c>
    </row>
    <row r="39" spans="1:15" customFormat="1">
      <c r="K39" s="643">
        <v>1.01</v>
      </c>
    </row>
    <row r="40" spans="1:15" customFormat="1">
      <c r="K40" s="643">
        <v>1.07</v>
      </c>
    </row>
    <row r="41" spans="1:15" customFormat="1"/>
    <row r="42" spans="1:15" customFormat="1"/>
    <row r="43" spans="1:15" customFormat="1"/>
    <row r="44" spans="1:15" customFormat="1"/>
    <row r="45" spans="1:15" customFormat="1"/>
    <row r="46" spans="1:15" customFormat="1"/>
    <row r="47" spans="1:15" customFormat="1"/>
    <row r="48" spans="1:15" customFormat="1"/>
    <row r="49" spans="3:15" customFormat="1"/>
    <row r="50" spans="3:15" customFormat="1"/>
    <row r="51" spans="3:15" customFormat="1"/>
    <row r="52" spans="3:15" customFormat="1"/>
    <row r="53" spans="3:15" customFormat="1"/>
    <row r="54" spans="3:15">
      <c r="C54" s="12"/>
      <c r="D54" s="12"/>
      <c r="E54" s="12"/>
      <c r="F54" s="12"/>
      <c r="G54" s="12"/>
      <c r="H54" s="12"/>
      <c r="I54" s="12"/>
      <c r="J54" s="12"/>
      <c r="K54" s="12"/>
      <c r="L54" s="12"/>
      <c r="M54" s="12"/>
      <c r="N54" s="12"/>
      <c r="O54" s="12"/>
    </row>
    <row r="55" spans="3:15">
      <c r="C55" s="12"/>
      <c r="D55" s="12"/>
      <c r="E55" s="12"/>
      <c r="F55" s="12"/>
      <c r="G55" s="12"/>
      <c r="H55" s="12"/>
      <c r="I55" s="12"/>
      <c r="J55" s="12"/>
      <c r="K55" s="12"/>
      <c r="L55" s="12"/>
      <c r="M55" s="12"/>
      <c r="N55" s="12"/>
      <c r="O55" s="12"/>
    </row>
    <row r="56" spans="3:15">
      <c r="C56" s="12"/>
      <c r="D56" s="12"/>
      <c r="E56" s="12"/>
      <c r="F56" s="12"/>
      <c r="G56" s="12"/>
      <c r="H56" s="12"/>
      <c r="I56" s="12"/>
      <c r="J56" s="12"/>
      <c r="K56" s="12"/>
      <c r="L56" s="12"/>
      <c r="M56" s="12"/>
      <c r="N56" s="12"/>
      <c r="O56" s="12"/>
    </row>
    <row r="57" spans="3:15">
      <c r="C57" s="12"/>
      <c r="D57" s="12"/>
      <c r="E57" s="12"/>
      <c r="F57" s="12"/>
      <c r="G57" s="12"/>
      <c r="H57" s="12"/>
      <c r="I57" s="12"/>
      <c r="J57" s="12"/>
      <c r="K57" s="12"/>
      <c r="L57" s="12"/>
      <c r="M57" s="12"/>
      <c r="N57" s="12"/>
      <c r="O57" s="12"/>
    </row>
    <row r="58" spans="3:15">
      <c r="C58" s="12"/>
      <c r="D58" s="12"/>
      <c r="E58" s="12"/>
      <c r="F58" s="12"/>
      <c r="G58" s="12"/>
      <c r="H58" s="12"/>
      <c r="I58" s="12"/>
      <c r="J58" s="12"/>
      <c r="K58" s="12"/>
      <c r="L58" s="12"/>
      <c r="M58" s="12"/>
      <c r="N58" s="12"/>
      <c r="O58" s="12"/>
    </row>
    <row r="59" spans="3:15">
      <c r="C59" s="12"/>
      <c r="D59" s="12"/>
      <c r="E59" s="12"/>
      <c r="F59" s="12"/>
      <c r="G59" s="12"/>
      <c r="H59" s="12"/>
      <c r="I59" s="12"/>
      <c r="J59" s="12"/>
      <c r="K59" s="12"/>
      <c r="L59" s="12"/>
      <c r="M59" s="12"/>
      <c r="N59" s="12"/>
      <c r="O59" s="12"/>
    </row>
    <row r="60" spans="3:15">
      <c r="C60" s="12"/>
      <c r="D60" s="12"/>
      <c r="E60" s="12"/>
      <c r="F60" s="12"/>
      <c r="G60" s="12"/>
      <c r="H60" s="12"/>
      <c r="I60" s="12"/>
      <c r="J60" s="12"/>
      <c r="K60" s="12"/>
      <c r="L60" s="12"/>
      <c r="M60" s="12"/>
      <c r="N60" s="12"/>
      <c r="O60" s="12"/>
    </row>
    <row r="61" spans="3:15">
      <c r="C61" s="12"/>
      <c r="D61" s="12"/>
      <c r="E61" s="12"/>
      <c r="F61" s="12"/>
      <c r="G61" s="12"/>
      <c r="H61" s="12"/>
      <c r="I61" s="12"/>
      <c r="J61" s="12"/>
      <c r="K61" s="12"/>
      <c r="L61" s="12"/>
      <c r="M61" s="12"/>
      <c r="N61" s="12"/>
      <c r="O61" s="12"/>
    </row>
    <row r="62" spans="3:15">
      <c r="C62" s="12"/>
      <c r="D62" s="12"/>
      <c r="E62" s="12"/>
      <c r="F62" s="12"/>
      <c r="G62" s="12"/>
      <c r="H62" s="12"/>
      <c r="I62" s="12"/>
      <c r="J62" s="12"/>
      <c r="K62" s="12"/>
      <c r="L62" s="12"/>
      <c r="M62" s="12"/>
      <c r="N62" s="12"/>
      <c r="O62" s="12"/>
    </row>
    <row r="63" spans="3:15">
      <c r="C63" s="12"/>
      <c r="D63" s="12"/>
      <c r="E63" s="12"/>
      <c r="F63" s="12"/>
      <c r="G63" s="12"/>
      <c r="H63" s="12"/>
      <c r="I63" s="12"/>
      <c r="J63" s="12"/>
      <c r="K63" s="12"/>
      <c r="L63" s="12"/>
      <c r="M63" s="12"/>
      <c r="N63" s="12"/>
      <c r="O63" s="12"/>
    </row>
    <row r="64" spans="3:15">
      <c r="C64" s="12"/>
      <c r="D64" s="12"/>
      <c r="E64" s="12"/>
      <c r="F64" s="12"/>
      <c r="G64" s="12"/>
      <c r="H64" s="12"/>
      <c r="I64" s="12"/>
      <c r="J64" s="12"/>
      <c r="K64" s="12"/>
      <c r="L64" s="12"/>
      <c r="M64" s="12"/>
      <c r="N64" s="12"/>
      <c r="O64" s="12"/>
    </row>
    <row r="65" spans="3:15">
      <c r="C65" s="12"/>
      <c r="D65" s="12"/>
      <c r="E65" s="12"/>
      <c r="F65" s="12"/>
      <c r="G65" s="12"/>
      <c r="H65" s="12"/>
      <c r="I65" s="12"/>
      <c r="J65" s="12"/>
      <c r="K65" s="12"/>
      <c r="L65" s="12"/>
      <c r="M65" s="12"/>
      <c r="N65" s="12"/>
      <c r="O65" s="12"/>
    </row>
    <row r="66" spans="3:15">
      <c r="C66" s="12"/>
      <c r="D66" s="12"/>
      <c r="E66" s="12"/>
      <c r="F66" s="12"/>
      <c r="G66" s="12"/>
      <c r="H66" s="12"/>
      <c r="I66" s="12"/>
      <c r="J66" s="12"/>
      <c r="K66" s="12"/>
      <c r="L66" s="12"/>
      <c r="M66" s="12"/>
      <c r="N66" s="12"/>
      <c r="O66" s="12"/>
    </row>
    <row r="67" spans="3:15">
      <c r="C67" s="12"/>
      <c r="D67" s="12"/>
      <c r="E67" s="12"/>
      <c r="F67" s="12"/>
      <c r="G67" s="12"/>
      <c r="H67" s="12"/>
      <c r="I67" s="12"/>
      <c r="J67" s="12"/>
      <c r="K67" s="12"/>
      <c r="L67" s="12"/>
      <c r="M67" s="12"/>
      <c r="N67" s="12"/>
      <c r="O67" s="12"/>
    </row>
    <row r="68" spans="3:15">
      <c r="C68" s="12"/>
      <c r="D68" s="12"/>
      <c r="E68" s="12"/>
      <c r="F68" s="12"/>
      <c r="G68" s="12"/>
      <c r="H68" s="12"/>
      <c r="I68" s="12"/>
      <c r="J68" s="12"/>
      <c r="K68" s="12"/>
      <c r="L68" s="12"/>
      <c r="M68" s="12"/>
      <c r="N68" s="12"/>
      <c r="O68" s="12"/>
    </row>
    <row r="69" spans="3:15">
      <c r="C69" s="12"/>
      <c r="D69" s="12"/>
      <c r="E69" s="12"/>
      <c r="F69" s="12"/>
      <c r="G69" s="12"/>
      <c r="H69" s="12"/>
      <c r="I69" s="12"/>
      <c r="J69" s="12"/>
      <c r="K69" s="12"/>
      <c r="L69" s="12"/>
      <c r="M69" s="12"/>
      <c r="N69" s="12"/>
      <c r="O69" s="12"/>
    </row>
    <row r="70" spans="3:15">
      <c r="C70" s="12"/>
      <c r="D70" s="12"/>
      <c r="E70" s="12"/>
      <c r="F70" s="12"/>
      <c r="G70" s="12"/>
      <c r="H70" s="12"/>
      <c r="I70" s="12"/>
      <c r="J70" s="12"/>
      <c r="K70" s="12"/>
      <c r="L70" s="12"/>
      <c r="M70" s="12"/>
      <c r="N70" s="12"/>
      <c r="O70" s="12"/>
    </row>
    <row r="71" spans="3:15">
      <c r="C71" s="12"/>
      <c r="D71" s="12"/>
      <c r="E71" s="12"/>
      <c r="F71" s="12"/>
      <c r="G71" s="12"/>
      <c r="H71" s="12"/>
      <c r="I71" s="12"/>
      <c r="J71" s="12"/>
      <c r="K71" s="12"/>
      <c r="L71" s="12"/>
      <c r="M71" s="12"/>
      <c r="N71" s="12"/>
      <c r="O71" s="12"/>
    </row>
    <row r="72" spans="3:15">
      <c r="C72" s="12"/>
      <c r="D72" s="12"/>
      <c r="E72" s="12"/>
      <c r="F72" s="12"/>
      <c r="G72" s="12"/>
      <c r="H72" s="12"/>
      <c r="I72" s="12"/>
      <c r="J72" s="12"/>
      <c r="K72" s="12"/>
      <c r="L72" s="12"/>
      <c r="M72" s="12"/>
      <c r="N72" s="12"/>
      <c r="O72" s="12"/>
    </row>
    <row r="73" spans="3:15">
      <c r="C73" s="12"/>
      <c r="D73" s="12"/>
      <c r="E73" s="12"/>
      <c r="F73" s="12"/>
      <c r="G73" s="12"/>
      <c r="H73" s="12"/>
      <c r="I73" s="12"/>
      <c r="J73" s="12"/>
      <c r="K73" s="12"/>
      <c r="L73" s="12"/>
      <c r="M73" s="12"/>
      <c r="N73" s="12"/>
      <c r="O73" s="12"/>
    </row>
    <row r="74" spans="3:15">
      <c r="C74" s="12"/>
      <c r="D74" s="12"/>
      <c r="E74" s="12"/>
      <c r="F74" s="12"/>
      <c r="G74" s="12"/>
      <c r="H74" s="12"/>
      <c r="I74" s="12"/>
      <c r="J74" s="12"/>
      <c r="K74" s="12"/>
      <c r="L74" s="12"/>
      <c r="M74" s="12"/>
      <c r="N74" s="12"/>
      <c r="O74" s="12"/>
    </row>
    <row r="75" spans="3:15">
      <c r="C75" s="12"/>
      <c r="D75" s="12"/>
      <c r="E75" s="12"/>
      <c r="F75" s="12"/>
      <c r="G75" s="12"/>
      <c r="H75" s="12"/>
      <c r="I75" s="12"/>
      <c r="J75" s="12"/>
      <c r="K75" s="12"/>
      <c r="L75" s="12"/>
      <c r="M75" s="12"/>
      <c r="N75" s="12"/>
      <c r="O75" s="12"/>
    </row>
    <row r="76" spans="3:15">
      <c r="C76" s="12"/>
      <c r="D76" s="12"/>
      <c r="E76" s="12"/>
      <c r="F76" s="12"/>
      <c r="G76" s="12"/>
      <c r="H76" s="12"/>
      <c r="I76" s="12"/>
      <c r="J76" s="12"/>
      <c r="K76" s="12"/>
      <c r="L76" s="12"/>
      <c r="M76" s="12"/>
      <c r="N76" s="12"/>
      <c r="O76" s="12"/>
    </row>
    <row r="77" spans="3:15">
      <c r="C77" s="12"/>
      <c r="D77" s="12"/>
      <c r="E77" s="12"/>
      <c r="F77" s="12"/>
      <c r="G77" s="12"/>
      <c r="H77" s="12"/>
      <c r="I77" s="12"/>
      <c r="J77" s="12"/>
      <c r="K77" s="12"/>
      <c r="L77" s="12"/>
      <c r="M77" s="12"/>
      <c r="N77" s="12"/>
      <c r="O77" s="12"/>
    </row>
    <row r="78" spans="3:15">
      <c r="C78" s="12"/>
      <c r="D78" s="12"/>
      <c r="E78" s="12"/>
      <c r="F78" s="12"/>
      <c r="G78" s="12"/>
      <c r="H78" s="12"/>
      <c r="I78" s="12"/>
      <c r="J78" s="12"/>
      <c r="K78" s="12"/>
      <c r="L78" s="12"/>
      <c r="M78" s="12"/>
      <c r="N78" s="12"/>
      <c r="O78" s="12"/>
    </row>
    <row r="79" spans="3:15">
      <c r="C79" s="12"/>
      <c r="D79" s="12"/>
      <c r="E79" s="12"/>
      <c r="F79" s="12"/>
      <c r="G79" s="12"/>
      <c r="H79" s="12"/>
      <c r="I79" s="12"/>
      <c r="J79" s="12"/>
      <c r="K79" s="12"/>
      <c r="L79" s="12"/>
      <c r="M79" s="12"/>
      <c r="N79" s="12"/>
      <c r="O79" s="12"/>
    </row>
    <row r="80" spans="3:15">
      <c r="C80" s="12"/>
      <c r="D80" s="12"/>
      <c r="E80" s="12"/>
      <c r="F80" s="12"/>
      <c r="G80" s="12"/>
      <c r="H80" s="12"/>
      <c r="I80" s="12"/>
      <c r="J80" s="12"/>
      <c r="K80" s="12"/>
      <c r="L80" s="12"/>
      <c r="M80" s="12"/>
      <c r="N80" s="12"/>
      <c r="O80" s="12"/>
    </row>
    <row r="81" spans="3:15">
      <c r="C81" s="12"/>
      <c r="D81" s="12"/>
      <c r="E81" s="12"/>
      <c r="F81" s="12"/>
      <c r="G81" s="12"/>
      <c r="H81" s="12"/>
      <c r="I81" s="12"/>
      <c r="J81" s="12"/>
      <c r="K81" s="12"/>
      <c r="L81" s="12"/>
      <c r="M81" s="12"/>
      <c r="N81" s="12"/>
      <c r="O81" s="12"/>
    </row>
    <row r="82" spans="3:15">
      <c r="C82" s="12"/>
      <c r="D82" s="12"/>
      <c r="E82" s="12"/>
      <c r="F82" s="12"/>
      <c r="G82" s="12"/>
      <c r="H82" s="12"/>
      <c r="I82" s="12"/>
      <c r="J82" s="12"/>
      <c r="K82" s="12"/>
      <c r="L82" s="12"/>
      <c r="M82" s="12"/>
      <c r="N82" s="12"/>
      <c r="O82" s="12"/>
    </row>
    <row r="83" spans="3:15">
      <c r="C83" s="12"/>
      <c r="D83" s="12"/>
      <c r="E83" s="12"/>
      <c r="F83" s="12"/>
      <c r="G83" s="12"/>
      <c r="H83" s="12"/>
      <c r="I83" s="12"/>
      <c r="J83" s="12"/>
      <c r="K83" s="12"/>
      <c r="L83" s="12"/>
      <c r="M83" s="12"/>
      <c r="N83" s="12"/>
      <c r="O83" s="12"/>
    </row>
    <row r="84" spans="3:15">
      <c r="C84" s="12"/>
      <c r="D84" s="12"/>
      <c r="E84" s="12"/>
      <c r="F84" s="12"/>
      <c r="G84" s="12"/>
      <c r="H84" s="12"/>
      <c r="I84" s="12"/>
      <c r="J84" s="12"/>
      <c r="K84" s="12"/>
      <c r="L84" s="12"/>
      <c r="M84" s="12"/>
      <c r="N84" s="12"/>
      <c r="O84" s="12"/>
    </row>
    <row r="85" spans="3:15">
      <c r="C85" s="12"/>
      <c r="D85" s="12"/>
      <c r="E85" s="12"/>
      <c r="F85" s="12"/>
      <c r="G85" s="12"/>
      <c r="H85" s="12"/>
      <c r="I85" s="12"/>
      <c r="J85" s="12"/>
      <c r="K85" s="12"/>
      <c r="L85" s="12"/>
      <c r="M85" s="12"/>
      <c r="N85" s="12"/>
      <c r="O85" s="12"/>
    </row>
    <row r="86" spans="3:15">
      <c r="C86" s="12"/>
      <c r="D86" s="12"/>
      <c r="E86" s="12"/>
      <c r="F86" s="12"/>
      <c r="G86" s="12"/>
      <c r="H86" s="12"/>
      <c r="I86" s="12"/>
      <c r="J86" s="12"/>
      <c r="K86" s="12"/>
      <c r="L86" s="12"/>
      <c r="M86" s="12"/>
      <c r="N86" s="12"/>
      <c r="O86" s="12"/>
    </row>
    <row r="87" spans="3:15">
      <c r="C87" s="12"/>
      <c r="D87" s="12"/>
      <c r="E87" s="12"/>
      <c r="F87" s="12"/>
      <c r="G87" s="12"/>
      <c r="H87" s="12"/>
      <c r="I87" s="12"/>
      <c r="J87" s="12"/>
      <c r="K87" s="12"/>
      <c r="L87" s="12"/>
      <c r="M87" s="12"/>
      <c r="N87" s="12"/>
      <c r="O87" s="12"/>
    </row>
    <row r="88" spans="3:15">
      <c r="C88" s="12"/>
      <c r="D88" s="12"/>
      <c r="E88" s="12"/>
      <c r="F88" s="12"/>
      <c r="G88" s="12"/>
      <c r="H88" s="12"/>
      <c r="I88" s="12"/>
      <c r="J88" s="12"/>
      <c r="K88" s="12"/>
      <c r="L88" s="12"/>
      <c r="M88" s="12"/>
      <c r="N88" s="12"/>
      <c r="O88" s="12"/>
    </row>
    <row r="89" spans="3:15">
      <c r="C89" s="12"/>
      <c r="D89" s="12"/>
      <c r="E89" s="12"/>
      <c r="F89" s="12"/>
      <c r="G89" s="12"/>
      <c r="H89" s="12"/>
      <c r="I89" s="12"/>
      <c r="J89" s="12"/>
      <c r="K89" s="12"/>
      <c r="L89" s="12"/>
      <c r="M89" s="12"/>
      <c r="N89" s="12"/>
      <c r="O89" s="12"/>
    </row>
    <row r="90" spans="3:15">
      <c r="C90" s="12"/>
      <c r="D90" s="12"/>
      <c r="E90" s="12"/>
      <c r="F90" s="12"/>
      <c r="G90" s="12"/>
      <c r="H90" s="12"/>
      <c r="I90" s="12"/>
      <c r="J90" s="12"/>
      <c r="K90" s="12"/>
      <c r="L90" s="12"/>
      <c r="M90" s="12"/>
      <c r="N90" s="12"/>
      <c r="O90" s="12"/>
    </row>
    <row r="91" spans="3:15">
      <c r="C91" s="12"/>
      <c r="D91" s="12"/>
      <c r="E91" s="12"/>
      <c r="F91" s="12"/>
      <c r="G91" s="12"/>
      <c r="H91" s="12"/>
      <c r="I91" s="12"/>
      <c r="J91" s="12"/>
      <c r="K91" s="12"/>
      <c r="L91" s="12"/>
      <c r="M91" s="12"/>
      <c r="N91" s="12"/>
      <c r="O91" s="12"/>
    </row>
    <row r="92" spans="3:15">
      <c r="C92" s="12"/>
      <c r="D92" s="12"/>
      <c r="E92" s="12"/>
      <c r="F92" s="12"/>
      <c r="G92" s="12"/>
      <c r="H92" s="12"/>
      <c r="I92" s="12"/>
      <c r="J92" s="12"/>
      <c r="K92" s="12"/>
      <c r="L92" s="12"/>
      <c r="M92" s="12"/>
      <c r="N92" s="12"/>
      <c r="O92" s="12"/>
    </row>
    <row r="93" spans="3:15">
      <c r="C93" s="12"/>
      <c r="D93" s="12"/>
      <c r="E93" s="12"/>
      <c r="F93" s="12"/>
      <c r="G93" s="12"/>
      <c r="H93" s="12"/>
      <c r="I93" s="12"/>
      <c r="J93" s="12"/>
      <c r="K93" s="12"/>
      <c r="L93" s="12"/>
      <c r="M93" s="12"/>
      <c r="N93" s="12"/>
      <c r="O93" s="12"/>
    </row>
    <row r="94" spans="3:15">
      <c r="C94" s="12"/>
      <c r="D94" s="12"/>
      <c r="E94" s="12"/>
      <c r="F94" s="12"/>
      <c r="G94" s="12"/>
      <c r="H94" s="12"/>
      <c r="I94" s="12"/>
      <c r="J94" s="12"/>
      <c r="K94" s="12"/>
      <c r="L94" s="12"/>
      <c r="M94" s="12"/>
      <c r="N94" s="12"/>
      <c r="O94" s="12"/>
    </row>
    <row r="95" spans="3:15">
      <c r="C95" s="12"/>
      <c r="D95" s="12"/>
      <c r="E95" s="12"/>
      <c r="F95" s="12"/>
      <c r="G95" s="12"/>
      <c r="H95" s="12"/>
      <c r="I95" s="12"/>
      <c r="J95" s="12"/>
      <c r="K95" s="12"/>
      <c r="L95" s="12"/>
      <c r="M95" s="12"/>
      <c r="N95" s="12"/>
      <c r="O95" s="12"/>
    </row>
    <row r="96" spans="3:15">
      <c r="C96" s="12"/>
      <c r="D96" s="12"/>
      <c r="E96" s="12"/>
      <c r="F96" s="12"/>
      <c r="G96" s="12"/>
      <c r="H96" s="12"/>
      <c r="I96" s="12"/>
      <c r="J96" s="12"/>
      <c r="K96" s="12"/>
      <c r="L96" s="12"/>
      <c r="M96" s="12"/>
      <c r="N96" s="12"/>
      <c r="O96" s="12"/>
    </row>
    <row r="97" spans="3:15">
      <c r="C97" s="12"/>
      <c r="D97" s="12"/>
      <c r="E97" s="12"/>
      <c r="F97" s="12"/>
      <c r="G97" s="12"/>
      <c r="H97" s="12"/>
      <c r="I97" s="12"/>
      <c r="J97" s="12"/>
      <c r="K97" s="12"/>
      <c r="L97" s="12"/>
      <c r="M97" s="12"/>
      <c r="N97" s="12"/>
      <c r="O97" s="12"/>
    </row>
    <row r="98" spans="3:15">
      <c r="C98" s="12"/>
      <c r="D98" s="12"/>
      <c r="E98" s="12"/>
      <c r="F98" s="12"/>
      <c r="G98" s="12"/>
      <c r="H98" s="12"/>
      <c r="I98" s="12"/>
      <c r="J98" s="12"/>
      <c r="K98" s="12"/>
      <c r="L98" s="12"/>
      <c r="M98" s="12"/>
      <c r="N98" s="12"/>
      <c r="O98" s="12"/>
    </row>
    <row r="99" spans="3:15">
      <c r="C99" s="12"/>
      <c r="D99" s="12"/>
      <c r="E99" s="12"/>
      <c r="F99" s="12"/>
      <c r="G99" s="12"/>
      <c r="H99" s="12"/>
      <c r="I99" s="12"/>
      <c r="J99" s="12"/>
      <c r="K99" s="12"/>
      <c r="L99" s="12"/>
      <c r="M99" s="12"/>
      <c r="N99" s="12"/>
      <c r="O99" s="12"/>
    </row>
    <row r="100" spans="3:15">
      <c r="C100" s="12"/>
      <c r="D100" s="12"/>
      <c r="E100" s="12"/>
      <c r="F100" s="12"/>
      <c r="G100" s="12"/>
      <c r="H100" s="12"/>
      <c r="I100" s="12"/>
      <c r="J100" s="12"/>
      <c r="K100" s="12"/>
      <c r="L100" s="12"/>
      <c r="M100" s="12"/>
      <c r="N100" s="12"/>
      <c r="O100" s="12"/>
    </row>
    <row r="101" spans="3:15">
      <c r="C101" s="12"/>
      <c r="D101" s="12"/>
      <c r="E101" s="12"/>
      <c r="F101" s="12"/>
      <c r="G101" s="12"/>
      <c r="H101" s="12"/>
      <c r="I101" s="12"/>
      <c r="J101" s="12"/>
      <c r="K101" s="12"/>
      <c r="L101" s="12"/>
      <c r="M101" s="12"/>
      <c r="N101" s="12"/>
      <c r="O101" s="12"/>
    </row>
    <row r="102" spans="3:15">
      <c r="C102" s="12"/>
      <c r="D102" s="12"/>
      <c r="E102" s="12"/>
      <c r="F102" s="12"/>
      <c r="G102" s="12"/>
      <c r="H102" s="12"/>
      <c r="I102" s="12"/>
      <c r="J102" s="12"/>
      <c r="K102" s="12"/>
      <c r="L102" s="12"/>
      <c r="M102" s="12"/>
      <c r="N102" s="12"/>
      <c r="O102" s="12"/>
    </row>
    <row r="103" spans="3:15">
      <c r="C103" s="12"/>
      <c r="D103" s="12"/>
      <c r="E103" s="12"/>
      <c r="F103" s="12"/>
      <c r="G103" s="12"/>
      <c r="H103" s="12"/>
      <c r="I103" s="12"/>
      <c r="J103" s="12"/>
      <c r="K103" s="12"/>
      <c r="L103" s="12"/>
      <c r="M103" s="12"/>
      <c r="N103" s="12"/>
      <c r="O103" s="12"/>
    </row>
    <row r="104" spans="3:15">
      <c r="C104" s="12"/>
      <c r="D104" s="12"/>
      <c r="E104" s="12"/>
      <c r="F104" s="12"/>
      <c r="G104" s="12"/>
      <c r="H104" s="12"/>
      <c r="I104" s="12"/>
      <c r="J104" s="12"/>
      <c r="K104" s="12"/>
      <c r="L104" s="12"/>
      <c r="M104" s="12"/>
      <c r="N104" s="12"/>
      <c r="O104" s="12"/>
    </row>
    <row r="105" spans="3:15">
      <c r="C105" s="12"/>
      <c r="D105" s="12"/>
      <c r="E105" s="12"/>
      <c r="F105" s="12"/>
      <c r="G105" s="12"/>
      <c r="H105" s="12"/>
      <c r="I105" s="12"/>
      <c r="J105" s="12"/>
      <c r="K105" s="12"/>
      <c r="L105" s="12"/>
      <c r="M105" s="12"/>
      <c r="N105" s="12"/>
      <c r="O105" s="12"/>
    </row>
    <row r="106" spans="3:15">
      <c r="C106" s="12"/>
      <c r="D106" s="12"/>
      <c r="E106" s="12"/>
      <c r="F106" s="12"/>
      <c r="G106" s="12"/>
      <c r="H106" s="12"/>
      <c r="I106" s="12"/>
      <c r="J106" s="12"/>
      <c r="K106" s="12"/>
      <c r="L106" s="12"/>
      <c r="M106" s="12"/>
      <c r="N106" s="12"/>
      <c r="O106" s="12"/>
    </row>
    <row r="107" spans="3:15">
      <c r="C107" s="12"/>
      <c r="D107" s="12"/>
      <c r="E107" s="12"/>
      <c r="F107" s="12"/>
      <c r="G107" s="12"/>
      <c r="H107" s="12"/>
      <c r="I107" s="12"/>
      <c r="J107" s="12"/>
      <c r="K107" s="12"/>
      <c r="L107" s="12"/>
      <c r="M107" s="12"/>
      <c r="N107" s="12"/>
      <c r="O107" s="12"/>
    </row>
    <row r="108" spans="3:15">
      <c r="C108" s="12"/>
      <c r="D108" s="12"/>
      <c r="E108" s="12"/>
      <c r="F108" s="12"/>
      <c r="G108" s="12"/>
      <c r="H108" s="12"/>
      <c r="I108" s="12"/>
      <c r="J108" s="12"/>
      <c r="K108" s="12"/>
      <c r="L108" s="12"/>
      <c r="M108" s="12"/>
      <c r="N108" s="12"/>
      <c r="O108" s="12"/>
    </row>
    <row r="109" spans="3:15">
      <c r="C109" s="12"/>
      <c r="D109" s="12"/>
      <c r="E109" s="12"/>
      <c r="F109" s="12"/>
      <c r="G109" s="12"/>
      <c r="H109" s="12"/>
      <c r="I109" s="12"/>
      <c r="J109" s="12"/>
      <c r="K109" s="12"/>
      <c r="L109" s="12"/>
      <c r="M109" s="12"/>
      <c r="N109" s="12"/>
      <c r="O109" s="12"/>
    </row>
    <row r="110" spans="3:15">
      <c r="C110" s="12"/>
      <c r="D110" s="12"/>
      <c r="E110" s="12"/>
      <c r="F110" s="12"/>
      <c r="G110" s="12"/>
      <c r="H110" s="12"/>
      <c r="I110" s="12"/>
      <c r="J110" s="12"/>
      <c r="K110" s="12"/>
      <c r="L110" s="12"/>
      <c r="M110" s="12"/>
      <c r="N110" s="12"/>
      <c r="O110" s="12"/>
    </row>
    <row r="111" spans="3:15">
      <c r="C111" s="12"/>
      <c r="D111" s="12"/>
      <c r="E111" s="12"/>
      <c r="F111" s="12"/>
      <c r="G111" s="12"/>
      <c r="H111" s="12"/>
      <c r="I111" s="12"/>
      <c r="J111" s="12"/>
      <c r="K111" s="12"/>
      <c r="L111" s="12"/>
      <c r="M111" s="12"/>
      <c r="N111" s="12"/>
      <c r="O111" s="12"/>
    </row>
    <row r="112" spans="3:15">
      <c r="C112" s="12"/>
      <c r="D112" s="12"/>
      <c r="E112" s="12"/>
      <c r="F112" s="12"/>
      <c r="G112" s="12"/>
      <c r="H112" s="12"/>
      <c r="I112" s="12"/>
      <c r="J112" s="12"/>
      <c r="K112" s="12"/>
      <c r="L112" s="12"/>
      <c r="M112" s="12"/>
      <c r="N112" s="12"/>
      <c r="O112" s="12"/>
    </row>
    <row r="113" spans="3:15">
      <c r="C113" s="12"/>
      <c r="D113" s="12"/>
      <c r="E113" s="12"/>
      <c r="F113" s="12"/>
      <c r="G113" s="12"/>
      <c r="H113" s="12"/>
      <c r="I113" s="12"/>
      <c r="J113" s="12"/>
      <c r="K113" s="12"/>
      <c r="L113" s="12"/>
      <c r="M113" s="12"/>
      <c r="N113" s="12"/>
      <c r="O113" s="12"/>
    </row>
    <row r="114" spans="3:15">
      <c r="C114" s="12"/>
      <c r="D114" s="12"/>
      <c r="E114" s="12"/>
      <c r="F114" s="12"/>
      <c r="G114" s="12"/>
      <c r="H114" s="12"/>
      <c r="I114" s="12"/>
      <c r="J114" s="12"/>
      <c r="K114" s="12"/>
      <c r="L114" s="12"/>
      <c r="M114" s="12"/>
      <c r="N114" s="12"/>
      <c r="O114" s="12"/>
    </row>
    <row r="115" spans="3:15">
      <c r="C115" s="12"/>
      <c r="D115" s="12"/>
      <c r="E115" s="12"/>
      <c r="F115" s="12"/>
      <c r="G115" s="12"/>
      <c r="H115" s="12"/>
      <c r="I115" s="12"/>
      <c r="J115" s="12"/>
      <c r="K115" s="12"/>
      <c r="L115" s="12"/>
      <c r="M115" s="12"/>
      <c r="N115" s="12"/>
      <c r="O115" s="12"/>
    </row>
    <row r="116" spans="3:15">
      <c r="C116" s="12"/>
      <c r="D116" s="12"/>
      <c r="E116" s="12"/>
      <c r="F116" s="12"/>
      <c r="G116" s="12"/>
      <c r="H116" s="12"/>
      <c r="I116" s="12"/>
      <c r="J116" s="12"/>
      <c r="K116" s="12"/>
      <c r="L116" s="12"/>
      <c r="M116" s="12"/>
      <c r="N116" s="12"/>
      <c r="O116" s="12"/>
    </row>
    <row r="117" spans="3:15">
      <c r="C117" s="12"/>
      <c r="D117" s="12"/>
      <c r="E117" s="12"/>
      <c r="F117" s="12"/>
      <c r="G117" s="12"/>
      <c r="H117" s="12"/>
      <c r="I117" s="12"/>
      <c r="J117" s="12"/>
      <c r="K117" s="12"/>
      <c r="L117" s="12"/>
      <c r="M117" s="12"/>
      <c r="N117" s="12"/>
      <c r="O117" s="12"/>
    </row>
    <row r="118" spans="3:15">
      <c r="C118" s="12"/>
      <c r="D118" s="12"/>
      <c r="E118" s="12"/>
      <c r="F118" s="12"/>
      <c r="G118" s="12"/>
      <c r="H118" s="12"/>
      <c r="I118" s="12"/>
      <c r="J118" s="12"/>
      <c r="K118" s="12"/>
      <c r="L118" s="12"/>
      <c r="M118" s="12"/>
      <c r="N118" s="12"/>
      <c r="O118" s="12"/>
    </row>
    <row r="119" spans="3:15">
      <c r="C119" s="12"/>
      <c r="D119" s="12"/>
      <c r="E119" s="12"/>
      <c r="F119" s="12"/>
      <c r="G119" s="12"/>
      <c r="H119" s="12"/>
      <c r="I119" s="12"/>
      <c r="J119" s="12"/>
      <c r="K119" s="12"/>
      <c r="L119" s="12"/>
      <c r="M119" s="12"/>
      <c r="N119" s="12"/>
      <c r="O119" s="12"/>
    </row>
    <row r="120" spans="3:15">
      <c r="C120" s="12"/>
      <c r="D120" s="12"/>
      <c r="E120" s="12"/>
      <c r="F120" s="12"/>
      <c r="G120" s="12"/>
      <c r="H120" s="12"/>
      <c r="I120" s="12"/>
      <c r="J120" s="12"/>
      <c r="K120" s="12"/>
      <c r="L120" s="12"/>
      <c r="M120" s="12"/>
      <c r="N120" s="12"/>
      <c r="O120" s="12"/>
    </row>
    <row r="121" spans="3:15">
      <c r="C121" s="12"/>
      <c r="D121" s="12"/>
      <c r="E121" s="12"/>
      <c r="F121" s="12"/>
      <c r="G121" s="12"/>
      <c r="H121" s="12"/>
      <c r="I121" s="12"/>
      <c r="J121" s="12"/>
      <c r="K121" s="12"/>
      <c r="L121" s="12"/>
      <c r="M121" s="12"/>
      <c r="N121" s="12"/>
      <c r="O121" s="12"/>
    </row>
    <row r="122" spans="3:15">
      <c r="C122" s="12"/>
      <c r="D122" s="12"/>
      <c r="E122" s="12"/>
      <c r="F122" s="12"/>
      <c r="G122" s="12"/>
      <c r="H122" s="12"/>
      <c r="I122" s="12"/>
      <c r="J122" s="12"/>
      <c r="K122" s="12"/>
      <c r="L122" s="12"/>
      <c r="M122" s="12"/>
      <c r="N122" s="12"/>
      <c r="O122" s="12"/>
    </row>
    <row r="123" spans="3:15">
      <c r="C123" s="12"/>
      <c r="D123" s="12"/>
      <c r="E123" s="12"/>
      <c r="F123" s="12"/>
      <c r="G123" s="12"/>
      <c r="H123" s="12"/>
      <c r="I123" s="12"/>
      <c r="J123" s="12"/>
      <c r="K123" s="12"/>
      <c r="L123" s="12"/>
      <c r="M123" s="12"/>
      <c r="N123" s="12"/>
      <c r="O123" s="12"/>
    </row>
    <row r="124" spans="3:15">
      <c r="C124" s="12"/>
      <c r="D124" s="12"/>
      <c r="E124" s="12"/>
      <c r="F124" s="12"/>
      <c r="G124" s="12"/>
      <c r="H124" s="12"/>
      <c r="I124" s="12"/>
      <c r="J124" s="12"/>
      <c r="K124" s="12"/>
      <c r="L124" s="12"/>
      <c r="M124" s="12"/>
      <c r="N124" s="12"/>
      <c r="O124" s="12"/>
    </row>
    <row r="125" spans="3:15">
      <c r="C125" s="12"/>
      <c r="D125" s="12"/>
      <c r="E125" s="12"/>
      <c r="F125" s="12"/>
      <c r="G125" s="12"/>
      <c r="H125" s="12"/>
      <c r="I125" s="12"/>
      <c r="J125" s="12"/>
      <c r="K125" s="12"/>
      <c r="L125" s="12"/>
      <c r="M125" s="12"/>
      <c r="N125" s="12"/>
      <c r="O125" s="12"/>
    </row>
    <row r="126" spans="3:15">
      <c r="C126" s="12"/>
      <c r="D126" s="12"/>
      <c r="E126" s="12"/>
      <c r="F126" s="12"/>
      <c r="G126" s="12"/>
      <c r="H126" s="12"/>
      <c r="I126" s="12"/>
      <c r="J126" s="12"/>
      <c r="K126" s="12"/>
      <c r="L126" s="12"/>
      <c r="M126" s="12"/>
      <c r="N126" s="12"/>
      <c r="O126" s="12"/>
    </row>
    <row r="127" spans="3:15">
      <c r="C127" s="12"/>
      <c r="D127" s="12"/>
      <c r="E127" s="12"/>
      <c r="F127" s="12"/>
      <c r="G127" s="12"/>
      <c r="H127" s="12"/>
      <c r="I127" s="12"/>
      <c r="J127" s="12"/>
      <c r="K127" s="12"/>
      <c r="L127" s="12"/>
      <c r="M127" s="12"/>
      <c r="N127" s="12"/>
      <c r="O127" s="12"/>
    </row>
    <row r="128" spans="3:15">
      <c r="C128" s="12"/>
      <c r="D128" s="12"/>
      <c r="E128" s="12"/>
      <c r="F128" s="12"/>
      <c r="G128" s="12"/>
      <c r="H128" s="12"/>
      <c r="I128" s="12"/>
      <c r="J128" s="12"/>
      <c r="K128" s="12"/>
      <c r="L128" s="12"/>
      <c r="M128" s="12"/>
      <c r="N128" s="12"/>
      <c r="O128" s="12"/>
    </row>
    <row r="129" spans="3:15">
      <c r="C129" s="12"/>
      <c r="D129" s="12"/>
      <c r="E129" s="12"/>
      <c r="F129" s="12"/>
      <c r="G129" s="12"/>
      <c r="H129" s="12"/>
      <c r="I129" s="12"/>
      <c r="J129" s="12"/>
      <c r="K129" s="12"/>
      <c r="L129" s="12"/>
      <c r="M129" s="12"/>
      <c r="N129" s="12"/>
      <c r="O129" s="12"/>
    </row>
    <row r="130" spans="3:15">
      <c r="C130" s="12"/>
      <c r="D130" s="12"/>
      <c r="E130" s="12"/>
      <c r="F130" s="12"/>
      <c r="G130" s="12"/>
      <c r="H130" s="12"/>
      <c r="I130" s="12"/>
      <c r="J130" s="12"/>
      <c r="K130" s="12"/>
      <c r="L130" s="12"/>
      <c r="M130" s="12"/>
      <c r="N130" s="12"/>
      <c r="O130" s="12"/>
    </row>
    <row r="131" spans="3:15">
      <c r="C131" s="12"/>
      <c r="D131" s="12"/>
      <c r="E131" s="12"/>
      <c r="F131" s="12"/>
      <c r="G131" s="12"/>
      <c r="H131" s="12"/>
      <c r="I131" s="12"/>
      <c r="J131" s="12"/>
      <c r="K131" s="12"/>
      <c r="L131" s="12"/>
      <c r="M131" s="12"/>
      <c r="N131" s="12"/>
      <c r="O131" s="12"/>
    </row>
    <row r="132" spans="3:15">
      <c r="C132" s="12"/>
      <c r="D132" s="12"/>
      <c r="E132" s="12"/>
      <c r="F132" s="12"/>
      <c r="G132" s="12"/>
      <c r="H132" s="12"/>
      <c r="I132" s="12"/>
      <c r="J132" s="12"/>
      <c r="K132" s="12"/>
      <c r="L132" s="12"/>
      <c r="M132" s="12"/>
      <c r="N132" s="12"/>
      <c r="O132" s="12"/>
    </row>
    <row r="133" spans="3:15">
      <c r="C133" s="12"/>
      <c r="D133" s="12"/>
      <c r="E133" s="12"/>
      <c r="F133" s="12"/>
      <c r="G133" s="12"/>
      <c r="H133" s="12"/>
      <c r="I133" s="12"/>
      <c r="J133" s="12"/>
      <c r="K133" s="12"/>
      <c r="L133" s="12"/>
      <c r="M133" s="12"/>
      <c r="N133" s="12"/>
      <c r="O133" s="12"/>
    </row>
    <row r="134" spans="3:15">
      <c r="C134" s="12"/>
      <c r="D134" s="12"/>
      <c r="E134" s="12"/>
      <c r="F134" s="12"/>
      <c r="G134" s="12"/>
      <c r="H134" s="12"/>
      <c r="I134" s="12"/>
      <c r="J134" s="12"/>
      <c r="K134" s="12"/>
      <c r="L134" s="12"/>
      <c r="M134" s="12"/>
      <c r="N134" s="12"/>
      <c r="O134" s="12"/>
    </row>
    <row r="135" spans="3:15">
      <c r="C135" s="12"/>
      <c r="D135" s="12"/>
      <c r="E135" s="12"/>
      <c r="F135" s="12"/>
      <c r="G135" s="12"/>
      <c r="H135" s="12"/>
      <c r="I135" s="12"/>
      <c r="J135" s="12"/>
      <c r="K135" s="12"/>
      <c r="L135" s="12"/>
      <c r="M135" s="12"/>
      <c r="N135" s="12"/>
      <c r="O135" s="12"/>
    </row>
    <row r="136" spans="3:15">
      <c r="C136" s="12"/>
      <c r="D136" s="12"/>
      <c r="E136" s="12"/>
      <c r="F136" s="12"/>
      <c r="G136" s="12"/>
      <c r="H136" s="12"/>
      <c r="I136" s="12"/>
      <c r="J136" s="12"/>
      <c r="K136" s="12"/>
      <c r="L136" s="12"/>
      <c r="M136" s="12"/>
      <c r="N136" s="12"/>
      <c r="O136" s="12"/>
    </row>
    <row r="137" spans="3:15">
      <c r="C137" s="12"/>
      <c r="D137" s="12"/>
      <c r="E137" s="12"/>
      <c r="F137" s="12"/>
      <c r="G137" s="12"/>
      <c r="H137" s="12"/>
      <c r="I137" s="12"/>
      <c r="J137" s="12"/>
      <c r="K137" s="12"/>
      <c r="L137" s="12"/>
      <c r="M137" s="12"/>
      <c r="N137" s="12"/>
      <c r="O137" s="12"/>
    </row>
    <row r="138" spans="3:15">
      <c r="C138" s="12"/>
      <c r="D138" s="12"/>
      <c r="E138" s="12"/>
      <c r="F138" s="12"/>
      <c r="G138" s="12"/>
      <c r="H138" s="12"/>
      <c r="I138" s="12"/>
      <c r="J138" s="12"/>
      <c r="K138" s="12"/>
      <c r="L138" s="12"/>
      <c r="M138" s="12"/>
      <c r="N138" s="12"/>
      <c r="O138" s="12"/>
    </row>
    <row r="139" spans="3:15">
      <c r="C139" s="12"/>
      <c r="D139" s="12"/>
      <c r="E139" s="12"/>
      <c r="F139" s="12"/>
      <c r="G139" s="12"/>
      <c r="H139" s="12"/>
      <c r="I139" s="12"/>
      <c r="J139" s="12"/>
      <c r="K139" s="12"/>
      <c r="L139" s="12"/>
      <c r="M139" s="12"/>
      <c r="N139" s="12"/>
      <c r="O139" s="12"/>
    </row>
    <row r="140" spans="3:15">
      <c r="C140" s="12"/>
      <c r="D140" s="12"/>
      <c r="E140" s="12"/>
      <c r="F140" s="12"/>
      <c r="G140" s="12"/>
      <c r="H140" s="12"/>
      <c r="I140" s="12"/>
      <c r="J140" s="12"/>
      <c r="K140" s="12"/>
      <c r="L140" s="12"/>
      <c r="M140" s="12"/>
      <c r="N140" s="12"/>
      <c r="O140" s="12"/>
    </row>
    <row r="141" spans="3:15">
      <c r="C141" s="12"/>
      <c r="D141" s="12"/>
      <c r="E141" s="12"/>
      <c r="F141" s="12"/>
      <c r="G141" s="12"/>
      <c r="H141" s="12"/>
      <c r="I141" s="12"/>
      <c r="J141" s="12"/>
      <c r="K141" s="12"/>
      <c r="L141" s="12"/>
      <c r="M141" s="12"/>
      <c r="N141" s="12"/>
      <c r="O141" s="12"/>
    </row>
    <row r="142" spans="3:15">
      <c r="C142" s="12"/>
      <c r="D142" s="12"/>
      <c r="E142" s="12"/>
      <c r="F142" s="12"/>
      <c r="G142" s="12"/>
      <c r="H142" s="12"/>
      <c r="I142" s="12"/>
      <c r="J142" s="12"/>
      <c r="K142" s="12"/>
      <c r="L142" s="12"/>
      <c r="M142" s="12"/>
      <c r="N142" s="12"/>
      <c r="O142" s="12"/>
    </row>
    <row r="143" spans="3:15">
      <c r="C143" s="12"/>
      <c r="D143" s="12"/>
      <c r="E143" s="12"/>
      <c r="F143" s="12"/>
      <c r="G143" s="12"/>
      <c r="H143" s="12"/>
      <c r="I143" s="12"/>
      <c r="J143" s="12"/>
      <c r="K143" s="12"/>
      <c r="L143" s="12"/>
      <c r="M143" s="12"/>
      <c r="N143" s="12"/>
      <c r="O143" s="12"/>
    </row>
    <row r="144" spans="3:15">
      <c r="C144" s="12"/>
      <c r="D144" s="12"/>
      <c r="E144" s="12"/>
      <c r="F144" s="12"/>
      <c r="G144" s="12"/>
      <c r="H144" s="12"/>
      <c r="I144" s="12"/>
      <c r="J144" s="12"/>
      <c r="K144" s="12"/>
      <c r="L144" s="12"/>
      <c r="M144" s="12"/>
      <c r="N144" s="12"/>
      <c r="O144" s="12"/>
    </row>
    <row r="145" spans="3:15">
      <c r="C145" s="12"/>
      <c r="D145" s="12"/>
      <c r="E145" s="12"/>
      <c r="F145" s="12"/>
      <c r="G145" s="12"/>
      <c r="H145" s="12"/>
      <c r="I145" s="12"/>
      <c r="J145" s="12"/>
      <c r="K145" s="12"/>
      <c r="L145" s="12"/>
      <c r="M145" s="12"/>
      <c r="N145" s="12"/>
      <c r="O145" s="12"/>
    </row>
    <row r="146" spans="3:15">
      <c r="C146" s="12"/>
      <c r="D146" s="12"/>
      <c r="E146" s="12"/>
      <c r="F146" s="12"/>
      <c r="G146" s="12"/>
      <c r="H146" s="12"/>
      <c r="I146" s="12"/>
      <c r="J146" s="12"/>
      <c r="K146" s="12"/>
      <c r="L146" s="12"/>
      <c r="M146" s="12"/>
      <c r="N146" s="12"/>
      <c r="O146" s="12"/>
    </row>
    <row r="147" spans="3:15">
      <c r="C147" s="12"/>
      <c r="D147" s="12"/>
      <c r="E147" s="12"/>
      <c r="F147" s="12"/>
      <c r="G147" s="12"/>
      <c r="H147" s="12"/>
      <c r="I147" s="12"/>
      <c r="J147" s="12"/>
      <c r="K147" s="12"/>
      <c r="L147" s="12"/>
      <c r="M147" s="12"/>
      <c r="N147" s="12"/>
      <c r="O147" s="12"/>
    </row>
    <row r="148" spans="3:15">
      <c r="C148" s="12"/>
      <c r="D148" s="12"/>
      <c r="E148" s="12"/>
      <c r="F148" s="12"/>
      <c r="G148" s="12"/>
      <c r="H148" s="12"/>
      <c r="I148" s="12"/>
      <c r="J148" s="12"/>
      <c r="K148" s="12"/>
      <c r="L148" s="12"/>
      <c r="M148" s="12"/>
      <c r="N148" s="12"/>
      <c r="O148" s="12"/>
    </row>
    <row r="149" spans="3:15">
      <c r="C149" s="12"/>
      <c r="D149" s="12"/>
      <c r="E149" s="12"/>
      <c r="F149" s="12"/>
      <c r="G149" s="12"/>
      <c r="H149" s="12"/>
      <c r="I149" s="12"/>
      <c r="J149" s="12"/>
      <c r="K149" s="12"/>
      <c r="L149" s="12"/>
      <c r="M149" s="12"/>
      <c r="N149" s="12"/>
      <c r="O149" s="12"/>
    </row>
    <row r="150" spans="3:15">
      <c r="C150" s="12"/>
      <c r="D150" s="12"/>
      <c r="E150" s="12"/>
      <c r="F150" s="12"/>
      <c r="G150" s="12"/>
      <c r="H150" s="12"/>
      <c r="I150" s="12"/>
      <c r="J150" s="12"/>
      <c r="K150" s="12"/>
      <c r="L150" s="12"/>
      <c r="M150" s="12"/>
      <c r="N150" s="12"/>
      <c r="O150" s="12"/>
    </row>
    <row r="151" spans="3:15">
      <c r="C151" s="12"/>
      <c r="D151" s="12"/>
      <c r="E151" s="12"/>
      <c r="F151" s="12"/>
      <c r="G151" s="12"/>
      <c r="H151" s="12"/>
      <c r="I151" s="12"/>
      <c r="J151" s="12"/>
      <c r="K151" s="12"/>
      <c r="L151" s="12"/>
      <c r="M151" s="12"/>
      <c r="N151" s="12"/>
      <c r="O151" s="12"/>
    </row>
    <row r="152" spans="3:15">
      <c r="C152" s="12"/>
      <c r="D152" s="12"/>
      <c r="E152" s="12"/>
      <c r="F152" s="12"/>
      <c r="G152" s="12"/>
      <c r="H152" s="12"/>
      <c r="I152" s="12"/>
      <c r="J152" s="12"/>
      <c r="K152" s="12"/>
      <c r="L152" s="12"/>
      <c r="M152" s="12"/>
      <c r="N152" s="12"/>
      <c r="O152" s="12"/>
    </row>
    <row r="153" spans="3:15">
      <c r="C153" s="12"/>
      <c r="D153" s="12"/>
      <c r="E153" s="12"/>
      <c r="F153" s="12"/>
      <c r="G153" s="12"/>
      <c r="H153" s="12"/>
      <c r="I153" s="12"/>
      <c r="J153" s="12"/>
      <c r="K153" s="12"/>
      <c r="L153" s="12"/>
      <c r="M153" s="12"/>
      <c r="N153" s="12"/>
      <c r="O153" s="12"/>
    </row>
    <row r="154" spans="3:15">
      <c r="C154" s="12"/>
      <c r="D154" s="12"/>
      <c r="E154" s="12"/>
      <c r="F154" s="12"/>
      <c r="G154" s="12"/>
      <c r="H154" s="12"/>
      <c r="I154" s="12"/>
      <c r="J154" s="12"/>
      <c r="K154" s="12"/>
      <c r="L154" s="12"/>
      <c r="M154" s="12"/>
      <c r="N154" s="12"/>
      <c r="O154" s="12"/>
    </row>
    <row r="155" spans="3:15">
      <c r="C155" s="12"/>
      <c r="D155" s="12"/>
      <c r="E155" s="12"/>
      <c r="F155" s="12"/>
      <c r="G155" s="12"/>
      <c r="H155" s="12"/>
      <c r="I155" s="12"/>
      <c r="J155" s="12"/>
      <c r="K155" s="12"/>
      <c r="L155" s="12"/>
      <c r="M155" s="12"/>
      <c r="N155" s="12"/>
      <c r="O155" s="12"/>
    </row>
    <row r="156" spans="3:15">
      <c r="C156" s="12"/>
      <c r="D156" s="12"/>
      <c r="E156" s="12"/>
      <c r="F156" s="12"/>
      <c r="G156" s="12"/>
      <c r="H156" s="12"/>
      <c r="I156" s="12"/>
      <c r="J156" s="12"/>
      <c r="K156" s="12"/>
      <c r="L156" s="12"/>
      <c r="M156" s="12"/>
      <c r="N156" s="12"/>
      <c r="O156" s="12"/>
    </row>
    <row r="157" spans="3:15">
      <c r="C157" s="12"/>
      <c r="D157" s="12"/>
      <c r="E157" s="12"/>
      <c r="F157" s="12"/>
      <c r="G157" s="12"/>
      <c r="H157" s="12"/>
      <c r="I157" s="12"/>
      <c r="J157" s="12"/>
      <c r="K157" s="12"/>
      <c r="L157" s="12"/>
      <c r="M157" s="12"/>
      <c r="N157" s="12"/>
      <c r="O157" s="12"/>
    </row>
    <row r="158" spans="3:15">
      <c r="C158" s="12"/>
      <c r="D158" s="12"/>
      <c r="E158" s="12"/>
      <c r="F158" s="12"/>
      <c r="G158" s="12"/>
      <c r="H158" s="12"/>
      <c r="I158" s="12"/>
      <c r="J158" s="12"/>
      <c r="K158" s="12"/>
      <c r="L158" s="12"/>
      <c r="M158" s="12"/>
      <c r="N158" s="12"/>
      <c r="O158" s="12"/>
    </row>
    <row r="159" spans="3:15">
      <c r="C159" s="12"/>
      <c r="D159" s="12"/>
      <c r="E159" s="12"/>
      <c r="F159" s="12"/>
      <c r="G159" s="12"/>
      <c r="H159" s="12"/>
      <c r="I159" s="12"/>
      <c r="J159" s="12"/>
      <c r="K159" s="12"/>
      <c r="L159" s="12"/>
      <c r="M159" s="12"/>
      <c r="N159" s="12"/>
      <c r="O159" s="12"/>
    </row>
    <row r="160" spans="3:15">
      <c r="C160" s="12"/>
      <c r="D160" s="12"/>
      <c r="E160" s="12"/>
      <c r="F160" s="12"/>
      <c r="G160" s="12"/>
      <c r="H160" s="12"/>
      <c r="I160" s="12"/>
      <c r="J160" s="12"/>
      <c r="K160" s="12"/>
      <c r="L160" s="12"/>
      <c r="M160" s="12"/>
      <c r="N160" s="12"/>
      <c r="O160" s="12"/>
    </row>
    <row r="161" spans="3:15">
      <c r="C161" s="12"/>
      <c r="D161" s="12"/>
      <c r="E161" s="12"/>
      <c r="F161" s="12"/>
      <c r="G161" s="12"/>
      <c r="H161" s="12"/>
      <c r="I161" s="12"/>
      <c r="J161" s="12"/>
      <c r="K161" s="12"/>
      <c r="L161" s="12"/>
      <c r="M161" s="12"/>
      <c r="N161" s="12"/>
      <c r="O161" s="12"/>
    </row>
    <row r="162" spans="3:15">
      <c r="C162" s="12"/>
      <c r="D162" s="12"/>
      <c r="E162" s="12"/>
      <c r="F162" s="12"/>
      <c r="G162" s="12"/>
      <c r="H162" s="12"/>
      <c r="I162" s="12"/>
      <c r="J162" s="12"/>
      <c r="K162" s="12"/>
      <c r="L162" s="12"/>
      <c r="M162" s="12"/>
      <c r="N162" s="12"/>
      <c r="O162" s="12"/>
    </row>
    <row r="163" spans="3:15">
      <c r="C163" s="12"/>
      <c r="D163" s="12"/>
      <c r="E163" s="12"/>
      <c r="F163" s="12"/>
      <c r="G163" s="12"/>
      <c r="H163" s="12"/>
      <c r="I163" s="12"/>
      <c r="J163" s="12"/>
      <c r="K163" s="12"/>
      <c r="L163" s="12"/>
      <c r="M163" s="12"/>
      <c r="N163" s="12"/>
      <c r="O163" s="12"/>
    </row>
    <row r="164" spans="3:15">
      <c r="C164" s="12"/>
      <c r="D164" s="12"/>
      <c r="E164" s="12"/>
      <c r="F164" s="12"/>
      <c r="G164" s="12"/>
      <c r="H164" s="12"/>
      <c r="I164" s="12"/>
      <c r="J164" s="12"/>
      <c r="K164" s="12"/>
      <c r="L164" s="12"/>
      <c r="M164" s="12"/>
      <c r="N164" s="12"/>
      <c r="O164" s="12"/>
    </row>
    <row r="165" spans="3:15">
      <c r="C165" s="12"/>
      <c r="D165" s="12"/>
      <c r="E165" s="12"/>
      <c r="F165" s="12"/>
      <c r="G165" s="12"/>
      <c r="H165" s="12"/>
      <c r="I165" s="12"/>
      <c r="J165" s="12"/>
      <c r="K165" s="12"/>
      <c r="L165" s="12"/>
      <c r="M165" s="12"/>
      <c r="N165" s="12"/>
      <c r="O165" s="12"/>
    </row>
    <row r="166" spans="3:15">
      <c r="C166" s="12"/>
      <c r="D166" s="12"/>
      <c r="E166" s="12"/>
      <c r="F166" s="12"/>
      <c r="G166" s="12"/>
      <c r="H166" s="12"/>
      <c r="I166" s="12"/>
      <c r="J166" s="12"/>
      <c r="K166" s="12"/>
      <c r="L166" s="12"/>
      <c r="M166" s="12"/>
      <c r="N166" s="12"/>
      <c r="O166" s="12"/>
    </row>
    <row r="167" spans="3:15">
      <c r="C167" s="12"/>
      <c r="D167" s="12"/>
      <c r="E167" s="12"/>
      <c r="F167" s="12"/>
      <c r="G167" s="12"/>
      <c r="H167" s="12"/>
      <c r="I167" s="12"/>
      <c r="J167" s="12"/>
      <c r="K167" s="12"/>
      <c r="L167" s="12"/>
      <c r="M167" s="12"/>
      <c r="N167" s="12"/>
      <c r="O167" s="12"/>
    </row>
    <row r="168" spans="3:15">
      <c r="C168" s="12"/>
      <c r="D168" s="12"/>
      <c r="E168" s="12"/>
      <c r="F168" s="12"/>
      <c r="G168" s="12"/>
      <c r="H168" s="12"/>
      <c r="I168" s="12"/>
      <c r="J168" s="12"/>
      <c r="K168" s="12"/>
      <c r="L168" s="12"/>
      <c r="M168" s="12"/>
      <c r="N168" s="12"/>
      <c r="O168" s="12"/>
    </row>
    <row r="169" spans="3:15">
      <c r="C169" s="12"/>
      <c r="D169" s="12"/>
      <c r="E169" s="12"/>
      <c r="F169" s="12"/>
      <c r="G169" s="12"/>
      <c r="H169" s="12"/>
      <c r="I169" s="12"/>
      <c r="J169" s="12"/>
      <c r="K169" s="12"/>
      <c r="L169" s="12"/>
      <c r="M169" s="12"/>
      <c r="N169" s="12"/>
      <c r="O169" s="12"/>
    </row>
    <row r="170" spans="3:15">
      <c r="C170" s="12"/>
      <c r="D170" s="12"/>
      <c r="E170" s="12"/>
      <c r="F170" s="12"/>
      <c r="G170" s="12"/>
      <c r="H170" s="12"/>
      <c r="I170" s="12"/>
      <c r="J170" s="12"/>
      <c r="K170" s="12"/>
      <c r="L170" s="12"/>
      <c r="M170" s="12"/>
      <c r="N170" s="12"/>
      <c r="O170" s="12"/>
    </row>
    <row r="171" spans="3:15">
      <c r="C171" s="12"/>
      <c r="D171" s="12"/>
      <c r="E171" s="12"/>
      <c r="F171" s="12"/>
      <c r="G171" s="12"/>
      <c r="H171" s="12"/>
      <c r="I171" s="12"/>
      <c r="J171" s="12"/>
      <c r="K171" s="12"/>
      <c r="L171" s="12"/>
      <c r="M171" s="12"/>
      <c r="N171" s="12"/>
      <c r="O171" s="12"/>
    </row>
    <row r="172" spans="3:15">
      <c r="C172" s="12"/>
      <c r="D172" s="12"/>
      <c r="E172" s="12"/>
      <c r="F172" s="12"/>
      <c r="G172" s="12"/>
      <c r="H172" s="12"/>
      <c r="I172" s="12"/>
      <c r="J172" s="12"/>
      <c r="K172" s="12"/>
      <c r="L172" s="12"/>
      <c r="M172" s="12"/>
      <c r="N172" s="12"/>
      <c r="O172" s="12"/>
    </row>
    <row r="173" spans="3:15">
      <c r="C173" s="12"/>
      <c r="D173" s="12"/>
      <c r="E173" s="12"/>
      <c r="F173" s="12"/>
      <c r="G173" s="12"/>
      <c r="H173" s="12"/>
      <c r="I173" s="12"/>
      <c r="J173" s="12"/>
      <c r="K173" s="12"/>
      <c r="L173" s="12"/>
      <c r="M173" s="12"/>
      <c r="N173" s="12"/>
      <c r="O173" s="12"/>
    </row>
    <row r="174" spans="3:15">
      <c r="C174" s="12"/>
      <c r="D174" s="12"/>
      <c r="E174" s="12"/>
      <c r="F174" s="12"/>
      <c r="G174" s="12"/>
      <c r="H174" s="12"/>
      <c r="I174" s="12"/>
      <c r="J174" s="12"/>
      <c r="K174" s="12"/>
      <c r="L174" s="12"/>
      <c r="M174" s="12"/>
      <c r="N174" s="12"/>
      <c r="O174" s="12"/>
    </row>
    <row r="175" spans="3:15">
      <c r="C175" s="12"/>
      <c r="D175" s="12"/>
      <c r="E175" s="12"/>
      <c r="F175" s="12"/>
      <c r="G175" s="12"/>
      <c r="H175" s="12"/>
      <c r="I175" s="12"/>
      <c r="J175" s="12"/>
      <c r="K175" s="12"/>
      <c r="L175" s="12"/>
      <c r="M175" s="12"/>
      <c r="N175" s="12"/>
      <c r="O175" s="12"/>
    </row>
    <row r="176" spans="3:15">
      <c r="C176" s="12"/>
      <c r="D176" s="12"/>
      <c r="E176" s="12"/>
      <c r="F176" s="12"/>
      <c r="G176" s="12"/>
      <c r="H176" s="12"/>
      <c r="I176" s="12"/>
      <c r="J176" s="12"/>
      <c r="K176" s="12"/>
      <c r="L176" s="12"/>
      <c r="M176" s="12"/>
      <c r="N176" s="12"/>
      <c r="O176" s="12"/>
    </row>
    <row r="177" spans="3:15">
      <c r="C177" s="12"/>
      <c r="D177" s="12"/>
      <c r="E177" s="12"/>
      <c r="F177" s="12"/>
      <c r="G177" s="12"/>
      <c r="H177" s="12"/>
      <c r="I177" s="12"/>
      <c r="J177" s="12"/>
      <c r="K177" s="12"/>
      <c r="L177" s="12"/>
      <c r="M177" s="12"/>
      <c r="N177" s="12"/>
      <c r="O177" s="12"/>
    </row>
    <row r="178" spans="3:15">
      <c r="C178" s="12"/>
      <c r="D178" s="12"/>
      <c r="E178" s="12"/>
      <c r="F178" s="12"/>
      <c r="G178" s="12"/>
      <c r="H178" s="12"/>
      <c r="I178" s="12"/>
      <c r="J178" s="12"/>
      <c r="K178" s="12"/>
      <c r="L178" s="12"/>
      <c r="M178" s="12"/>
      <c r="N178" s="12"/>
      <c r="O178" s="12"/>
    </row>
    <row r="179" spans="3:15">
      <c r="C179" s="12"/>
      <c r="D179" s="12"/>
      <c r="E179" s="12"/>
      <c r="F179" s="12"/>
      <c r="G179" s="12"/>
      <c r="H179" s="12"/>
      <c r="I179" s="12"/>
      <c r="J179" s="12"/>
      <c r="K179" s="12"/>
      <c r="L179" s="12"/>
      <c r="M179" s="12"/>
      <c r="N179" s="12"/>
      <c r="O179" s="12"/>
    </row>
    <row r="180" spans="3:15">
      <c r="C180" s="12"/>
      <c r="D180" s="12"/>
      <c r="E180" s="12"/>
      <c r="F180" s="12"/>
      <c r="G180" s="12"/>
      <c r="H180" s="12"/>
      <c r="I180" s="12"/>
      <c r="J180" s="12"/>
      <c r="K180" s="12"/>
      <c r="L180" s="12"/>
      <c r="M180" s="12"/>
      <c r="N180" s="12"/>
      <c r="O180" s="12"/>
    </row>
    <row r="181" spans="3:15">
      <c r="C181" s="12"/>
      <c r="D181" s="12"/>
      <c r="E181" s="12"/>
      <c r="F181" s="12"/>
      <c r="G181" s="12"/>
      <c r="H181" s="12"/>
      <c r="I181" s="12"/>
      <c r="J181" s="12"/>
      <c r="K181" s="12"/>
      <c r="L181" s="12"/>
      <c r="M181" s="12"/>
      <c r="N181" s="12"/>
      <c r="O181" s="12"/>
    </row>
    <row r="182" spans="3:15">
      <c r="C182" s="12"/>
      <c r="D182" s="12"/>
      <c r="E182" s="12"/>
      <c r="F182" s="12"/>
      <c r="G182" s="12"/>
      <c r="H182" s="12"/>
      <c r="I182" s="12"/>
      <c r="J182" s="12"/>
      <c r="K182" s="12"/>
      <c r="L182" s="12"/>
      <c r="M182" s="12"/>
      <c r="N182" s="12"/>
      <c r="O182" s="12"/>
    </row>
    <row r="183" spans="3:15">
      <c r="C183" s="12"/>
      <c r="D183" s="12"/>
      <c r="E183" s="12"/>
      <c r="F183" s="12"/>
      <c r="G183" s="12"/>
      <c r="H183" s="12"/>
      <c r="I183" s="12"/>
      <c r="J183" s="12"/>
      <c r="K183" s="12"/>
      <c r="L183" s="12"/>
      <c r="M183" s="12"/>
      <c r="N183" s="12"/>
      <c r="O183" s="12"/>
    </row>
    <row r="184" spans="3:15">
      <c r="C184" s="12"/>
      <c r="D184" s="12"/>
      <c r="E184" s="12"/>
      <c r="F184" s="12"/>
      <c r="G184" s="12"/>
      <c r="H184" s="12"/>
      <c r="I184" s="12"/>
      <c r="J184" s="12"/>
      <c r="K184" s="12"/>
      <c r="L184" s="12"/>
      <c r="M184" s="12"/>
      <c r="N184" s="12"/>
      <c r="O184" s="12"/>
    </row>
    <row r="185" spans="3:15">
      <c r="C185" s="12"/>
      <c r="D185" s="12"/>
      <c r="E185" s="12"/>
      <c r="F185" s="12"/>
      <c r="G185" s="12"/>
      <c r="H185" s="12"/>
      <c r="I185" s="12"/>
      <c r="J185" s="12"/>
      <c r="K185" s="12"/>
      <c r="L185" s="12"/>
      <c r="M185" s="12"/>
      <c r="N185" s="12"/>
      <c r="O185" s="12"/>
    </row>
    <row r="186" spans="3:15">
      <c r="C186" s="12"/>
      <c r="D186" s="12"/>
      <c r="E186" s="12"/>
      <c r="F186" s="12"/>
      <c r="G186" s="12"/>
      <c r="H186" s="12"/>
      <c r="I186" s="12"/>
      <c r="J186" s="12"/>
      <c r="K186" s="12"/>
      <c r="L186" s="12"/>
      <c r="M186" s="12"/>
      <c r="N186" s="12"/>
      <c r="O186" s="12"/>
    </row>
    <row r="187" spans="3:15">
      <c r="C187" s="12"/>
      <c r="D187" s="12"/>
      <c r="E187" s="12"/>
      <c r="F187" s="12"/>
      <c r="G187" s="12"/>
      <c r="H187" s="12"/>
      <c r="I187" s="12"/>
      <c r="J187" s="12"/>
      <c r="K187" s="12"/>
      <c r="L187" s="12"/>
      <c r="M187" s="12"/>
      <c r="N187" s="12"/>
      <c r="O187" s="12"/>
    </row>
    <row r="188" spans="3:15">
      <c r="C188" s="12"/>
      <c r="D188" s="12"/>
      <c r="E188" s="12"/>
      <c r="F188" s="12"/>
      <c r="G188" s="12"/>
      <c r="H188" s="12"/>
      <c r="I188" s="12"/>
      <c r="J188" s="12"/>
      <c r="K188" s="12"/>
      <c r="L188" s="12"/>
      <c r="M188" s="12"/>
      <c r="N188" s="12"/>
      <c r="O188" s="12"/>
    </row>
    <row r="189" spans="3:15">
      <c r="C189" s="12"/>
      <c r="D189" s="12"/>
      <c r="E189" s="12"/>
      <c r="F189" s="12"/>
      <c r="G189" s="12"/>
      <c r="H189" s="12"/>
      <c r="I189" s="12"/>
      <c r="J189" s="12"/>
      <c r="K189" s="12"/>
      <c r="L189" s="12"/>
      <c r="M189" s="12"/>
      <c r="N189" s="12"/>
      <c r="O189" s="12"/>
    </row>
    <row r="190" spans="3:15">
      <c r="C190" s="12"/>
      <c r="D190" s="12"/>
      <c r="E190" s="12"/>
      <c r="F190" s="12"/>
      <c r="G190" s="12"/>
      <c r="H190" s="12"/>
      <c r="I190" s="12"/>
      <c r="J190" s="12"/>
      <c r="K190" s="12"/>
      <c r="L190" s="12"/>
      <c r="M190" s="12"/>
      <c r="N190" s="12"/>
      <c r="O190" s="12"/>
    </row>
    <row r="191" spans="3:15">
      <c r="C191" s="12"/>
      <c r="D191" s="12"/>
      <c r="E191" s="12"/>
      <c r="F191" s="12"/>
      <c r="G191" s="12"/>
      <c r="H191" s="12"/>
      <c r="I191" s="12"/>
      <c r="J191" s="12"/>
      <c r="K191" s="12"/>
      <c r="L191" s="12"/>
      <c r="M191" s="12"/>
      <c r="N191" s="12"/>
      <c r="O191" s="12"/>
    </row>
    <row r="192" spans="3:15">
      <c r="C192" s="12"/>
      <c r="D192" s="12"/>
      <c r="E192" s="12"/>
      <c r="F192" s="12"/>
      <c r="G192" s="12"/>
      <c r="H192" s="12"/>
      <c r="I192" s="12"/>
      <c r="J192" s="12"/>
      <c r="K192" s="12"/>
      <c r="L192" s="12"/>
      <c r="M192" s="12"/>
      <c r="N192" s="12"/>
      <c r="O192" s="12"/>
    </row>
    <row r="193" spans="3:15">
      <c r="C193" s="12"/>
      <c r="D193" s="12"/>
      <c r="E193" s="12"/>
      <c r="F193" s="12"/>
      <c r="G193" s="12"/>
      <c r="H193" s="12"/>
      <c r="I193" s="12"/>
      <c r="J193" s="12"/>
      <c r="K193" s="12"/>
      <c r="L193" s="12"/>
      <c r="M193" s="12"/>
      <c r="N193" s="12"/>
      <c r="O193" s="12"/>
    </row>
    <row r="194" spans="3:15">
      <c r="C194" s="12"/>
      <c r="D194" s="12"/>
      <c r="E194" s="12"/>
      <c r="F194" s="12"/>
      <c r="G194" s="12"/>
      <c r="H194" s="12"/>
      <c r="I194" s="12"/>
      <c r="J194" s="12"/>
      <c r="K194" s="12"/>
      <c r="L194" s="12"/>
      <c r="M194" s="12"/>
      <c r="N194" s="12"/>
      <c r="O194" s="12"/>
    </row>
    <row r="195" spans="3:15">
      <c r="C195" s="12"/>
      <c r="D195" s="12"/>
      <c r="E195" s="12"/>
      <c r="F195" s="12"/>
      <c r="G195" s="12"/>
      <c r="H195" s="12"/>
      <c r="I195" s="12"/>
      <c r="J195" s="12"/>
      <c r="K195" s="12"/>
      <c r="L195" s="12"/>
      <c r="M195" s="12"/>
      <c r="N195" s="12"/>
      <c r="O195" s="12"/>
    </row>
    <row r="196" spans="3:15">
      <c r="C196" s="12"/>
      <c r="D196" s="12"/>
      <c r="E196" s="12"/>
      <c r="F196" s="12"/>
      <c r="G196" s="12"/>
      <c r="H196" s="12"/>
      <c r="I196" s="12"/>
      <c r="J196" s="12"/>
      <c r="K196" s="12"/>
      <c r="L196" s="12"/>
      <c r="M196" s="12"/>
      <c r="N196" s="12"/>
      <c r="O196" s="12"/>
    </row>
    <row r="197" spans="3:15">
      <c r="C197" s="12"/>
      <c r="D197" s="12"/>
      <c r="E197" s="12"/>
      <c r="F197" s="12"/>
      <c r="G197" s="12"/>
      <c r="H197" s="12"/>
      <c r="I197" s="12"/>
      <c r="J197" s="12"/>
      <c r="K197" s="12"/>
      <c r="L197" s="12"/>
      <c r="M197" s="12"/>
      <c r="N197" s="12"/>
      <c r="O197" s="12"/>
    </row>
    <row r="198" spans="3:15">
      <c r="C198" s="12"/>
      <c r="D198" s="12"/>
      <c r="E198" s="12"/>
      <c r="F198" s="12"/>
      <c r="G198" s="12"/>
      <c r="H198" s="12"/>
      <c r="I198" s="12"/>
      <c r="J198" s="12"/>
      <c r="K198" s="12"/>
      <c r="L198" s="12"/>
      <c r="M198" s="12"/>
      <c r="N198" s="12"/>
      <c r="O198" s="12"/>
    </row>
    <row r="199" spans="3:15">
      <c r="C199" s="12"/>
      <c r="D199" s="12"/>
      <c r="E199" s="12"/>
      <c r="F199" s="12"/>
      <c r="G199" s="12"/>
      <c r="H199" s="12"/>
      <c r="I199" s="12"/>
      <c r="J199" s="12"/>
      <c r="K199" s="12"/>
      <c r="L199" s="12"/>
      <c r="M199" s="12"/>
      <c r="N199" s="12"/>
      <c r="O199" s="12"/>
    </row>
    <row r="200" spans="3:15">
      <c r="C200" s="12"/>
      <c r="D200" s="12"/>
      <c r="E200" s="12"/>
      <c r="F200" s="12"/>
      <c r="G200" s="12"/>
      <c r="H200" s="12"/>
      <c r="I200" s="12"/>
      <c r="J200" s="12"/>
      <c r="K200" s="12"/>
      <c r="L200" s="12"/>
      <c r="M200" s="12"/>
      <c r="N200" s="12"/>
      <c r="O200" s="12"/>
    </row>
    <row r="201" spans="3:15">
      <c r="C201" s="12"/>
      <c r="D201" s="12"/>
      <c r="E201" s="12"/>
      <c r="F201" s="12"/>
      <c r="G201" s="12"/>
      <c r="H201" s="12"/>
      <c r="I201" s="12"/>
      <c r="J201" s="12"/>
      <c r="K201" s="12"/>
      <c r="L201" s="12"/>
      <c r="M201" s="12"/>
      <c r="N201" s="12"/>
      <c r="O201" s="12"/>
    </row>
    <row r="202" spans="3:15">
      <c r="C202" s="12"/>
      <c r="D202" s="12"/>
      <c r="E202" s="12"/>
      <c r="F202" s="12"/>
      <c r="G202" s="12"/>
      <c r="H202" s="12"/>
      <c r="I202" s="12"/>
      <c r="J202" s="12"/>
      <c r="K202" s="12"/>
      <c r="L202" s="12"/>
      <c r="M202" s="12"/>
      <c r="N202" s="12"/>
      <c r="O202" s="12"/>
    </row>
    <row r="203" spans="3:15">
      <c r="C203" s="12"/>
      <c r="D203" s="12"/>
      <c r="E203" s="12"/>
      <c r="F203" s="12"/>
      <c r="G203" s="12"/>
      <c r="H203" s="12"/>
      <c r="I203" s="12"/>
      <c r="J203" s="12"/>
      <c r="K203" s="12"/>
      <c r="L203" s="12"/>
      <c r="M203" s="12"/>
      <c r="N203" s="12"/>
      <c r="O203" s="12"/>
    </row>
    <row r="204" spans="3:15">
      <c r="C204" s="12"/>
      <c r="D204" s="12"/>
      <c r="E204" s="12"/>
      <c r="F204" s="12"/>
      <c r="G204" s="12"/>
      <c r="H204" s="12"/>
      <c r="I204" s="12"/>
      <c r="J204" s="12"/>
      <c r="K204" s="12"/>
      <c r="L204" s="12"/>
      <c r="M204" s="12"/>
      <c r="N204" s="12"/>
      <c r="O204" s="12"/>
    </row>
    <row r="205" spans="3:15">
      <c r="C205" s="12"/>
      <c r="D205" s="12"/>
      <c r="E205" s="12"/>
      <c r="F205" s="12"/>
      <c r="G205" s="12"/>
      <c r="H205" s="12"/>
      <c r="I205" s="12"/>
      <c r="J205" s="12"/>
      <c r="K205" s="12"/>
      <c r="L205" s="12"/>
      <c r="M205" s="12"/>
      <c r="N205" s="12"/>
      <c r="O205" s="12"/>
    </row>
    <row r="206" spans="3:15">
      <c r="C206" s="12"/>
      <c r="D206" s="12"/>
      <c r="E206" s="12"/>
      <c r="F206" s="12"/>
      <c r="G206" s="12"/>
      <c r="H206" s="12"/>
      <c r="I206" s="12"/>
      <c r="J206" s="12"/>
      <c r="K206" s="12"/>
      <c r="L206" s="12"/>
      <c r="M206" s="12"/>
      <c r="N206" s="12"/>
      <c r="O206" s="12"/>
    </row>
    <row r="207" spans="3:15">
      <c r="C207" s="12"/>
      <c r="D207" s="12"/>
      <c r="E207" s="12"/>
      <c r="F207" s="12"/>
      <c r="G207" s="12"/>
      <c r="H207" s="12"/>
      <c r="I207" s="12"/>
      <c r="J207" s="12"/>
      <c r="K207" s="12"/>
      <c r="L207" s="12"/>
      <c r="M207" s="12"/>
      <c r="N207" s="12"/>
      <c r="O207" s="12"/>
    </row>
    <row r="208" spans="3:15">
      <c r="C208" s="12"/>
      <c r="D208" s="12"/>
      <c r="E208" s="12"/>
      <c r="F208" s="12"/>
      <c r="G208" s="12"/>
      <c r="H208" s="12"/>
      <c r="I208" s="12"/>
      <c r="J208" s="12"/>
      <c r="K208" s="12"/>
      <c r="L208" s="12"/>
      <c r="M208" s="12"/>
      <c r="N208" s="12"/>
      <c r="O208" s="12"/>
    </row>
    <row r="209" spans="3:15">
      <c r="C209" s="12"/>
      <c r="D209" s="12"/>
      <c r="E209" s="12"/>
      <c r="F209" s="12"/>
      <c r="G209" s="12"/>
      <c r="H209" s="12"/>
      <c r="I209" s="12"/>
      <c r="J209" s="12"/>
      <c r="K209" s="12"/>
      <c r="L209" s="12"/>
      <c r="M209" s="12"/>
      <c r="N209" s="12"/>
      <c r="O209" s="12"/>
    </row>
    <row r="210" spans="3:15">
      <c r="C210" s="12"/>
      <c r="D210" s="12"/>
      <c r="E210" s="12"/>
      <c r="F210" s="12"/>
      <c r="G210" s="12"/>
      <c r="H210" s="12"/>
      <c r="I210" s="12"/>
      <c r="J210" s="12"/>
      <c r="K210" s="12"/>
      <c r="L210" s="12"/>
      <c r="M210" s="12"/>
      <c r="N210" s="12"/>
      <c r="O210" s="12"/>
    </row>
    <row r="211" spans="3:15">
      <c r="C211" s="12"/>
      <c r="D211" s="12"/>
      <c r="E211" s="12"/>
      <c r="F211" s="12"/>
      <c r="G211" s="12"/>
      <c r="H211" s="12"/>
      <c r="I211" s="12"/>
      <c r="J211" s="12"/>
      <c r="K211" s="12"/>
      <c r="L211" s="12"/>
      <c r="M211" s="12"/>
      <c r="N211" s="12"/>
      <c r="O211" s="12"/>
    </row>
    <row r="212" spans="3:15">
      <c r="C212" s="12"/>
      <c r="D212" s="12"/>
      <c r="E212" s="12"/>
      <c r="F212" s="12"/>
      <c r="G212" s="12"/>
      <c r="H212" s="12"/>
      <c r="I212" s="12"/>
      <c r="J212" s="12"/>
      <c r="K212" s="12"/>
      <c r="L212" s="12"/>
      <c r="M212" s="12"/>
      <c r="N212" s="12"/>
      <c r="O212" s="12"/>
    </row>
    <row r="213" spans="3:15">
      <c r="C213" s="12"/>
      <c r="D213" s="12"/>
      <c r="E213" s="12"/>
      <c r="F213" s="12"/>
      <c r="G213" s="12"/>
      <c r="H213" s="12"/>
      <c r="I213" s="12"/>
      <c r="J213" s="12"/>
      <c r="K213" s="12"/>
      <c r="L213" s="12"/>
      <c r="M213" s="12"/>
      <c r="N213" s="12"/>
      <c r="O213" s="12"/>
    </row>
    <row r="214" spans="3:15">
      <c r="C214" s="12"/>
      <c r="D214" s="12"/>
      <c r="E214" s="12"/>
      <c r="F214" s="12"/>
      <c r="G214" s="12"/>
      <c r="H214" s="12"/>
      <c r="I214" s="12"/>
      <c r="J214" s="12"/>
      <c r="K214" s="12"/>
      <c r="L214" s="12"/>
      <c r="M214" s="12"/>
      <c r="N214" s="12"/>
      <c r="O214" s="12"/>
    </row>
    <row r="215" spans="3:15">
      <c r="C215" s="12"/>
      <c r="D215" s="12"/>
      <c r="E215" s="12"/>
      <c r="F215" s="12"/>
      <c r="G215" s="12"/>
      <c r="H215" s="12"/>
      <c r="I215" s="12"/>
      <c r="J215" s="12"/>
      <c r="K215" s="12"/>
      <c r="L215" s="12"/>
      <c r="M215" s="12"/>
      <c r="N215" s="12"/>
      <c r="O215" s="12"/>
    </row>
    <row r="216" spans="3:15">
      <c r="C216" s="12"/>
      <c r="D216" s="12"/>
      <c r="E216" s="12"/>
      <c r="F216" s="12"/>
      <c r="G216" s="12"/>
      <c r="H216" s="12"/>
      <c r="I216" s="12"/>
      <c r="J216" s="12"/>
      <c r="K216" s="12"/>
      <c r="L216" s="12"/>
      <c r="M216" s="12"/>
      <c r="N216" s="12"/>
      <c r="O216" s="12"/>
    </row>
    <row r="217" spans="3:15">
      <c r="C217" s="12"/>
      <c r="D217" s="12"/>
      <c r="E217" s="12"/>
      <c r="F217" s="12"/>
      <c r="G217" s="12"/>
      <c r="H217" s="12"/>
      <c r="I217" s="12"/>
      <c r="J217" s="12"/>
      <c r="K217" s="12"/>
      <c r="L217" s="12"/>
      <c r="M217" s="12"/>
      <c r="N217" s="12"/>
      <c r="O217" s="12"/>
    </row>
    <row r="218" spans="3:15">
      <c r="C218" s="12"/>
      <c r="D218" s="12"/>
      <c r="E218" s="12"/>
      <c r="F218" s="12"/>
      <c r="G218" s="12"/>
      <c r="H218" s="12"/>
      <c r="I218" s="12"/>
      <c r="J218" s="12"/>
      <c r="K218" s="12"/>
      <c r="L218" s="12"/>
      <c r="M218" s="12"/>
      <c r="N218" s="12"/>
      <c r="O218" s="12"/>
    </row>
    <row r="219" spans="3:15">
      <c r="C219" s="12"/>
      <c r="D219" s="12"/>
      <c r="E219" s="12"/>
      <c r="F219" s="12"/>
      <c r="G219" s="12"/>
      <c r="H219" s="12"/>
      <c r="I219" s="12"/>
      <c r="J219" s="12"/>
      <c r="K219" s="12"/>
      <c r="L219" s="12"/>
      <c r="M219" s="12"/>
      <c r="N219" s="12"/>
      <c r="O219" s="12"/>
    </row>
    <row r="220" spans="3:15">
      <c r="C220" s="12"/>
      <c r="D220" s="12"/>
      <c r="E220" s="12"/>
      <c r="F220" s="12"/>
      <c r="G220" s="12"/>
      <c r="H220" s="12"/>
      <c r="I220" s="12"/>
      <c r="J220" s="12"/>
      <c r="K220" s="12"/>
      <c r="L220" s="12"/>
      <c r="M220" s="12"/>
      <c r="N220" s="12"/>
      <c r="O220" s="12"/>
    </row>
    <row r="221" spans="3:15">
      <c r="C221" s="12"/>
      <c r="D221" s="12"/>
      <c r="E221" s="12"/>
      <c r="F221" s="12"/>
      <c r="G221" s="12"/>
      <c r="H221" s="12"/>
      <c r="I221" s="12"/>
      <c r="J221" s="12"/>
      <c r="K221" s="12"/>
      <c r="L221" s="12"/>
      <c r="M221" s="12"/>
      <c r="N221" s="12"/>
      <c r="O221" s="12"/>
    </row>
    <row r="222" spans="3:15">
      <c r="C222" s="12"/>
      <c r="D222" s="12"/>
      <c r="E222" s="12"/>
      <c r="F222" s="12"/>
      <c r="G222" s="12"/>
      <c r="H222" s="12"/>
      <c r="I222" s="12"/>
      <c r="J222" s="12"/>
      <c r="K222" s="12"/>
      <c r="L222" s="12"/>
      <c r="M222" s="12"/>
      <c r="N222" s="12"/>
      <c r="O222" s="12"/>
    </row>
    <row r="223" spans="3:15">
      <c r="C223" s="12"/>
      <c r="D223" s="12"/>
      <c r="E223" s="12"/>
      <c r="F223" s="12"/>
      <c r="G223" s="12"/>
      <c r="H223" s="12"/>
      <c r="I223" s="12"/>
      <c r="J223" s="12"/>
      <c r="K223" s="12"/>
      <c r="L223" s="12"/>
      <c r="M223" s="12"/>
      <c r="N223" s="12"/>
      <c r="O223" s="12"/>
    </row>
    <row r="224" spans="3:15">
      <c r="C224" s="12"/>
      <c r="D224" s="12"/>
      <c r="E224" s="12"/>
      <c r="F224" s="12"/>
      <c r="G224" s="12"/>
      <c r="H224" s="12"/>
      <c r="I224" s="12"/>
      <c r="J224" s="12"/>
      <c r="K224" s="12"/>
      <c r="L224" s="12"/>
      <c r="M224" s="12"/>
      <c r="N224" s="12"/>
      <c r="O224" s="12"/>
    </row>
    <row r="225" spans="3:15">
      <c r="C225" s="12"/>
      <c r="D225" s="12"/>
      <c r="E225" s="12"/>
      <c r="F225" s="12"/>
      <c r="G225" s="12"/>
      <c r="H225" s="12"/>
      <c r="I225" s="12"/>
      <c r="J225" s="12"/>
      <c r="K225" s="12"/>
      <c r="L225" s="12"/>
      <c r="M225" s="12"/>
      <c r="N225" s="12"/>
      <c r="O225" s="12"/>
    </row>
    <row r="226" spans="3:15">
      <c r="C226" s="12"/>
      <c r="D226" s="12"/>
      <c r="E226" s="12"/>
      <c r="F226" s="12"/>
      <c r="G226" s="12"/>
      <c r="H226" s="12"/>
      <c r="I226" s="12"/>
      <c r="J226" s="12"/>
      <c r="K226" s="12"/>
      <c r="L226" s="12"/>
      <c r="M226" s="12"/>
      <c r="N226" s="12"/>
      <c r="O226" s="12"/>
    </row>
    <row r="227" spans="3:15">
      <c r="C227" s="12"/>
      <c r="D227" s="12"/>
      <c r="E227" s="12"/>
      <c r="F227" s="12"/>
      <c r="G227" s="12"/>
      <c r="H227" s="12"/>
      <c r="I227" s="12"/>
      <c r="J227" s="12"/>
      <c r="K227" s="12"/>
      <c r="L227" s="12"/>
      <c r="M227" s="12"/>
      <c r="N227" s="12"/>
      <c r="O227" s="12"/>
    </row>
    <row r="228" spans="3:15">
      <c r="C228" s="12"/>
      <c r="D228" s="12"/>
      <c r="E228" s="12"/>
      <c r="F228" s="12"/>
      <c r="G228" s="12"/>
      <c r="H228" s="12"/>
      <c r="I228" s="12"/>
      <c r="J228" s="12"/>
      <c r="K228" s="12"/>
      <c r="L228" s="12"/>
      <c r="M228" s="12"/>
      <c r="N228" s="12"/>
      <c r="O228" s="12"/>
    </row>
    <row r="229" spans="3:15">
      <c r="C229" s="12"/>
      <c r="D229" s="12"/>
      <c r="E229" s="12"/>
      <c r="F229" s="12"/>
      <c r="G229" s="12"/>
      <c r="H229" s="12"/>
      <c r="I229" s="12"/>
      <c r="J229" s="12"/>
      <c r="K229" s="12"/>
      <c r="L229" s="12"/>
      <c r="M229" s="12"/>
      <c r="N229" s="12"/>
      <c r="O229" s="12"/>
    </row>
    <row r="230" spans="3:15">
      <c r="C230" s="12"/>
      <c r="D230" s="12"/>
      <c r="E230" s="12"/>
      <c r="F230" s="12"/>
      <c r="G230" s="12"/>
      <c r="H230" s="12"/>
      <c r="I230" s="12"/>
      <c r="J230" s="12"/>
      <c r="K230" s="12"/>
      <c r="L230" s="12"/>
      <c r="M230" s="12"/>
      <c r="N230" s="12"/>
      <c r="O230" s="12"/>
    </row>
    <row r="231" spans="3:15">
      <c r="C231" s="12"/>
      <c r="D231" s="12"/>
      <c r="E231" s="12"/>
      <c r="F231" s="12"/>
      <c r="G231" s="12"/>
      <c r="H231" s="12"/>
      <c r="I231" s="12"/>
      <c r="J231" s="12"/>
      <c r="K231" s="12"/>
      <c r="L231" s="12"/>
      <c r="M231" s="12"/>
      <c r="N231" s="12"/>
      <c r="O231" s="12"/>
    </row>
    <row r="232" spans="3:15">
      <c r="C232" s="12"/>
      <c r="D232" s="12"/>
      <c r="E232" s="12"/>
      <c r="F232" s="12"/>
      <c r="G232" s="12"/>
      <c r="H232" s="12"/>
      <c r="I232" s="12"/>
      <c r="J232" s="12"/>
      <c r="K232" s="12"/>
      <c r="L232" s="12"/>
      <c r="M232" s="12"/>
      <c r="N232" s="12"/>
      <c r="O232" s="12"/>
    </row>
    <row r="233" spans="3:15">
      <c r="C233" s="12"/>
      <c r="D233" s="12"/>
      <c r="E233" s="12"/>
      <c r="F233" s="12"/>
      <c r="G233" s="12"/>
      <c r="H233" s="12"/>
      <c r="I233" s="12"/>
      <c r="J233" s="12"/>
      <c r="K233" s="12"/>
      <c r="L233" s="12"/>
      <c r="M233" s="12"/>
      <c r="N233" s="12"/>
      <c r="O233" s="12"/>
    </row>
    <row r="234" spans="3:15">
      <c r="C234" s="12"/>
      <c r="D234" s="12"/>
      <c r="E234" s="12"/>
      <c r="F234" s="12"/>
      <c r="G234" s="12"/>
      <c r="H234" s="12"/>
      <c r="I234" s="12"/>
      <c r="J234" s="12"/>
      <c r="K234" s="12"/>
      <c r="L234" s="12"/>
      <c r="M234" s="12"/>
      <c r="N234" s="12"/>
      <c r="O234" s="12"/>
    </row>
    <row r="235" spans="3:15">
      <c r="C235" s="12"/>
      <c r="D235" s="12"/>
      <c r="E235" s="12"/>
      <c r="F235" s="12"/>
      <c r="G235" s="12"/>
      <c r="H235" s="12"/>
      <c r="I235" s="12"/>
      <c r="J235" s="12"/>
      <c r="K235" s="12"/>
      <c r="L235" s="12"/>
      <c r="M235" s="12"/>
      <c r="N235" s="12"/>
      <c r="O235" s="12"/>
    </row>
    <row r="236" spans="3:15">
      <c r="C236" s="12"/>
      <c r="D236" s="12"/>
      <c r="E236" s="12"/>
      <c r="F236" s="12"/>
      <c r="G236" s="12"/>
      <c r="H236" s="12"/>
      <c r="I236" s="12"/>
      <c r="J236" s="12"/>
      <c r="K236" s="12"/>
      <c r="L236" s="12"/>
      <c r="M236" s="12"/>
      <c r="N236" s="12"/>
      <c r="O236" s="12"/>
    </row>
    <row r="237" spans="3:15">
      <c r="C237" s="12"/>
      <c r="D237" s="12"/>
      <c r="E237" s="12"/>
      <c r="F237" s="12"/>
      <c r="G237" s="12"/>
      <c r="H237" s="12"/>
      <c r="I237" s="12"/>
      <c r="J237" s="12"/>
      <c r="K237" s="12"/>
      <c r="L237" s="12"/>
      <c r="M237" s="12"/>
      <c r="N237" s="12"/>
      <c r="O237" s="12"/>
    </row>
    <row r="238" spans="3:15">
      <c r="C238" s="12"/>
      <c r="D238" s="12"/>
      <c r="E238" s="12"/>
      <c r="F238" s="12"/>
      <c r="G238" s="12"/>
      <c r="H238" s="12"/>
      <c r="I238" s="12"/>
      <c r="J238" s="12"/>
      <c r="K238" s="12"/>
      <c r="L238" s="12"/>
      <c r="M238" s="12"/>
      <c r="N238" s="12"/>
      <c r="O238" s="12"/>
    </row>
    <row r="239" spans="3:15">
      <c r="C239" s="12"/>
      <c r="D239" s="12"/>
      <c r="E239" s="12"/>
      <c r="F239" s="12"/>
      <c r="G239" s="12"/>
      <c r="H239" s="12"/>
      <c r="I239" s="12"/>
      <c r="J239" s="12"/>
      <c r="K239" s="12"/>
      <c r="L239" s="12"/>
      <c r="M239" s="12"/>
      <c r="N239" s="12"/>
      <c r="O239" s="12"/>
    </row>
    <row r="240" spans="3:15">
      <c r="C240" s="12"/>
      <c r="D240" s="12"/>
      <c r="E240" s="12"/>
      <c r="F240" s="12"/>
      <c r="G240" s="12"/>
      <c r="H240" s="12"/>
      <c r="I240" s="12"/>
      <c r="J240" s="12"/>
      <c r="K240" s="12"/>
      <c r="L240" s="12"/>
      <c r="M240" s="12"/>
      <c r="N240" s="12"/>
      <c r="O240" s="12"/>
    </row>
    <row r="241" spans="3:15">
      <c r="C241" s="12"/>
      <c r="D241" s="12"/>
      <c r="E241" s="12"/>
      <c r="F241" s="12"/>
      <c r="G241" s="12"/>
      <c r="H241" s="12"/>
      <c r="I241" s="12"/>
      <c r="J241" s="12"/>
      <c r="K241" s="12"/>
      <c r="L241" s="12"/>
      <c r="M241" s="12"/>
      <c r="N241" s="12"/>
      <c r="O241" s="12"/>
    </row>
    <row r="242" spans="3:15">
      <c r="C242" s="12"/>
      <c r="D242" s="12"/>
      <c r="E242" s="12"/>
      <c r="F242" s="12"/>
      <c r="G242" s="12"/>
      <c r="H242" s="12"/>
      <c r="I242" s="12"/>
      <c r="J242" s="12"/>
      <c r="K242" s="12"/>
      <c r="L242" s="12"/>
      <c r="M242" s="12"/>
      <c r="N242" s="12"/>
      <c r="O242" s="12"/>
    </row>
    <row r="243" spans="3:15">
      <c r="C243" s="12"/>
      <c r="D243" s="12"/>
      <c r="E243" s="12"/>
      <c r="F243" s="12"/>
      <c r="G243" s="12"/>
      <c r="H243" s="12"/>
      <c r="I243" s="12"/>
      <c r="J243" s="12"/>
      <c r="K243" s="12"/>
      <c r="L243" s="12"/>
      <c r="M243" s="12"/>
      <c r="N243" s="12"/>
      <c r="O243" s="12"/>
    </row>
    <row r="244" spans="3:15">
      <c r="C244" s="12"/>
      <c r="D244" s="12"/>
      <c r="E244" s="12"/>
      <c r="F244" s="12"/>
      <c r="G244" s="12"/>
      <c r="H244" s="12"/>
      <c r="I244" s="12"/>
      <c r="J244" s="12"/>
      <c r="K244" s="12"/>
      <c r="L244" s="12"/>
      <c r="M244" s="12"/>
      <c r="N244" s="12"/>
      <c r="O244" s="12"/>
    </row>
    <row r="245" spans="3:15">
      <c r="C245" s="12"/>
      <c r="D245" s="12"/>
      <c r="E245" s="12"/>
      <c r="F245" s="12"/>
      <c r="G245" s="12"/>
      <c r="H245" s="12"/>
      <c r="I245" s="12"/>
      <c r="J245" s="12"/>
      <c r="K245" s="12"/>
      <c r="L245" s="12"/>
      <c r="M245" s="12"/>
      <c r="N245" s="12"/>
      <c r="O245" s="12"/>
    </row>
    <row r="246" spans="3:15">
      <c r="C246" s="12"/>
      <c r="D246" s="12"/>
      <c r="E246" s="12"/>
      <c r="F246" s="12"/>
      <c r="G246" s="12"/>
      <c r="H246" s="12"/>
      <c r="I246" s="12"/>
      <c r="J246" s="12"/>
      <c r="K246" s="12"/>
      <c r="L246" s="12"/>
      <c r="M246" s="12"/>
      <c r="N246" s="12"/>
      <c r="O246" s="12"/>
    </row>
    <row r="247" spans="3:15">
      <c r="C247" s="12"/>
      <c r="D247" s="12"/>
      <c r="E247" s="12"/>
      <c r="F247" s="12"/>
      <c r="G247" s="12"/>
      <c r="H247" s="12"/>
      <c r="I247" s="12"/>
      <c r="J247" s="12"/>
      <c r="K247" s="12"/>
      <c r="L247" s="12"/>
      <c r="M247" s="12"/>
      <c r="N247" s="12"/>
      <c r="O247" s="12"/>
    </row>
    <row r="248" spans="3:15">
      <c r="C248" s="12"/>
      <c r="D248" s="12"/>
      <c r="E248" s="12"/>
      <c r="F248" s="12"/>
      <c r="G248" s="12"/>
      <c r="H248" s="12"/>
      <c r="I248" s="12"/>
      <c r="J248" s="12"/>
      <c r="K248" s="12"/>
      <c r="L248" s="12"/>
      <c r="M248" s="12"/>
      <c r="N248" s="12"/>
      <c r="O248" s="12"/>
    </row>
    <row r="249" spans="3:15">
      <c r="C249" s="12"/>
      <c r="D249" s="12"/>
      <c r="E249" s="12"/>
      <c r="F249" s="12"/>
      <c r="G249" s="12"/>
      <c r="H249" s="12"/>
      <c r="I249" s="12"/>
      <c r="J249" s="12"/>
      <c r="K249" s="12"/>
      <c r="L249" s="12"/>
      <c r="M249" s="12"/>
      <c r="N249" s="12"/>
      <c r="O249" s="12"/>
    </row>
    <row r="250" spans="3:15">
      <c r="C250" s="12"/>
      <c r="D250" s="12"/>
      <c r="E250" s="12"/>
      <c r="F250" s="12"/>
      <c r="G250" s="12"/>
      <c r="H250" s="12"/>
      <c r="I250" s="12"/>
      <c r="J250" s="12"/>
      <c r="K250" s="12"/>
      <c r="L250" s="12"/>
      <c r="M250" s="12"/>
      <c r="N250" s="12"/>
      <c r="O250" s="12"/>
    </row>
    <row r="251" spans="3:15">
      <c r="C251" s="12"/>
      <c r="D251" s="12"/>
      <c r="E251" s="12"/>
      <c r="F251" s="12"/>
      <c r="G251" s="12"/>
      <c r="H251" s="12"/>
      <c r="I251" s="12"/>
      <c r="J251" s="12"/>
      <c r="K251" s="12"/>
      <c r="L251" s="12"/>
      <c r="M251" s="12"/>
      <c r="N251" s="12"/>
      <c r="O251" s="12"/>
    </row>
    <row r="252" spans="3:15">
      <c r="C252" s="12"/>
      <c r="D252" s="12"/>
      <c r="E252" s="12"/>
      <c r="F252" s="12"/>
      <c r="G252" s="12"/>
      <c r="H252" s="12"/>
      <c r="I252" s="12"/>
      <c r="J252" s="12"/>
      <c r="K252" s="12"/>
      <c r="L252" s="12"/>
      <c r="M252" s="12"/>
      <c r="N252" s="12"/>
      <c r="O252" s="12"/>
    </row>
    <row r="253" spans="3:15">
      <c r="C253" s="12"/>
      <c r="D253" s="12"/>
      <c r="E253" s="12"/>
      <c r="F253" s="12"/>
      <c r="G253" s="12"/>
      <c r="H253" s="12"/>
      <c r="I253" s="12"/>
      <c r="J253" s="12"/>
      <c r="K253" s="12"/>
      <c r="L253" s="12"/>
      <c r="M253" s="12"/>
      <c r="N253" s="12"/>
      <c r="O253" s="12"/>
    </row>
    <row r="254" spans="3:15">
      <c r="C254" s="12"/>
      <c r="D254" s="12"/>
      <c r="E254" s="12"/>
      <c r="F254" s="12"/>
      <c r="G254" s="12"/>
      <c r="H254" s="12"/>
      <c r="I254" s="12"/>
      <c r="J254" s="12"/>
      <c r="K254" s="12"/>
      <c r="L254" s="12"/>
      <c r="M254" s="12"/>
      <c r="N254" s="12"/>
      <c r="O254" s="12"/>
    </row>
    <row r="255" spans="3:15">
      <c r="C255" s="12"/>
      <c r="D255" s="12"/>
      <c r="E255" s="12"/>
      <c r="F255" s="12"/>
      <c r="G255" s="12"/>
      <c r="H255" s="12"/>
      <c r="I255" s="12"/>
      <c r="J255" s="12"/>
      <c r="K255" s="12"/>
      <c r="L255" s="12"/>
      <c r="M255" s="12"/>
      <c r="N255" s="12"/>
      <c r="O255" s="12"/>
    </row>
    <row r="256" spans="3:15">
      <c r="C256" s="12"/>
      <c r="D256" s="12"/>
      <c r="E256" s="12"/>
      <c r="F256" s="12"/>
      <c r="G256" s="12"/>
      <c r="H256" s="12"/>
      <c r="I256" s="12"/>
      <c r="J256" s="12"/>
      <c r="K256" s="12"/>
      <c r="L256" s="12"/>
      <c r="M256" s="12"/>
      <c r="N256" s="12"/>
      <c r="O256" s="12"/>
    </row>
    <row r="257" spans="3:15">
      <c r="C257" s="12"/>
      <c r="D257" s="12"/>
      <c r="E257" s="12"/>
      <c r="F257" s="12"/>
      <c r="G257" s="12"/>
      <c r="H257" s="12"/>
      <c r="I257" s="12"/>
      <c r="J257" s="12"/>
      <c r="K257" s="12"/>
      <c r="L257" s="12"/>
      <c r="M257" s="12"/>
      <c r="N257" s="12"/>
      <c r="O257" s="12"/>
    </row>
    <row r="258" spans="3:15">
      <c r="C258" s="12"/>
      <c r="D258" s="12"/>
      <c r="E258" s="12"/>
      <c r="F258" s="12"/>
      <c r="G258" s="12"/>
      <c r="H258" s="12"/>
      <c r="I258" s="12"/>
      <c r="J258" s="12"/>
      <c r="K258" s="12"/>
      <c r="L258" s="12"/>
      <c r="M258" s="12"/>
      <c r="N258" s="12"/>
      <c r="O258" s="12"/>
    </row>
    <row r="259" spans="3:15">
      <c r="C259" s="12"/>
      <c r="D259" s="12"/>
      <c r="E259" s="12"/>
      <c r="F259" s="12"/>
      <c r="G259" s="12"/>
      <c r="H259" s="12"/>
      <c r="I259" s="12"/>
      <c r="J259" s="12"/>
      <c r="K259" s="12"/>
      <c r="L259" s="12"/>
      <c r="M259" s="12"/>
      <c r="N259" s="12"/>
      <c r="O259" s="12"/>
    </row>
    <row r="260" spans="3:15">
      <c r="C260" s="12"/>
      <c r="D260" s="12"/>
      <c r="E260" s="12"/>
      <c r="F260" s="12"/>
      <c r="G260" s="12"/>
      <c r="H260" s="12"/>
      <c r="I260" s="12"/>
      <c r="J260" s="12"/>
      <c r="K260" s="12"/>
      <c r="L260" s="12"/>
      <c r="M260" s="12"/>
      <c r="N260" s="12"/>
      <c r="O260" s="12"/>
    </row>
    <row r="261" spans="3:15">
      <c r="C261" s="12"/>
      <c r="D261" s="12"/>
      <c r="E261" s="12"/>
      <c r="F261" s="12"/>
      <c r="G261" s="12"/>
      <c r="H261" s="12"/>
      <c r="I261" s="12"/>
      <c r="J261" s="12"/>
      <c r="K261" s="12"/>
      <c r="L261" s="12"/>
      <c r="M261" s="12"/>
      <c r="N261" s="12"/>
      <c r="O261" s="12"/>
    </row>
    <row r="262" spans="3:15">
      <c r="C262" s="12"/>
      <c r="D262" s="12"/>
      <c r="E262" s="12"/>
      <c r="F262" s="12"/>
      <c r="G262" s="12"/>
      <c r="H262" s="12"/>
      <c r="I262" s="12"/>
      <c r="J262" s="12"/>
      <c r="K262" s="12"/>
      <c r="L262" s="12"/>
      <c r="M262" s="12"/>
      <c r="N262" s="12"/>
      <c r="O262" s="12"/>
    </row>
    <row r="263" spans="3:15">
      <c r="C263" s="12"/>
      <c r="D263" s="12"/>
      <c r="E263" s="12"/>
      <c r="F263" s="12"/>
      <c r="G263" s="12"/>
      <c r="H263" s="12"/>
      <c r="I263" s="12"/>
      <c r="J263" s="12"/>
      <c r="K263" s="12"/>
      <c r="L263" s="12"/>
      <c r="M263" s="12"/>
      <c r="N263" s="12"/>
      <c r="O263" s="12"/>
    </row>
    <row r="264" spans="3:15">
      <c r="C264" s="12"/>
      <c r="D264" s="12"/>
      <c r="E264" s="12"/>
      <c r="F264" s="12"/>
      <c r="G264" s="12"/>
      <c r="H264" s="12"/>
      <c r="I264" s="12"/>
      <c r="J264" s="12"/>
      <c r="K264" s="12"/>
      <c r="L264" s="12"/>
      <c r="M264" s="12"/>
      <c r="N264" s="12"/>
      <c r="O264" s="12"/>
    </row>
    <row r="265" spans="3:15">
      <c r="C265" s="12"/>
      <c r="D265" s="12"/>
      <c r="E265" s="12"/>
      <c r="F265" s="12"/>
      <c r="G265" s="12"/>
      <c r="H265" s="12"/>
      <c r="I265" s="12"/>
      <c r="J265" s="12"/>
      <c r="K265" s="12"/>
      <c r="L265" s="12"/>
      <c r="M265" s="12"/>
      <c r="N265" s="12"/>
      <c r="O265" s="12"/>
    </row>
    <row r="266" spans="3:15">
      <c r="C266" s="12"/>
      <c r="D266" s="12"/>
      <c r="E266" s="12"/>
      <c r="F266" s="12"/>
      <c r="G266" s="12"/>
      <c r="H266" s="12"/>
      <c r="I266" s="12"/>
      <c r="J266" s="12"/>
      <c r="K266" s="12"/>
      <c r="L266" s="12"/>
      <c r="M266" s="12"/>
      <c r="N266" s="12"/>
      <c r="O266" s="12"/>
    </row>
    <row r="267" spans="3:15">
      <c r="C267" s="12"/>
      <c r="D267" s="12"/>
      <c r="E267" s="12"/>
      <c r="F267" s="12"/>
      <c r="G267" s="12"/>
      <c r="H267" s="12"/>
      <c r="I267" s="12"/>
      <c r="J267" s="12"/>
      <c r="K267" s="12"/>
      <c r="L267" s="12"/>
      <c r="M267" s="12"/>
      <c r="N267" s="12"/>
      <c r="O267" s="12"/>
    </row>
    <row r="268" spans="3:15">
      <c r="C268" s="12"/>
      <c r="D268" s="12"/>
      <c r="E268" s="12"/>
      <c r="F268" s="12"/>
      <c r="G268" s="12"/>
      <c r="H268" s="12"/>
      <c r="I268" s="12"/>
      <c r="J268" s="12"/>
      <c r="K268" s="12"/>
      <c r="L268" s="12"/>
      <c r="M268" s="12"/>
      <c r="N268" s="12"/>
      <c r="O268" s="12"/>
    </row>
    <row r="269" spans="3:15">
      <c r="C269" s="12"/>
      <c r="D269" s="12"/>
      <c r="E269" s="12"/>
      <c r="F269" s="12"/>
      <c r="G269" s="12"/>
      <c r="H269" s="12"/>
      <c r="I269" s="12"/>
      <c r="J269" s="12"/>
      <c r="K269" s="12"/>
      <c r="L269" s="12"/>
      <c r="M269" s="12"/>
      <c r="N269" s="12"/>
      <c r="O269" s="12"/>
    </row>
    <row r="270" spans="3:15">
      <c r="C270" s="12"/>
      <c r="D270" s="12"/>
      <c r="E270" s="12"/>
      <c r="F270" s="12"/>
      <c r="G270" s="12"/>
      <c r="H270" s="12"/>
      <c r="I270" s="12"/>
      <c r="J270" s="12"/>
      <c r="K270" s="12"/>
      <c r="L270" s="12"/>
      <c r="M270" s="12"/>
      <c r="N270" s="12"/>
      <c r="O270" s="12"/>
    </row>
    <row r="271" spans="3:15">
      <c r="C271" s="12"/>
      <c r="D271" s="12"/>
      <c r="E271" s="12"/>
      <c r="F271" s="12"/>
      <c r="G271" s="12"/>
      <c r="H271" s="12"/>
      <c r="I271" s="12"/>
      <c r="J271" s="12"/>
      <c r="K271" s="12"/>
      <c r="L271" s="12"/>
      <c r="M271" s="12"/>
      <c r="N271" s="12"/>
      <c r="O271" s="12"/>
    </row>
    <row r="272" spans="3:15">
      <c r="C272" s="12"/>
      <c r="D272" s="12"/>
      <c r="E272" s="12"/>
      <c r="F272" s="12"/>
      <c r="G272" s="12"/>
      <c r="H272" s="12"/>
      <c r="I272" s="12"/>
      <c r="J272" s="12"/>
      <c r="K272" s="12"/>
      <c r="L272" s="12"/>
      <c r="M272" s="12"/>
      <c r="N272" s="12"/>
      <c r="O272" s="12"/>
    </row>
    <row r="273" spans="3:15">
      <c r="C273" s="12"/>
      <c r="D273" s="12"/>
      <c r="E273" s="12"/>
      <c r="F273" s="12"/>
      <c r="G273" s="12"/>
      <c r="H273" s="12"/>
      <c r="I273" s="12"/>
      <c r="J273" s="12"/>
      <c r="K273" s="12"/>
      <c r="L273" s="12"/>
      <c r="M273" s="12"/>
      <c r="N273" s="12"/>
      <c r="O273" s="12"/>
    </row>
    <row r="274" spans="3:15">
      <c r="C274" s="12"/>
      <c r="D274" s="12"/>
      <c r="E274" s="12"/>
      <c r="F274" s="12"/>
      <c r="G274" s="12"/>
      <c r="H274" s="12"/>
      <c r="I274" s="12"/>
      <c r="J274" s="12"/>
      <c r="K274" s="12"/>
      <c r="L274" s="12"/>
      <c r="M274" s="12"/>
      <c r="N274" s="12"/>
      <c r="O274" s="12"/>
    </row>
    <row r="275" spans="3:15">
      <c r="C275" s="12"/>
      <c r="D275" s="12"/>
      <c r="E275" s="12"/>
      <c r="F275" s="12"/>
      <c r="G275" s="12"/>
      <c r="H275" s="12"/>
      <c r="I275" s="12"/>
      <c r="J275" s="12"/>
      <c r="K275" s="12"/>
      <c r="L275" s="12"/>
      <c r="M275" s="12"/>
      <c r="N275" s="12"/>
      <c r="O275" s="12"/>
    </row>
    <row r="276" spans="3:15">
      <c r="C276" s="12"/>
      <c r="D276" s="12"/>
      <c r="E276" s="12"/>
      <c r="F276" s="12"/>
      <c r="G276" s="12"/>
      <c r="H276" s="12"/>
      <c r="I276" s="12"/>
      <c r="J276" s="12"/>
      <c r="K276" s="12"/>
      <c r="L276" s="12"/>
      <c r="M276" s="12"/>
      <c r="N276" s="12"/>
      <c r="O276" s="12"/>
    </row>
    <row r="277" spans="3:15">
      <c r="C277" s="12"/>
      <c r="D277" s="12"/>
      <c r="E277" s="12"/>
      <c r="F277" s="12"/>
      <c r="G277" s="12"/>
      <c r="H277" s="12"/>
      <c r="I277" s="12"/>
      <c r="J277" s="12"/>
      <c r="K277" s="12"/>
      <c r="L277" s="12"/>
      <c r="M277" s="12"/>
      <c r="N277" s="12"/>
      <c r="O277" s="12"/>
    </row>
    <row r="278" spans="3:15">
      <c r="C278" s="12"/>
      <c r="D278" s="12"/>
      <c r="E278" s="12"/>
      <c r="F278" s="12"/>
      <c r="G278" s="12"/>
      <c r="H278" s="12"/>
      <c r="I278" s="12"/>
      <c r="J278" s="12"/>
      <c r="K278" s="12"/>
      <c r="L278" s="12"/>
      <c r="M278" s="12"/>
      <c r="N278" s="12"/>
      <c r="O278" s="12"/>
    </row>
    <row r="279" spans="3:15">
      <c r="C279" s="12"/>
      <c r="D279" s="12"/>
      <c r="E279" s="12"/>
      <c r="F279" s="12"/>
      <c r="G279" s="12"/>
      <c r="H279" s="12"/>
      <c r="I279" s="12"/>
      <c r="J279" s="12"/>
      <c r="K279" s="12"/>
      <c r="L279" s="12"/>
      <c r="M279" s="12"/>
      <c r="N279" s="12"/>
      <c r="O279" s="12"/>
    </row>
    <row r="280" spans="3:15">
      <c r="C280" s="12"/>
      <c r="D280" s="12"/>
      <c r="E280" s="12"/>
      <c r="F280" s="12"/>
      <c r="G280" s="12"/>
      <c r="H280" s="12"/>
      <c r="I280" s="12"/>
      <c r="J280" s="12"/>
      <c r="K280" s="12"/>
      <c r="L280" s="12"/>
      <c r="M280" s="12"/>
      <c r="N280" s="12"/>
      <c r="O280" s="12"/>
    </row>
    <row r="281" spans="3:15">
      <c r="C281" s="12"/>
      <c r="D281" s="12"/>
      <c r="E281" s="12"/>
      <c r="F281" s="12"/>
      <c r="G281" s="12"/>
      <c r="H281" s="12"/>
      <c r="I281" s="12"/>
      <c r="J281" s="12"/>
      <c r="K281" s="12"/>
      <c r="L281" s="12"/>
      <c r="M281" s="12"/>
      <c r="N281" s="12"/>
      <c r="O281" s="12"/>
    </row>
    <row r="282" spans="3:15">
      <c r="C282" s="12"/>
      <c r="D282" s="12"/>
      <c r="E282" s="12"/>
      <c r="F282" s="12"/>
      <c r="G282" s="12"/>
      <c r="H282" s="12"/>
      <c r="I282" s="12"/>
      <c r="J282" s="12"/>
      <c r="K282" s="12"/>
      <c r="L282" s="12"/>
      <c r="M282" s="12"/>
      <c r="N282" s="12"/>
      <c r="O282" s="12"/>
    </row>
    <row r="283" spans="3:15">
      <c r="C283" s="12"/>
      <c r="D283" s="12"/>
      <c r="E283" s="12"/>
      <c r="F283" s="12"/>
      <c r="G283" s="12"/>
      <c r="H283" s="12"/>
      <c r="I283" s="12"/>
      <c r="J283" s="12"/>
      <c r="K283" s="12"/>
      <c r="L283" s="12"/>
      <c r="M283" s="12"/>
      <c r="N283" s="12"/>
      <c r="O283" s="12"/>
    </row>
    <row r="284" spans="3:15">
      <c r="C284" s="12"/>
      <c r="D284" s="12"/>
      <c r="E284" s="12"/>
      <c r="F284" s="12"/>
      <c r="G284" s="12"/>
      <c r="H284" s="12"/>
      <c r="I284" s="12"/>
      <c r="J284" s="12"/>
      <c r="K284" s="12"/>
      <c r="L284" s="12"/>
      <c r="M284" s="12"/>
      <c r="N284" s="12"/>
      <c r="O284" s="12"/>
    </row>
    <row r="285" spans="3:15">
      <c r="C285" s="12"/>
      <c r="D285" s="12"/>
      <c r="E285" s="12"/>
      <c r="F285" s="12"/>
      <c r="G285" s="12"/>
      <c r="H285" s="12"/>
      <c r="I285" s="12"/>
      <c r="J285" s="12"/>
      <c r="K285" s="12"/>
      <c r="L285" s="12"/>
      <c r="M285" s="12"/>
      <c r="N285" s="12"/>
      <c r="O285" s="12"/>
    </row>
    <row r="286" spans="3:15">
      <c r="C286" s="12"/>
      <c r="D286" s="12"/>
      <c r="E286" s="12"/>
      <c r="F286" s="12"/>
      <c r="G286" s="12"/>
      <c r="H286" s="12"/>
      <c r="I286" s="12"/>
      <c r="J286" s="12"/>
      <c r="K286" s="12"/>
      <c r="L286" s="12"/>
      <c r="M286" s="12"/>
      <c r="N286" s="12"/>
      <c r="O286" s="12"/>
    </row>
    <row r="287" spans="3:15">
      <c r="C287" s="12"/>
      <c r="D287" s="12"/>
      <c r="E287" s="12"/>
      <c r="F287" s="12"/>
      <c r="G287" s="12"/>
      <c r="H287" s="12"/>
      <c r="I287" s="12"/>
      <c r="J287" s="12"/>
      <c r="K287" s="12"/>
      <c r="L287" s="12"/>
      <c r="M287" s="12"/>
      <c r="N287" s="12"/>
      <c r="O287" s="12"/>
    </row>
    <row r="288" spans="3:15">
      <c r="C288" s="12"/>
      <c r="D288" s="12"/>
      <c r="E288" s="12"/>
      <c r="F288" s="12"/>
      <c r="G288" s="12"/>
      <c r="H288" s="12"/>
      <c r="I288" s="12"/>
      <c r="J288" s="12"/>
      <c r="K288" s="12"/>
      <c r="L288" s="12"/>
      <c r="M288" s="12"/>
      <c r="N288" s="12"/>
      <c r="O288" s="12"/>
    </row>
    <row r="289" spans="3:15">
      <c r="C289" s="12"/>
      <c r="D289" s="12"/>
      <c r="E289" s="12"/>
      <c r="F289" s="12"/>
      <c r="G289" s="12"/>
      <c r="H289" s="12"/>
      <c r="I289" s="12"/>
      <c r="J289" s="12"/>
      <c r="K289" s="12"/>
      <c r="L289" s="12"/>
      <c r="M289" s="12"/>
      <c r="N289" s="12"/>
      <c r="O289" s="12"/>
    </row>
    <row r="290" spans="3:15">
      <c r="C290" s="12"/>
      <c r="D290" s="12"/>
      <c r="E290" s="12"/>
      <c r="F290" s="12"/>
      <c r="G290" s="12"/>
      <c r="H290" s="12"/>
      <c r="I290" s="12"/>
      <c r="J290" s="12"/>
      <c r="K290" s="12"/>
      <c r="L290" s="12"/>
      <c r="M290" s="12"/>
      <c r="N290" s="12"/>
      <c r="O290" s="12"/>
    </row>
    <row r="291" spans="3:15">
      <c r="C291" s="12"/>
      <c r="D291" s="12"/>
      <c r="E291" s="12"/>
      <c r="F291" s="12"/>
      <c r="G291" s="12"/>
      <c r="H291" s="12"/>
      <c r="I291" s="12"/>
      <c r="J291" s="12"/>
      <c r="K291" s="12"/>
      <c r="L291" s="12"/>
      <c r="M291" s="12"/>
      <c r="N291" s="12"/>
      <c r="O291" s="12"/>
    </row>
    <row r="292" spans="3:15">
      <c r="C292" s="12"/>
      <c r="D292" s="12"/>
      <c r="E292" s="12"/>
      <c r="F292" s="12"/>
      <c r="G292" s="12"/>
      <c r="H292" s="12"/>
      <c r="I292" s="12"/>
      <c r="J292" s="12"/>
      <c r="K292" s="12"/>
      <c r="L292" s="12"/>
      <c r="M292" s="12"/>
      <c r="N292" s="12"/>
      <c r="O292" s="12"/>
    </row>
    <row r="293" spans="3:15">
      <c r="C293" s="12"/>
      <c r="D293" s="12"/>
      <c r="E293" s="12"/>
      <c r="F293" s="12"/>
      <c r="G293" s="12"/>
      <c r="H293" s="12"/>
      <c r="I293" s="12"/>
      <c r="J293" s="12"/>
      <c r="K293" s="12"/>
      <c r="L293" s="12"/>
      <c r="M293" s="12"/>
      <c r="N293" s="12"/>
      <c r="O293" s="12"/>
    </row>
    <row r="294" spans="3:15">
      <c r="C294" s="12"/>
      <c r="D294" s="12"/>
      <c r="E294" s="12"/>
      <c r="F294" s="12"/>
      <c r="G294" s="12"/>
      <c r="H294" s="12"/>
      <c r="I294" s="12"/>
      <c r="J294" s="12"/>
      <c r="K294" s="12"/>
      <c r="L294" s="12"/>
      <c r="M294" s="12"/>
      <c r="N294" s="12"/>
      <c r="O294" s="12"/>
    </row>
    <row r="295" spans="3:15">
      <c r="C295" s="12"/>
      <c r="D295" s="12"/>
      <c r="E295" s="12"/>
      <c r="F295" s="12"/>
      <c r="G295" s="12"/>
      <c r="H295" s="12"/>
      <c r="I295" s="12"/>
      <c r="J295" s="12"/>
      <c r="K295" s="12"/>
      <c r="L295" s="12"/>
      <c r="M295" s="12"/>
      <c r="N295" s="12"/>
      <c r="O295" s="12"/>
    </row>
    <row r="296" spans="3:15">
      <c r="C296" s="12"/>
      <c r="D296" s="12"/>
      <c r="E296" s="12"/>
      <c r="F296" s="12"/>
      <c r="G296" s="12"/>
      <c r="H296" s="12"/>
      <c r="I296" s="12"/>
      <c r="J296" s="12"/>
      <c r="K296" s="12"/>
      <c r="L296" s="12"/>
      <c r="M296" s="12"/>
      <c r="N296" s="12"/>
      <c r="O296" s="12"/>
    </row>
    <row r="297" spans="3:15">
      <c r="C297" s="12"/>
      <c r="D297" s="12"/>
      <c r="E297" s="12"/>
      <c r="F297" s="12"/>
      <c r="G297" s="12"/>
      <c r="H297" s="12"/>
      <c r="I297" s="12"/>
      <c r="J297" s="12"/>
      <c r="K297" s="12"/>
      <c r="L297" s="12"/>
      <c r="M297" s="12"/>
      <c r="N297" s="12"/>
      <c r="O297" s="12"/>
    </row>
    <row r="298" spans="3:15">
      <c r="C298" s="12"/>
      <c r="D298" s="12"/>
      <c r="E298" s="12"/>
      <c r="F298" s="12"/>
      <c r="G298" s="12"/>
      <c r="H298" s="12"/>
      <c r="I298" s="12"/>
      <c r="J298" s="12"/>
      <c r="K298" s="12"/>
      <c r="L298" s="12"/>
      <c r="M298" s="12"/>
      <c r="N298" s="12"/>
      <c r="O298" s="12"/>
    </row>
    <row r="299" spans="3:15">
      <c r="C299" s="12"/>
      <c r="D299" s="12"/>
      <c r="E299" s="12"/>
      <c r="F299" s="12"/>
      <c r="G299" s="12"/>
      <c r="H299" s="12"/>
      <c r="I299" s="12"/>
      <c r="J299" s="12"/>
      <c r="K299" s="12"/>
      <c r="L299" s="12"/>
      <c r="M299" s="12"/>
      <c r="N299" s="12"/>
      <c r="O299" s="12"/>
    </row>
    <row r="300" spans="3:15">
      <c r="C300" s="12"/>
      <c r="D300" s="12"/>
      <c r="E300" s="12"/>
      <c r="F300" s="12"/>
      <c r="G300" s="12"/>
      <c r="H300" s="12"/>
      <c r="I300" s="12"/>
      <c r="J300" s="12"/>
      <c r="K300" s="12"/>
      <c r="L300" s="12"/>
      <c r="M300" s="12"/>
      <c r="N300" s="12"/>
      <c r="O300" s="12"/>
    </row>
    <row r="301" spans="3:15">
      <c r="C301" s="12"/>
      <c r="D301" s="12"/>
      <c r="E301" s="12"/>
      <c r="F301" s="12"/>
      <c r="G301" s="12"/>
      <c r="H301" s="12"/>
      <c r="I301" s="12"/>
      <c r="J301" s="12"/>
      <c r="K301" s="12"/>
      <c r="L301" s="12"/>
      <c r="M301" s="12"/>
      <c r="N301" s="12"/>
      <c r="O301" s="12"/>
    </row>
    <row r="302" spans="3:15">
      <c r="C302" s="12"/>
      <c r="D302" s="12"/>
      <c r="E302" s="12"/>
      <c r="F302" s="12"/>
      <c r="G302" s="12"/>
      <c r="H302" s="12"/>
      <c r="I302" s="12"/>
      <c r="J302" s="12"/>
      <c r="K302" s="12"/>
      <c r="L302" s="12"/>
      <c r="M302" s="12"/>
      <c r="N302" s="12"/>
      <c r="O302" s="12"/>
    </row>
    <row r="303" spans="3:15">
      <c r="C303" s="12"/>
      <c r="D303" s="12"/>
      <c r="E303" s="12"/>
      <c r="F303" s="12"/>
      <c r="G303" s="12"/>
      <c r="H303" s="12"/>
      <c r="I303" s="12"/>
      <c r="J303" s="12"/>
      <c r="K303" s="12"/>
      <c r="L303" s="12"/>
      <c r="M303" s="12"/>
      <c r="N303" s="12"/>
      <c r="O303" s="12"/>
    </row>
    <row r="304" spans="3:15">
      <c r="C304" s="12"/>
      <c r="D304" s="12"/>
      <c r="E304" s="12"/>
      <c r="F304" s="12"/>
      <c r="G304" s="12"/>
      <c r="H304" s="12"/>
      <c r="I304" s="12"/>
      <c r="J304" s="12"/>
      <c r="K304" s="12"/>
      <c r="L304" s="12"/>
      <c r="M304" s="12"/>
      <c r="N304" s="12"/>
      <c r="O304" s="12"/>
    </row>
    <row r="305" spans="3:15">
      <c r="C305" s="12"/>
      <c r="D305" s="12"/>
      <c r="E305" s="12"/>
      <c r="F305" s="12"/>
      <c r="G305" s="12"/>
      <c r="H305" s="12"/>
      <c r="I305" s="12"/>
      <c r="J305" s="12"/>
      <c r="K305" s="12"/>
      <c r="L305" s="12"/>
      <c r="M305" s="12"/>
      <c r="N305" s="12"/>
      <c r="O305" s="12"/>
    </row>
    <row r="306" spans="3:15">
      <c r="C306" s="12"/>
      <c r="D306" s="12"/>
      <c r="E306" s="12"/>
      <c r="F306" s="12"/>
      <c r="G306" s="12"/>
      <c r="H306" s="12"/>
      <c r="I306" s="12"/>
      <c r="J306" s="12"/>
      <c r="K306" s="12"/>
      <c r="L306" s="12"/>
      <c r="M306" s="12"/>
      <c r="N306" s="12"/>
      <c r="O306" s="12"/>
    </row>
    <row r="307" spans="3:15">
      <c r="C307" s="12"/>
      <c r="D307" s="12"/>
      <c r="E307" s="12"/>
      <c r="F307" s="12"/>
      <c r="G307" s="12"/>
      <c r="H307" s="12"/>
      <c r="I307" s="12"/>
      <c r="J307" s="12"/>
      <c r="K307" s="12"/>
      <c r="L307" s="12"/>
      <c r="M307" s="12"/>
      <c r="N307" s="12"/>
      <c r="O307" s="12"/>
    </row>
    <row r="308" spans="3:15">
      <c r="C308" s="12"/>
      <c r="D308" s="12"/>
      <c r="E308" s="12"/>
      <c r="F308" s="12"/>
      <c r="G308" s="12"/>
      <c r="H308" s="12"/>
      <c r="I308" s="12"/>
      <c r="J308" s="12"/>
      <c r="K308" s="12"/>
      <c r="L308" s="12"/>
      <c r="M308" s="12"/>
      <c r="N308" s="12"/>
      <c r="O308" s="12"/>
    </row>
    <row r="309" spans="3:15">
      <c r="C309" s="12"/>
      <c r="D309" s="12"/>
      <c r="E309" s="12"/>
      <c r="F309" s="12"/>
      <c r="G309" s="12"/>
      <c r="H309" s="12"/>
      <c r="I309" s="12"/>
      <c r="J309" s="12"/>
      <c r="K309" s="12"/>
      <c r="L309" s="12"/>
      <c r="M309" s="12"/>
      <c r="N309" s="12"/>
      <c r="O309" s="12"/>
    </row>
    <row r="310" spans="3:15">
      <c r="C310" s="12"/>
      <c r="D310" s="12"/>
      <c r="E310" s="12"/>
      <c r="F310" s="12"/>
      <c r="G310" s="12"/>
      <c r="H310" s="12"/>
      <c r="I310" s="12"/>
      <c r="J310" s="12"/>
      <c r="K310" s="12"/>
      <c r="L310" s="12"/>
      <c r="M310" s="12"/>
      <c r="N310" s="12"/>
      <c r="O310" s="12"/>
    </row>
    <row r="311" spans="3:15">
      <c r="C311" s="12"/>
      <c r="D311" s="12"/>
      <c r="E311" s="12"/>
      <c r="F311" s="12"/>
      <c r="G311" s="12"/>
      <c r="H311" s="12"/>
      <c r="I311" s="12"/>
      <c r="J311" s="12"/>
      <c r="K311" s="12"/>
      <c r="L311" s="12"/>
      <c r="M311" s="12"/>
      <c r="N311" s="12"/>
      <c r="O311" s="12"/>
    </row>
    <row r="312" spans="3:15">
      <c r="C312" s="12"/>
      <c r="D312" s="12"/>
      <c r="E312" s="12"/>
      <c r="F312" s="12"/>
      <c r="G312" s="12"/>
      <c r="H312" s="12"/>
      <c r="I312" s="12"/>
      <c r="J312" s="12"/>
      <c r="K312" s="12"/>
      <c r="L312" s="12"/>
      <c r="M312" s="12"/>
      <c r="N312" s="12"/>
      <c r="O312" s="12"/>
    </row>
    <row r="313" spans="3:15">
      <c r="C313" s="12"/>
      <c r="D313" s="12"/>
      <c r="E313" s="12"/>
      <c r="F313" s="12"/>
      <c r="G313" s="12"/>
      <c r="H313" s="12"/>
      <c r="I313" s="12"/>
      <c r="J313" s="12"/>
      <c r="K313" s="12"/>
      <c r="L313" s="12"/>
      <c r="M313" s="12"/>
      <c r="N313" s="12"/>
      <c r="O313" s="12"/>
    </row>
    <row r="314" spans="3:15">
      <c r="C314" s="12"/>
      <c r="D314" s="12"/>
      <c r="E314" s="12"/>
      <c r="F314" s="12"/>
      <c r="G314" s="12"/>
      <c r="H314" s="12"/>
      <c r="I314" s="12"/>
      <c r="J314" s="12"/>
      <c r="K314" s="12"/>
      <c r="L314" s="12"/>
      <c r="M314" s="12"/>
      <c r="N314" s="12"/>
      <c r="O314" s="12"/>
    </row>
    <row r="315" spans="3:15">
      <c r="C315" s="12"/>
      <c r="D315" s="12"/>
      <c r="E315" s="12"/>
      <c r="F315" s="12"/>
      <c r="G315" s="12"/>
      <c r="H315" s="12"/>
      <c r="I315" s="12"/>
      <c r="J315" s="12"/>
      <c r="K315" s="12"/>
      <c r="L315" s="12"/>
      <c r="M315" s="12"/>
      <c r="N315" s="12"/>
      <c r="O315" s="12"/>
    </row>
    <row r="316" spans="3:15">
      <c r="C316" s="12"/>
      <c r="D316" s="12"/>
      <c r="E316" s="12"/>
      <c r="F316" s="12"/>
      <c r="G316" s="12"/>
      <c r="H316" s="12"/>
      <c r="I316" s="12"/>
      <c r="J316" s="12"/>
      <c r="K316" s="12"/>
      <c r="L316" s="12"/>
      <c r="M316" s="12"/>
      <c r="N316" s="12"/>
      <c r="O316" s="12"/>
    </row>
    <row r="317" spans="3:15">
      <c r="C317" s="12"/>
      <c r="D317" s="12"/>
      <c r="E317" s="12"/>
      <c r="F317" s="12"/>
      <c r="G317" s="12"/>
      <c r="H317" s="12"/>
      <c r="I317" s="12"/>
      <c r="J317" s="12"/>
      <c r="K317" s="12"/>
      <c r="L317" s="12"/>
      <c r="M317" s="12"/>
      <c r="N317" s="12"/>
      <c r="O317" s="12"/>
    </row>
    <row r="318" spans="3:15">
      <c r="C318" s="12"/>
      <c r="D318" s="12"/>
      <c r="E318" s="12"/>
      <c r="F318" s="12"/>
      <c r="G318" s="12"/>
      <c r="H318" s="12"/>
      <c r="I318" s="12"/>
      <c r="J318" s="12"/>
      <c r="K318" s="12"/>
      <c r="L318" s="12"/>
      <c r="M318" s="12"/>
      <c r="N318" s="12"/>
      <c r="O318" s="12"/>
    </row>
    <row r="319" spans="3:15">
      <c r="C319" s="12"/>
      <c r="D319" s="12"/>
      <c r="E319" s="12"/>
      <c r="F319" s="12"/>
      <c r="G319" s="12"/>
      <c r="H319" s="12"/>
      <c r="I319" s="12"/>
      <c r="J319" s="12"/>
      <c r="K319" s="12"/>
      <c r="L319" s="12"/>
      <c r="M319" s="12"/>
      <c r="N319" s="12"/>
      <c r="O319" s="12"/>
    </row>
    <row r="320" spans="3:15">
      <c r="C320" s="12"/>
      <c r="D320" s="12"/>
      <c r="E320" s="12"/>
      <c r="F320" s="12"/>
      <c r="G320" s="12"/>
      <c r="H320" s="12"/>
      <c r="I320" s="12"/>
      <c r="J320" s="12"/>
      <c r="K320" s="12"/>
      <c r="L320" s="12"/>
      <c r="M320" s="12"/>
      <c r="N320" s="12"/>
      <c r="O320" s="12"/>
    </row>
    <row r="321" spans="3:15">
      <c r="C321" s="12"/>
      <c r="D321" s="12"/>
      <c r="E321" s="12"/>
      <c r="F321" s="12"/>
      <c r="G321" s="12"/>
      <c r="H321" s="12"/>
      <c r="I321" s="12"/>
      <c r="J321" s="12"/>
      <c r="K321" s="12"/>
      <c r="L321" s="12"/>
      <c r="M321" s="12"/>
      <c r="N321" s="12"/>
      <c r="O321" s="12"/>
    </row>
    <row r="322" spans="3:15">
      <c r="C322" s="12"/>
      <c r="D322" s="12"/>
      <c r="E322" s="12"/>
      <c r="F322" s="12"/>
      <c r="G322" s="12"/>
      <c r="H322" s="12"/>
      <c r="I322" s="12"/>
      <c r="J322" s="12"/>
      <c r="K322" s="12"/>
      <c r="L322" s="12"/>
      <c r="M322" s="12"/>
      <c r="N322" s="12"/>
      <c r="O322" s="12"/>
    </row>
    <row r="323" spans="3:15">
      <c r="C323" s="12"/>
      <c r="D323" s="12"/>
      <c r="E323" s="12"/>
      <c r="F323" s="12"/>
      <c r="G323" s="12"/>
      <c r="H323" s="12"/>
      <c r="I323" s="12"/>
      <c r="J323" s="12"/>
      <c r="K323" s="12"/>
      <c r="L323" s="12"/>
      <c r="M323" s="12"/>
      <c r="N323" s="12"/>
      <c r="O323" s="12"/>
    </row>
    <row r="324" spans="3:15">
      <c r="C324" s="12"/>
      <c r="D324" s="12"/>
      <c r="E324" s="12"/>
      <c r="F324" s="12"/>
      <c r="G324" s="12"/>
      <c r="H324" s="12"/>
      <c r="I324" s="12"/>
      <c r="J324" s="12"/>
      <c r="K324" s="12"/>
      <c r="L324" s="12"/>
      <c r="M324" s="12"/>
      <c r="N324" s="12"/>
      <c r="O324" s="12"/>
    </row>
    <row r="325" spans="3:15">
      <c r="C325" s="12"/>
      <c r="D325" s="12"/>
      <c r="E325" s="12"/>
      <c r="F325" s="12"/>
      <c r="G325" s="12"/>
      <c r="H325" s="12"/>
      <c r="I325" s="12"/>
      <c r="J325" s="12"/>
      <c r="K325" s="12"/>
      <c r="L325" s="12"/>
      <c r="M325" s="12"/>
      <c r="N325" s="12"/>
      <c r="O325" s="12"/>
    </row>
    <row r="326" spans="3:15">
      <c r="C326" s="12"/>
      <c r="D326" s="12"/>
      <c r="E326" s="12"/>
      <c r="F326" s="12"/>
      <c r="G326" s="12"/>
      <c r="H326" s="12"/>
      <c r="I326" s="12"/>
      <c r="J326" s="12"/>
      <c r="K326" s="12"/>
      <c r="L326" s="12"/>
      <c r="M326" s="12"/>
      <c r="N326" s="12"/>
      <c r="O326" s="12"/>
    </row>
    <row r="327" spans="3:15">
      <c r="C327" s="12"/>
      <c r="D327" s="12"/>
      <c r="E327" s="12"/>
      <c r="F327" s="12"/>
      <c r="G327" s="12"/>
      <c r="H327" s="12"/>
      <c r="I327" s="12"/>
      <c r="J327" s="12"/>
      <c r="K327" s="12"/>
      <c r="L327" s="12"/>
      <c r="M327" s="12"/>
      <c r="N327" s="12"/>
      <c r="O327" s="12"/>
    </row>
    <row r="328" spans="3:15">
      <c r="C328" s="12"/>
      <c r="D328" s="12"/>
      <c r="E328" s="12"/>
      <c r="F328" s="12"/>
      <c r="G328" s="12"/>
      <c r="H328" s="12"/>
      <c r="I328" s="12"/>
      <c r="J328" s="12"/>
      <c r="K328" s="12"/>
      <c r="L328" s="12"/>
      <c r="M328" s="12"/>
      <c r="N328" s="12"/>
      <c r="O328" s="12"/>
    </row>
    <row r="329" spans="3:15">
      <c r="C329" s="12"/>
      <c r="D329" s="12"/>
      <c r="E329" s="12"/>
      <c r="F329" s="12"/>
      <c r="G329" s="12"/>
      <c r="H329" s="12"/>
      <c r="I329" s="12"/>
      <c r="J329" s="12"/>
      <c r="K329" s="12"/>
      <c r="L329" s="12"/>
      <c r="M329" s="12"/>
      <c r="N329" s="12"/>
      <c r="O329" s="12"/>
    </row>
    <row r="330" spans="3:15">
      <c r="C330" s="12"/>
      <c r="D330" s="12"/>
      <c r="E330" s="12"/>
      <c r="F330" s="12"/>
      <c r="G330" s="12"/>
      <c r="H330" s="12"/>
      <c r="I330" s="12"/>
      <c r="J330" s="12"/>
      <c r="K330" s="12"/>
      <c r="L330" s="12"/>
      <c r="M330" s="12"/>
      <c r="N330" s="12"/>
      <c r="O330" s="12"/>
    </row>
    <row r="331" spans="3:15">
      <c r="C331" s="12"/>
      <c r="D331" s="12"/>
      <c r="E331" s="12"/>
      <c r="F331" s="12"/>
      <c r="G331" s="12"/>
      <c r="H331" s="12"/>
      <c r="I331" s="12"/>
      <c r="J331" s="12"/>
      <c r="K331" s="12"/>
      <c r="L331" s="12"/>
      <c r="M331" s="12"/>
      <c r="N331" s="12"/>
      <c r="O331" s="12"/>
    </row>
    <row r="332" spans="3:15">
      <c r="C332" s="12"/>
      <c r="D332" s="12"/>
      <c r="E332" s="12"/>
      <c r="F332" s="12"/>
      <c r="G332" s="12"/>
      <c r="H332" s="12"/>
      <c r="I332" s="12"/>
      <c r="J332" s="12"/>
      <c r="K332" s="12"/>
      <c r="L332" s="12"/>
      <c r="M332" s="12"/>
      <c r="N332" s="12"/>
      <c r="O332" s="12"/>
    </row>
    <row r="333" spans="3:15">
      <c r="C333" s="12"/>
      <c r="D333" s="12"/>
      <c r="E333" s="12"/>
      <c r="F333" s="12"/>
      <c r="G333" s="12"/>
      <c r="H333" s="12"/>
      <c r="I333" s="12"/>
      <c r="J333" s="12"/>
      <c r="K333" s="12"/>
      <c r="L333" s="12"/>
      <c r="M333" s="12"/>
      <c r="N333" s="12"/>
      <c r="O333" s="12"/>
    </row>
    <row r="334" spans="3:15">
      <c r="C334" s="12"/>
      <c r="D334" s="12"/>
      <c r="E334" s="12"/>
      <c r="F334" s="12"/>
      <c r="G334" s="12"/>
      <c r="H334" s="12"/>
      <c r="I334" s="12"/>
      <c r="J334" s="12"/>
      <c r="K334" s="12"/>
      <c r="L334" s="12"/>
      <c r="M334" s="12"/>
      <c r="N334" s="12"/>
      <c r="O334" s="12"/>
    </row>
    <row r="335" spans="3:15">
      <c r="C335" s="12"/>
      <c r="D335" s="12"/>
      <c r="E335" s="12"/>
      <c r="F335" s="12"/>
      <c r="G335" s="12"/>
      <c r="H335" s="12"/>
      <c r="I335" s="12"/>
      <c r="J335" s="12"/>
      <c r="K335" s="12"/>
      <c r="L335" s="12"/>
      <c r="M335" s="12"/>
      <c r="N335" s="12"/>
      <c r="O335" s="12"/>
    </row>
    <row r="336" spans="3:15">
      <c r="C336" s="12"/>
      <c r="D336" s="12"/>
      <c r="E336" s="12"/>
      <c r="F336" s="12"/>
      <c r="G336" s="12"/>
      <c r="H336" s="12"/>
      <c r="I336" s="12"/>
      <c r="J336" s="12"/>
      <c r="K336" s="12"/>
      <c r="L336" s="12"/>
      <c r="M336" s="12"/>
      <c r="N336" s="12"/>
      <c r="O336" s="12"/>
    </row>
    <row r="337" spans="3:15">
      <c r="C337" s="12"/>
      <c r="D337" s="12"/>
      <c r="E337" s="12"/>
      <c r="F337" s="12"/>
      <c r="G337" s="12"/>
      <c r="H337" s="12"/>
      <c r="I337" s="12"/>
      <c r="J337" s="12"/>
      <c r="K337" s="12"/>
      <c r="L337" s="12"/>
      <c r="M337" s="12"/>
      <c r="N337" s="12"/>
      <c r="O337" s="12"/>
    </row>
    <row r="338" spans="3:15">
      <c r="C338" s="12"/>
      <c r="D338" s="12"/>
      <c r="E338" s="12"/>
      <c r="F338" s="12"/>
      <c r="G338" s="12"/>
      <c r="H338" s="12"/>
      <c r="I338" s="12"/>
      <c r="J338" s="12"/>
      <c r="K338" s="12"/>
      <c r="L338" s="12"/>
      <c r="M338" s="12"/>
      <c r="N338" s="12"/>
      <c r="O338" s="12"/>
    </row>
    <row r="339" spans="3:15">
      <c r="C339" s="12"/>
      <c r="D339" s="12"/>
      <c r="E339" s="12"/>
      <c r="F339" s="12"/>
      <c r="G339" s="12"/>
      <c r="H339" s="12"/>
      <c r="I339" s="12"/>
      <c r="J339" s="12"/>
      <c r="K339" s="12"/>
      <c r="L339" s="12"/>
      <c r="M339" s="12"/>
      <c r="N339" s="12"/>
      <c r="O339" s="12"/>
    </row>
    <row r="340" spans="3:15">
      <c r="C340" s="12"/>
      <c r="D340" s="12"/>
      <c r="E340" s="12"/>
      <c r="F340" s="12"/>
      <c r="G340" s="12"/>
      <c r="H340" s="12"/>
      <c r="I340" s="12"/>
      <c r="J340" s="12"/>
      <c r="K340" s="12"/>
      <c r="L340" s="12"/>
      <c r="M340" s="12"/>
      <c r="N340" s="12"/>
      <c r="O340" s="12"/>
    </row>
    <row r="341" spans="3:15">
      <c r="C341" s="12"/>
      <c r="D341" s="12"/>
      <c r="E341" s="12"/>
      <c r="F341" s="12"/>
      <c r="G341" s="12"/>
      <c r="H341" s="12"/>
      <c r="I341" s="12"/>
      <c r="J341" s="12"/>
      <c r="K341" s="12"/>
      <c r="L341" s="12"/>
      <c r="M341" s="12"/>
      <c r="N341" s="12"/>
      <c r="O341" s="12"/>
    </row>
    <row r="342" spans="3:15">
      <c r="C342" s="12"/>
      <c r="D342" s="12"/>
      <c r="E342" s="12"/>
      <c r="F342" s="12"/>
      <c r="G342" s="12"/>
      <c r="H342" s="12"/>
      <c r="I342" s="12"/>
      <c r="J342" s="12"/>
      <c r="K342" s="12"/>
      <c r="L342" s="12"/>
      <c r="M342" s="12"/>
      <c r="N342" s="12"/>
      <c r="O342" s="12"/>
    </row>
    <row r="343" spans="3:15">
      <c r="C343" s="12"/>
      <c r="D343" s="12"/>
      <c r="E343" s="12"/>
      <c r="F343" s="12"/>
      <c r="G343" s="12"/>
      <c r="H343" s="12"/>
      <c r="I343" s="12"/>
      <c r="J343" s="12"/>
      <c r="K343" s="12"/>
      <c r="L343" s="12"/>
      <c r="M343" s="12"/>
      <c r="N343" s="12"/>
      <c r="O343" s="12"/>
    </row>
    <row r="344" spans="3:15">
      <c r="C344" s="12"/>
      <c r="D344" s="12"/>
      <c r="E344" s="12"/>
      <c r="F344" s="12"/>
      <c r="G344" s="12"/>
      <c r="H344" s="12"/>
      <c r="I344" s="12"/>
      <c r="J344" s="12"/>
      <c r="K344" s="12"/>
      <c r="L344" s="12"/>
      <c r="M344" s="12"/>
      <c r="N344" s="12"/>
      <c r="O344" s="12"/>
    </row>
    <row r="345" spans="3:15">
      <c r="C345" s="12"/>
      <c r="D345" s="12"/>
      <c r="E345" s="12"/>
      <c r="F345" s="12"/>
      <c r="G345" s="12"/>
      <c r="H345" s="12"/>
      <c r="I345" s="12"/>
      <c r="J345" s="12"/>
      <c r="K345" s="12"/>
      <c r="L345" s="12"/>
      <c r="M345" s="12"/>
      <c r="N345" s="12"/>
      <c r="O345" s="12"/>
    </row>
    <row r="346" spans="3:15">
      <c r="C346" s="12"/>
      <c r="D346" s="12"/>
      <c r="E346" s="12"/>
      <c r="F346" s="12"/>
      <c r="G346" s="12"/>
      <c r="H346" s="12"/>
      <c r="I346" s="12"/>
      <c r="J346" s="12"/>
      <c r="K346" s="12"/>
      <c r="L346" s="12"/>
      <c r="M346" s="12"/>
      <c r="N346" s="12"/>
      <c r="O346" s="12"/>
    </row>
    <row r="347" spans="3:15">
      <c r="C347" s="12"/>
      <c r="D347" s="12"/>
      <c r="E347" s="12"/>
      <c r="F347" s="12"/>
      <c r="G347" s="12"/>
      <c r="H347" s="12"/>
      <c r="I347" s="12"/>
      <c r="J347" s="12"/>
      <c r="K347" s="12"/>
      <c r="L347" s="12"/>
      <c r="M347" s="12"/>
      <c r="N347" s="12"/>
      <c r="O347" s="12"/>
    </row>
    <row r="348" spans="3:15">
      <c r="C348" s="12"/>
      <c r="D348" s="12"/>
      <c r="E348" s="12"/>
      <c r="F348" s="12"/>
      <c r="G348" s="12"/>
      <c r="H348" s="12"/>
      <c r="I348" s="12"/>
      <c r="J348" s="12"/>
      <c r="K348" s="12"/>
      <c r="L348" s="12"/>
      <c r="M348" s="12"/>
      <c r="N348" s="12"/>
      <c r="O348" s="12"/>
    </row>
    <row r="349" spans="3:15">
      <c r="C349" s="12"/>
      <c r="D349" s="12"/>
      <c r="E349" s="12"/>
      <c r="F349" s="12"/>
      <c r="G349" s="12"/>
      <c r="H349" s="12"/>
      <c r="I349" s="12"/>
      <c r="J349" s="12"/>
      <c r="K349" s="12"/>
      <c r="L349" s="12"/>
      <c r="M349" s="12"/>
      <c r="N349" s="12"/>
      <c r="O349" s="12"/>
    </row>
    <row r="350" spans="3:15">
      <c r="C350" s="12"/>
      <c r="D350" s="12"/>
      <c r="E350" s="12"/>
      <c r="F350" s="12"/>
      <c r="G350" s="12"/>
      <c r="H350" s="12"/>
      <c r="I350" s="12"/>
      <c r="J350" s="12"/>
      <c r="K350" s="12"/>
      <c r="L350" s="12"/>
      <c r="M350" s="12"/>
      <c r="N350" s="12"/>
      <c r="O350" s="12"/>
    </row>
    <row r="351" spans="3:15">
      <c r="C351" s="12"/>
      <c r="D351" s="12"/>
      <c r="E351" s="12"/>
      <c r="F351" s="12"/>
      <c r="G351" s="12"/>
      <c r="H351" s="12"/>
      <c r="I351" s="12"/>
      <c r="J351" s="12"/>
      <c r="K351" s="12"/>
      <c r="L351" s="12"/>
      <c r="M351" s="12"/>
      <c r="N351" s="12"/>
      <c r="O351" s="12"/>
    </row>
    <row r="352" spans="3:15">
      <c r="C352" s="12"/>
      <c r="D352" s="12"/>
      <c r="E352" s="12"/>
      <c r="F352" s="12"/>
      <c r="G352" s="12"/>
      <c r="H352" s="12"/>
      <c r="I352" s="12"/>
      <c r="J352" s="12"/>
      <c r="K352" s="12"/>
      <c r="L352" s="12"/>
      <c r="M352" s="12"/>
      <c r="N352" s="12"/>
      <c r="O352" s="12"/>
    </row>
    <row r="353" spans="3:15">
      <c r="C353" s="12"/>
      <c r="D353" s="12"/>
      <c r="E353" s="12"/>
      <c r="F353" s="12"/>
      <c r="G353" s="12"/>
      <c r="H353" s="12"/>
      <c r="I353" s="12"/>
      <c r="J353" s="12"/>
      <c r="K353" s="12"/>
      <c r="L353" s="12"/>
      <c r="M353" s="12"/>
      <c r="N353" s="12"/>
      <c r="O353" s="12"/>
    </row>
    <row r="354" spans="3:15">
      <c r="C354" s="12"/>
      <c r="D354" s="12"/>
      <c r="E354" s="12"/>
      <c r="F354" s="12"/>
      <c r="G354" s="12"/>
      <c r="H354" s="12"/>
      <c r="I354" s="12"/>
      <c r="J354" s="12"/>
      <c r="K354" s="12"/>
      <c r="L354" s="12"/>
      <c r="M354" s="12"/>
      <c r="N354" s="12"/>
      <c r="O354" s="12"/>
    </row>
    <row r="355" spans="3:15">
      <c r="C355" s="12"/>
      <c r="D355" s="12"/>
      <c r="E355" s="12"/>
      <c r="F355" s="12"/>
      <c r="G355" s="12"/>
      <c r="H355" s="12"/>
      <c r="I355" s="12"/>
      <c r="J355" s="12"/>
      <c r="K355" s="12"/>
      <c r="L355" s="12"/>
      <c r="M355" s="12"/>
      <c r="N355" s="12"/>
      <c r="O355" s="12"/>
    </row>
    <row r="356" spans="3:15">
      <c r="C356" s="12"/>
      <c r="D356" s="12"/>
      <c r="E356" s="12"/>
      <c r="F356" s="12"/>
      <c r="G356" s="12"/>
      <c r="H356" s="12"/>
      <c r="I356" s="12"/>
      <c r="J356" s="12"/>
      <c r="K356" s="12"/>
      <c r="L356" s="12"/>
      <c r="M356" s="12"/>
      <c r="N356" s="12"/>
      <c r="O356" s="12"/>
    </row>
    <row r="357" spans="3:15">
      <c r="C357" s="12"/>
      <c r="D357" s="12"/>
      <c r="E357" s="12"/>
      <c r="F357" s="12"/>
      <c r="G357" s="12"/>
      <c r="H357" s="12"/>
      <c r="I357" s="12"/>
      <c r="J357" s="12"/>
      <c r="K357" s="12"/>
      <c r="L357" s="12"/>
      <c r="M357" s="12"/>
      <c r="N357" s="12"/>
      <c r="O357" s="12"/>
    </row>
    <row r="358" spans="3:15">
      <c r="C358" s="12"/>
      <c r="D358" s="12"/>
      <c r="E358" s="12"/>
      <c r="F358" s="12"/>
      <c r="G358" s="12"/>
      <c r="H358" s="12"/>
      <c r="I358" s="12"/>
      <c r="J358" s="12"/>
      <c r="K358" s="12"/>
      <c r="L358" s="12"/>
      <c r="M358" s="12"/>
      <c r="N358" s="12"/>
      <c r="O358" s="12"/>
    </row>
    <row r="359" spans="3:15">
      <c r="C359" s="12"/>
      <c r="D359" s="12"/>
      <c r="E359" s="12"/>
      <c r="F359" s="12"/>
      <c r="G359" s="12"/>
      <c r="H359" s="12"/>
      <c r="I359" s="12"/>
      <c r="J359" s="12"/>
      <c r="K359" s="12"/>
      <c r="L359" s="12"/>
      <c r="M359" s="12"/>
      <c r="N359" s="12"/>
      <c r="O359" s="12"/>
    </row>
    <row r="360" spans="3:15">
      <c r="C360" s="12"/>
      <c r="D360" s="12"/>
      <c r="E360" s="12"/>
      <c r="F360" s="12"/>
      <c r="G360" s="12"/>
      <c r="H360" s="12"/>
      <c r="I360" s="12"/>
      <c r="J360" s="12"/>
      <c r="K360" s="12"/>
      <c r="L360" s="12"/>
      <c r="M360" s="12"/>
      <c r="N360" s="12"/>
      <c r="O360" s="12"/>
    </row>
    <row r="361" spans="3:15">
      <c r="C361" s="12"/>
      <c r="D361" s="12"/>
      <c r="E361" s="12"/>
      <c r="F361" s="12"/>
      <c r="G361" s="12"/>
      <c r="H361" s="12"/>
      <c r="I361" s="12"/>
      <c r="J361" s="12"/>
      <c r="K361" s="12"/>
      <c r="L361" s="12"/>
      <c r="M361" s="12"/>
      <c r="N361" s="12"/>
      <c r="O361" s="12"/>
    </row>
    <row r="362" spans="3:15">
      <c r="C362" s="12"/>
      <c r="D362" s="12"/>
      <c r="E362" s="12"/>
      <c r="F362" s="12"/>
      <c r="G362" s="12"/>
      <c r="H362" s="12"/>
      <c r="I362" s="12"/>
      <c r="J362" s="12"/>
      <c r="K362" s="12"/>
      <c r="L362" s="12"/>
      <c r="M362" s="12"/>
      <c r="N362" s="12"/>
      <c r="O362" s="12"/>
    </row>
    <row r="363" spans="3:15">
      <c r="C363" s="12"/>
      <c r="D363" s="12"/>
      <c r="E363" s="12"/>
      <c r="F363" s="12"/>
      <c r="G363" s="12"/>
      <c r="H363" s="12"/>
      <c r="I363" s="12"/>
      <c r="J363" s="12"/>
      <c r="K363" s="12"/>
      <c r="L363" s="12"/>
      <c r="M363" s="12"/>
      <c r="N363" s="12"/>
      <c r="O363" s="12"/>
    </row>
    <row r="364" spans="3:15">
      <c r="C364" s="12"/>
      <c r="D364" s="12"/>
      <c r="E364" s="12"/>
      <c r="F364" s="12"/>
      <c r="G364" s="12"/>
      <c r="H364" s="12"/>
      <c r="I364" s="12"/>
      <c r="J364" s="12"/>
      <c r="K364" s="12"/>
      <c r="L364" s="12"/>
      <c r="M364" s="12"/>
      <c r="N364" s="12"/>
      <c r="O364" s="12"/>
    </row>
    <row r="365" spans="3:15">
      <c r="C365" s="12"/>
      <c r="D365" s="12"/>
      <c r="E365" s="12"/>
      <c r="F365" s="12"/>
      <c r="G365" s="12"/>
      <c r="H365" s="12"/>
      <c r="I365" s="12"/>
      <c r="J365" s="12"/>
      <c r="K365" s="12"/>
      <c r="L365" s="12"/>
      <c r="M365" s="12"/>
      <c r="N365" s="12"/>
      <c r="O365" s="12"/>
    </row>
    <row r="366" spans="3:15">
      <c r="C366" s="12"/>
      <c r="D366" s="12"/>
      <c r="E366" s="12"/>
      <c r="F366" s="12"/>
      <c r="G366" s="12"/>
      <c r="H366" s="12"/>
      <c r="I366" s="12"/>
      <c r="J366" s="12"/>
      <c r="K366" s="12"/>
      <c r="L366" s="12"/>
      <c r="M366" s="12"/>
      <c r="N366" s="12"/>
      <c r="O366" s="12"/>
    </row>
    <row r="367" spans="3:15">
      <c r="C367" s="12"/>
      <c r="D367" s="12"/>
      <c r="E367" s="12"/>
      <c r="F367" s="12"/>
      <c r="G367" s="12"/>
      <c r="H367" s="12"/>
      <c r="I367" s="12"/>
      <c r="J367" s="12"/>
      <c r="K367" s="12"/>
      <c r="L367" s="12"/>
      <c r="M367" s="12"/>
      <c r="N367" s="12"/>
      <c r="O367" s="12"/>
    </row>
    <row r="368" spans="3:15">
      <c r="C368" s="12"/>
      <c r="D368" s="12"/>
      <c r="E368" s="12"/>
      <c r="F368" s="12"/>
      <c r="G368" s="12"/>
      <c r="H368" s="12"/>
      <c r="I368" s="12"/>
      <c r="J368" s="12"/>
      <c r="K368" s="12"/>
      <c r="L368" s="12"/>
      <c r="M368" s="12"/>
      <c r="N368" s="12"/>
      <c r="O368" s="12"/>
    </row>
    <row r="369" spans="3:15">
      <c r="C369" s="12"/>
      <c r="D369" s="12"/>
      <c r="E369" s="12"/>
      <c r="F369" s="12"/>
      <c r="G369" s="12"/>
      <c r="H369" s="12"/>
      <c r="I369" s="12"/>
      <c r="J369" s="12"/>
      <c r="K369" s="12"/>
      <c r="L369" s="12"/>
      <c r="M369" s="12"/>
      <c r="N369" s="12"/>
      <c r="O369" s="12"/>
    </row>
    <row r="370" spans="3:15">
      <c r="C370" s="12"/>
      <c r="D370" s="12"/>
      <c r="E370" s="12"/>
      <c r="F370" s="12"/>
      <c r="G370" s="12"/>
      <c r="H370" s="12"/>
      <c r="I370" s="12"/>
      <c r="J370" s="12"/>
      <c r="K370" s="12"/>
      <c r="L370" s="12"/>
      <c r="M370" s="12"/>
      <c r="N370" s="12"/>
      <c r="O370" s="12"/>
    </row>
    <row r="371" spans="3:15">
      <c r="C371" s="12"/>
      <c r="D371" s="12"/>
      <c r="E371" s="12"/>
      <c r="F371" s="12"/>
      <c r="G371" s="12"/>
      <c r="H371" s="12"/>
      <c r="I371" s="12"/>
      <c r="J371" s="12"/>
      <c r="K371" s="12"/>
      <c r="L371" s="12"/>
      <c r="M371" s="12"/>
      <c r="N371" s="12"/>
      <c r="O371" s="12"/>
    </row>
    <row r="372" spans="3:15">
      <c r="C372" s="12"/>
      <c r="D372" s="12"/>
      <c r="E372" s="12"/>
      <c r="F372" s="12"/>
      <c r="G372" s="12"/>
      <c r="H372" s="12"/>
      <c r="I372" s="12"/>
      <c r="J372" s="12"/>
      <c r="K372" s="12"/>
      <c r="L372" s="12"/>
      <c r="M372" s="12"/>
      <c r="N372" s="12"/>
      <c r="O372" s="12"/>
    </row>
    <row r="373" spans="3:15">
      <c r="C373" s="12"/>
      <c r="D373" s="12"/>
      <c r="E373" s="12"/>
      <c r="F373" s="12"/>
      <c r="G373" s="12"/>
      <c r="H373" s="12"/>
      <c r="I373" s="12"/>
      <c r="J373" s="12"/>
      <c r="K373" s="12"/>
      <c r="L373" s="12"/>
      <c r="M373" s="12"/>
      <c r="N373" s="12"/>
      <c r="O373" s="12"/>
    </row>
    <row r="374" spans="3:15">
      <c r="C374" s="12"/>
      <c r="D374" s="12"/>
      <c r="E374" s="12"/>
      <c r="F374" s="12"/>
      <c r="G374" s="12"/>
      <c r="H374" s="12"/>
      <c r="I374" s="12"/>
      <c r="J374" s="12"/>
      <c r="K374" s="12"/>
      <c r="L374" s="12"/>
      <c r="M374" s="12"/>
      <c r="N374" s="12"/>
      <c r="O374" s="12"/>
    </row>
    <row r="375" spans="3:15">
      <c r="C375" s="12"/>
      <c r="D375" s="12"/>
      <c r="E375" s="12"/>
      <c r="F375" s="12"/>
      <c r="G375" s="12"/>
      <c r="H375" s="12"/>
      <c r="I375" s="12"/>
      <c r="J375" s="12"/>
      <c r="K375" s="12"/>
      <c r="L375" s="12"/>
      <c r="M375" s="12"/>
      <c r="N375" s="12"/>
      <c r="O375" s="12"/>
    </row>
    <row r="376" spans="3:15">
      <c r="C376" s="12"/>
      <c r="D376" s="12"/>
      <c r="E376" s="12"/>
      <c r="F376" s="12"/>
      <c r="G376" s="12"/>
      <c r="H376" s="12"/>
      <c r="I376" s="12"/>
      <c r="J376" s="12"/>
      <c r="K376" s="12"/>
      <c r="L376" s="12"/>
      <c r="M376" s="12"/>
      <c r="N376" s="12"/>
      <c r="O376" s="12"/>
    </row>
    <row r="377" spans="3:15">
      <c r="C377" s="12"/>
      <c r="D377" s="12"/>
      <c r="E377" s="12"/>
      <c r="F377" s="12"/>
      <c r="G377" s="12"/>
      <c r="H377" s="12"/>
      <c r="I377" s="12"/>
      <c r="J377" s="12"/>
      <c r="K377" s="12"/>
      <c r="L377" s="12"/>
      <c r="M377" s="12"/>
      <c r="N377" s="12"/>
      <c r="O377" s="12"/>
    </row>
    <row r="378" spans="3:15">
      <c r="C378" s="12"/>
      <c r="D378" s="12"/>
      <c r="E378" s="12"/>
      <c r="F378" s="12"/>
      <c r="G378" s="12"/>
      <c r="H378" s="12"/>
      <c r="I378" s="12"/>
      <c r="J378" s="12"/>
      <c r="K378" s="12"/>
      <c r="L378" s="12"/>
      <c r="M378" s="12"/>
      <c r="N378" s="12"/>
      <c r="O378" s="12"/>
    </row>
    <row r="379" spans="3:15">
      <c r="C379" s="12"/>
      <c r="D379" s="12"/>
      <c r="E379" s="12"/>
      <c r="F379" s="12"/>
      <c r="G379" s="12"/>
      <c r="H379" s="12"/>
      <c r="I379" s="12"/>
      <c r="J379" s="12"/>
      <c r="K379" s="12"/>
      <c r="L379" s="12"/>
      <c r="M379" s="12"/>
      <c r="N379" s="12"/>
      <c r="O379" s="12"/>
    </row>
    <row r="380" spans="3:15">
      <c r="C380" s="12"/>
      <c r="D380" s="12"/>
      <c r="E380" s="12"/>
      <c r="F380" s="12"/>
      <c r="G380" s="12"/>
      <c r="H380" s="12"/>
      <c r="I380" s="12"/>
      <c r="J380" s="12"/>
      <c r="K380" s="12"/>
      <c r="L380" s="12"/>
      <c r="M380" s="12"/>
      <c r="N380" s="12"/>
      <c r="O380" s="12"/>
    </row>
    <row r="381" spans="3:15">
      <c r="C381" s="12"/>
      <c r="D381" s="12"/>
      <c r="E381" s="12"/>
      <c r="F381" s="12"/>
      <c r="G381" s="12"/>
      <c r="H381" s="12"/>
      <c r="I381" s="12"/>
      <c r="J381" s="12"/>
      <c r="K381" s="12"/>
      <c r="L381" s="12"/>
      <c r="M381" s="12"/>
      <c r="N381" s="12"/>
      <c r="O381" s="12"/>
    </row>
    <row r="382" spans="3:15">
      <c r="C382" s="12"/>
      <c r="D382" s="12"/>
      <c r="E382" s="12"/>
      <c r="F382" s="12"/>
      <c r="G382" s="12"/>
      <c r="H382" s="12"/>
      <c r="I382" s="12"/>
      <c r="J382" s="12"/>
      <c r="K382" s="12"/>
      <c r="L382" s="12"/>
      <c r="M382" s="12"/>
      <c r="N382" s="12"/>
      <c r="O382" s="12"/>
    </row>
    <row r="383" spans="3:15">
      <c r="C383" s="12"/>
      <c r="D383" s="12"/>
      <c r="E383" s="12"/>
      <c r="F383" s="12"/>
      <c r="G383" s="12"/>
      <c r="H383" s="12"/>
      <c r="I383" s="12"/>
      <c r="J383" s="12"/>
      <c r="K383" s="12"/>
      <c r="L383" s="12"/>
      <c r="M383" s="12"/>
      <c r="N383" s="12"/>
      <c r="O383" s="12"/>
    </row>
    <row r="384" spans="3:15">
      <c r="C384" s="12"/>
      <c r="D384" s="12"/>
      <c r="E384" s="12"/>
      <c r="F384" s="12"/>
      <c r="G384" s="12"/>
      <c r="H384" s="12"/>
      <c r="I384" s="12"/>
      <c r="J384" s="12"/>
      <c r="K384" s="12"/>
      <c r="L384" s="12"/>
      <c r="M384" s="12"/>
      <c r="N384" s="12"/>
      <c r="O384" s="12"/>
    </row>
    <row r="385" spans="3:15">
      <c r="C385" s="12"/>
      <c r="D385" s="12"/>
      <c r="E385" s="12"/>
      <c r="F385" s="12"/>
      <c r="G385" s="12"/>
      <c r="H385" s="12"/>
      <c r="I385" s="12"/>
      <c r="J385" s="12"/>
      <c r="K385" s="12"/>
      <c r="L385" s="12"/>
      <c r="M385" s="12"/>
      <c r="N385" s="12"/>
      <c r="O385" s="12"/>
    </row>
    <row r="386" spans="3:15">
      <c r="C386" s="12"/>
      <c r="D386" s="12"/>
      <c r="E386" s="12"/>
      <c r="F386" s="12"/>
      <c r="G386" s="12"/>
      <c r="H386" s="12"/>
      <c r="I386" s="12"/>
      <c r="J386" s="12"/>
      <c r="K386" s="12"/>
      <c r="L386" s="12"/>
      <c r="M386" s="12"/>
      <c r="N386" s="12"/>
      <c r="O386" s="12"/>
    </row>
    <row r="387" spans="3:15">
      <c r="C387" s="12"/>
      <c r="D387" s="12"/>
      <c r="E387" s="12"/>
      <c r="F387" s="12"/>
      <c r="G387" s="12"/>
      <c r="H387" s="12"/>
      <c r="I387" s="12"/>
      <c r="J387" s="12"/>
      <c r="K387" s="12"/>
      <c r="L387" s="12"/>
      <c r="M387" s="12"/>
      <c r="N387" s="12"/>
      <c r="O387" s="12"/>
    </row>
    <row r="388" spans="3:15">
      <c r="C388" s="12"/>
      <c r="D388" s="12"/>
      <c r="E388" s="12"/>
      <c r="F388" s="12"/>
      <c r="G388" s="12"/>
      <c r="H388" s="12"/>
      <c r="I388" s="12"/>
      <c r="J388" s="12"/>
      <c r="K388" s="12"/>
      <c r="L388" s="12"/>
      <c r="M388" s="12"/>
      <c r="N388" s="12"/>
      <c r="O388" s="12"/>
    </row>
    <row r="389" spans="3:15">
      <c r="C389" s="12"/>
      <c r="D389" s="12"/>
      <c r="E389" s="12"/>
      <c r="F389" s="12"/>
      <c r="G389" s="12"/>
      <c r="H389" s="12"/>
      <c r="I389" s="12"/>
      <c r="J389" s="12"/>
      <c r="K389" s="12"/>
      <c r="L389" s="12"/>
      <c r="M389" s="12"/>
      <c r="N389" s="12"/>
      <c r="O389" s="12"/>
    </row>
    <row r="390" spans="3:15">
      <c r="C390" s="12"/>
      <c r="D390" s="12"/>
      <c r="E390" s="12"/>
      <c r="F390" s="12"/>
      <c r="G390" s="12"/>
      <c r="H390" s="12"/>
      <c r="I390" s="12"/>
      <c r="J390" s="12"/>
      <c r="K390" s="12"/>
      <c r="L390" s="12"/>
      <c r="M390" s="12"/>
      <c r="N390" s="12"/>
      <c r="O390" s="12"/>
    </row>
    <row r="391" spans="3:15">
      <c r="C391" s="12"/>
      <c r="D391" s="12"/>
      <c r="E391" s="12"/>
      <c r="F391" s="12"/>
      <c r="G391" s="12"/>
      <c r="H391" s="12"/>
      <c r="I391" s="12"/>
      <c r="J391" s="12"/>
      <c r="K391" s="12"/>
      <c r="L391" s="12"/>
      <c r="M391" s="12"/>
      <c r="N391" s="12"/>
      <c r="O391" s="12"/>
    </row>
    <row r="392" spans="3:15">
      <c r="C392" s="12"/>
      <c r="D392" s="12"/>
      <c r="E392" s="12"/>
      <c r="F392" s="12"/>
      <c r="G392" s="12"/>
      <c r="H392" s="12"/>
      <c r="I392" s="12"/>
      <c r="J392" s="12"/>
      <c r="K392" s="12"/>
      <c r="L392" s="12"/>
      <c r="M392" s="12"/>
      <c r="N392" s="12"/>
      <c r="O392" s="12"/>
    </row>
    <row r="393" spans="3:15">
      <c r="C393" s="12"/>
      <c r="D393" s="12"/>
      <c r="E393" s="12"/>
      <c r="F393" s="12"/>
      <c r="G393" s="12"/>
      <c r="H393" s="12"/>
      <c r="I393" s="12"/>
      <c r="J393" s="12"/>
      <c r="K393" s="12"/>
      <c r="L393" s="12"/>
      <c r="M393" s="12"/>
      <c r="N393" s="12"/>
      <c r="O393" s="12"/>
    </row>
    <row r="394" spans="3:15">
      <c r="C394" s="12"/>
      <c r="D394" s="12"/>
      <c r="E394" s="12"/>
      <c r="F394" s="12"/>
      <c r="G394" s="12"/>
      <c r="H394" s="12"/>
      <c r="I394" s="12"/>
      <c r="J394" s="12"/>
      <c r="K394" s="12"/>
      <c r="L394" s="12"/>
      <c r="M394" s="12"/>
      <c r="N394" s="12"/>
      <c r="O394" s="12"/>
    </row>
    <row r="395" spans="3:15">
      <c r="C395" s="12"/>
      <c r="D395" s="12"/>
      <c r="E395" s="12"/>
      <c r="F395" s="12"/>
      <c r="G395" s="12"/>
      <c r="H395" s="12"/>
      <c r="I395" s="12"/>
      <c r="J395" s="12"/>
      <c r="K395" s="12"/>
      <c r="L395" s="12"/>
      <c r="M395" s="12"/>
      <c r="N395" s="12"/>
      <c r="O395" s="12"/>
    </row>
    <row r="396" spans="3:15">
      <c r="C396" s="12"/>
      <c r="D396" s="12"/>
      <c r="E396" s="12"/>
      <c r="F396" s="12"/>
      <c r="G396" s="12"/>
      <c r="H396" s="12"/>
      <c r="I396" s="12"/>
      <c r="J396" s="12"/>
      <c r="K396" s="12"/>
      <c r="L396" s="12"/>
      <c r="M396" s="12"/>
      <c r="N396" s="12"/>
      <c r="O396" s="12"/>
    </row>
    <row r="397" spans="3:15">
      <c r="C397" s="12"/>
      <c r="D397" s="12"/>
      <c r="E397" s="12"/>
      <c r="F397" s="12"/>
      <c r="G397" s="12"/>
      <c r="H397" s="12"/>
      <c r="I397" s="12"/>
      <c r="J397" s="12"/>
      <c r="K397" s="12"/>
      <c r="L397" s="12"/>
      <c r="M397" s="12"/>
      <c r="N397" s="12"/>
      <c r="O397" s="12"/>
    </row>
    <row r="398" spans="3:15">
      <c r="C398" s="12"/>
      <c r="D398" s="12"/>
      <c r="E398" s="12"/>
      <c r="F398" s="12"/>
      <c r="G398" s="12"/>
      <c r="H398" s="12"/>
      <c r="I398" s="12"/>
      <c r="J398" s="12"/>
      <c r="K398" s="12"/>
      <c r="L398" s="12"/>
      <c r="M398" s="12"/>
      <c r="N398" s="12"/>
      <c r="O398" s="12"/>
    </row>
    <row r="399" spans="3:15">
      <c r="C399" s="12"/>
      <c r="D399" s="12"/>
      <c r="E399" s="12"/>
      <c r="F399" s="12"/>
      <c r="G399" s="12"/>
      <c r="H399" s="12"/>
      <c r="I399" s="12"/>
      <c r="J399" s="12"/>
      <c r="K399" s="12"/>
      <c r="L399" s="12"/>
      <c r="M399" s="12"/>
      <c r="N399" s="12"/>
      <c r="O399" s="12"/>
    </row>
    <row r="400" spans="3:15">
      <c r="C400" s="12"/>
      <c r="D400" s="12"/>
      <c r="E400" s="12"/>
      <c r="F400" s="12"/>
      <c r="G400" s="12"/>
      <c r="H400" s="12"/>
      <c r="I400" s="12"/>
      <c r="J400" s="12"/>
      <c r="K400" s="12"/>
      <c r="L400" s="12"/>
      <c r="M400" s="12"/>
      <c r="N400" s="12"/>
      <c r="O400" s="12"/>
    </row>
    <row r="401" spans="3:15">
      <c r="C401" s="12"/>
      <c r="D401" s="12"/>
      <c r="E401" s="12"/>
      <c r="F401" s="12"/>
      <c r="G401" s="12"/>
      <c r="H401" s="12"/>
      <c r="I401" s="12"/>
      <c r="J401" s="12"/>
      <c r="K401" s="12"/>
      <c r="L401" s="12"/>
      <c r="M401" s="12"/>
      <c r="N401" s="12"/>
      <c r="O401" s="12"/>
    </row>
    <row r="402" spans="3:15">
      <c r="C402" s="12"/>
      <c r="D402" s="12"/>
      <c r="E402" s="12"/>
      <c r="F402" s="12"/>
      <c r="G402" s="12"/>
      <c r="H402" s="12"/>
      <c r="I402" s="12"/>
      <c r="J402" s="12"/>
      <c r="K402" s="12"/>
      <c r="L402" s="12"/>
      <c r="M402" s="12"/>
      <c r="N402" s="12"/>
      <c r="O402" s="12"/>
    </row>
    <row r="403" spans="3:15">
      <c r="C403" s="12"/>
      <c r="D403" s="12"/>
      <c r="E403" s="12"/>
      <c r="F403" s="12"/>
      <c r="G403" s="12"/>
      <c r="H403" s="12"/>
      <c r="I403" s="12"/>
      <c r="J403" s="12"/>
      <c r="K403" s="12"/>
      <c r="L403" s="12"/>
      <c r="M403" s="12"/>
      <c r="N403" s="12"/>
      <c r="O403" s="12"/>
    </row>
    <row r="404" spans="3:15">
      <c r="C404" s="12"/>
      <c r="D404" s="12"/>
      <c r="E404" s="12"/>
      <c r="F404" s="12"/>
      <c r="G404" s="12"/>
      <c r="H404" s="12"/>
      <c r="I404" s="12"/>
      <c r="J404" s="12"/>
      <c r="K404" s="12"/>
      <c r="L404" s="12"/>
      <c r="M404" s="12"/>
      <c r="N404" s="12"/>
      <c r="O404" s="12"/>
    </row>
    <row r="405" spans="3:15">
      <c r="C405" s="12"/>
      <c r="D405" s="12"/>
      <c r="E405" s="12"/>
      <c r="F405" s="12"/>
      <c r="G405" s="12"/>
      <c r="H405" s="12"/>
      <c r="I405" s="12"/>
      <c r="J405" s="12"/>
      <c r="K405" s="12"/>
      <c r="L405" s="12"/>
      <c r="M405" s="12"/>
      <c r="N405" s="12"/>
      <c r="O405" s="12"/>
    </row>
    <row r="406" spans="3:15">
      <c r="C406" s="12"/>
      <c r="D406" s="12"/>
      <c r="E406" s="12"/>
      <c r="F406" s="12"/>
      <c r="G406" s="12"/>
      <c r="H406" s="12"/>
      <c r="I406" s="12"/>
      <c r="J406" s="12"/>
      <c r="K406" s="12"/>
      <c r="L406" s="12"/>
      <c r="M406" s="12"/>
      <c r="N406" s="12"/>
      <c r="O406" s="12"/>
    </row>
    <row r="407" spans="3:15">
      <c r="C407" s="12"/>
      <c r="D407" s="12"/>
      <c r="E407" s="12"/>
      <c r="F407" s="12"/>
      <c r="G407" s="12"/>
      <c r="H407" s="12"/>
      <c r="I407" s="12"/>
      <c r="J407" s="12"/>
      <c r="K407" s="12"/>
      <c r="L407" s="12"/>
      <c r="M407" s="12"/>
      <c r="N407" s="12"/>
      <c r="O407" s="12"/>
    </row>
    <row r="408" spans="3:15">
      <c r="C408" s="12"/>
      <c r="D408" s="12"/>
      <c r="E408" s="12"/>
      <c r="F408" s="12"/>
      <c r="G408" s="12"/>
      <c r="H408" s="12"/>
      <c r="I408" s="12"/>
      <c r="J408" s="12"/>
      <c r="K408" s="12"/>
      <c r="L408" s="12"/>
      <c r="M408" s="12"/>
      <c r="N408" s="12"/>
      <c r="O408" s="12"/>
    </row>
    <row r="409" spans="3:15">
      <c r="C409" s="12"/>
      <c r="D409" s="12"/>
      <c r="E409" s="12"/>
      <c r="F409" s="12"/>
      <c r="G409" s="12"/>
      <c r="H409" s="12"/>
      <c r="I409" s="12"/>
      <c r="J409" s="12"/>
      <c r="K409" s="12"/>
      <c r="L409" s="12"/>
      <c r="M409" s="12"/>
      <c r="N409" s="12"/>
      <c r="O409" s="12"/>
    </row>
    <row r="410" spans="3:15">
      <c r="C410" s="12"/>
      <c r="D410" s="12"/>
      <c r="E410" s="12"/>
      <c r="F410" s="12"/>
      <c r="G410" s="12"/>
      <c r="H410" s="12"/>
      <c r="I410" s="12"/>
      <c r="J410" s="12"/>
      <c r="K410" s="12"/>
      <c r="L410" s="12"/>
      <c r="M410" s="12"/>
      <c r="N410" s="12"/>
      <c r="O410" s="12"/>
    </row>
    <row r="411" spans="3:15">
      <c r="C411" s="12"/>
      <c r="D411" s="12"/>
      <c r="E411" s="12"/>
      <c r="F411" s="12"/>
      <c r="G411" s="12"/>
      <c r="H411" s="12"/>
      <c r="I411" s="12"/>
      <c r="J411" s="12"/>
      <c r="K411" s="12"/>
      <c r="L411" s="12"/>
      <c r="M411" s="12"/>
      <c r="N411" s="12"/>
      <c r="O411" s="12"/>
    </row>
    <row r="412" spans="3:15">
      <c r="C412" s="12"/>
      <c r="D412" s="12"/>
      <c r="E412" s="12"/>
      <c r="F412" s="12"/>
      <c r="G412" s="12"/>
      <c r="H412" s="12"/>
      <c r="I412" s="12"/>
      <c r="J412" s="12"/>
      <c r="K412" s="12"/>
      <c r="L412" s="12"/>
      <c r="M412" s="12"/>
      <c r="N412" s="12"/>
      <c r="O412" s="12"/>
    </row>
    <row r="413" spans="3:15">
      <c r="C413" s="12"/>
      <c r="D413" s="12"/>
      <c r="E413" s="12"/>
      <c r="F413" s="12"/>
      <c r="G413" s="12"/>
      <c r="H413" s="12"/>
      <c r="I413" s="12"/>
      <c r="J413" s="12"/>
      <c r="K413" s="12"/>
      <c r="L413" s="12"/>
      <c r="M413" s="12"/>
      <c r="N413" s="12"/>
      <c r="O413" s="12"/>
    </row>
    <row r="414" spans="3:15">
      <c r="C414" s="12"/>
      <c r="D414" s="12"/>
      <c r="E414" s="12"/>
      <c r="F414" s="12"/>
      <c r="G414" s="12"/>
      <c r="H414" s="12"/>
      <c r="I414" s="12"/>
      <c r="J414" s="12"/>
      <c r="K414" s="12"/>
      <c r="L414" s="12"/>
      <c r="M414" s="12"/>
      <c r="N414" s="12"/>
      <c r="O414" s="12"/>
    </row>
    <row r="415" spans="3:15">
      <c r="C415" s="12"/>
      <c r="D415" s="12"/>
      <c r="E415" s="12"/>
      <c r="F415" s="12"/>
      <c r="G415" s="12"/>
      <c r="H415" s="12"/>
      <c r="I415" s="12"/>
      <c r="J415" s="12"/>
      <c r="K415" s="12"/>
      <c r="L415" s="12"/>
      <c r="M415" s="12"/>
      <c r="N415" s="12"/>
      <c r="O415" s="12"/>
    </row>
    <row r="416" spans="3:15">
      <c r="C416" s="12"/>
      <c r="D416" s="12"/>
      <c r="E416" s="12"/>
      <c r="F416" s="12"/>
      <c r="G416" s="12"/>
      <c r="H416" s="12"/>
      <c r="I416" s="12"/>
      <c r="J416" s="12"/>
      <c r="K416" s="12"/>
      <c r="L416" s="12"/>
      <c r="M416" s="12"/>
      <c r="N416" s="12"/>
      <c r="O416" s="12"/>
    </row>
    <row r="417" spans="3:15">
      <c r="C417" s="12"/>
      <c r="D417" s="12"/>
      <c r="E417" s="12"/>
      <c r="F417" s="12"/>
      <c r="G417" s="12"/>
      <c r="H417" s="12"/>
      <c r="I417" s="12"/>
      <c r="J417" s="12"/>
      <c r="K417" s="12"/>
      <c r="L417" s="12"/>
      <c r="M417" s="12"/>
      <c r="N417" s="12"/>
      <c r="O417" s="12"/>
    </row>
    <row r="418" spans="3:15">
      <c r="C418" s="12"/>
      <c r="D418" s="12"/>
      <c r="E418" s="12"/>
      <c r="F418" s="12"/>
      <c r="G418" s="12"/>
      <c r="H418" s="12"/>
      <c r="I418" s="12"/>
      <c r="J418" s="12"/>
      <c r="K418" s="12"/>
      <c r="L418" s="12"/>
      <c r="M418" s="12"/>
      <c r="N418" s="12"/>
      <c r="O418" s="12"/>
    </row>
    <row r="419" spans="3:15">
      <c r="C419" s="12"/>
      <c r="D419" s="12"/>
      <c r="E419" s="12"/>
      <c r="F419" s="12"/>
      <c r="G419" s="12"/>
      <c r="H419" s="12"/>
      <c r="I419" s="12"/>
      <c r="J419" s="12"/>
      <c r="K419" s="12"/>
      <c r="L419" s="12"/>
      <c r="M419" s="12"/>
      <c r="N419" s="12"/>
      <c r="O419" s="12"/>
    </row>
    <row r="420" spans="3:15">
      <c r="C420" s="12"/>
      <c r="D420" s="12"/>
      <c r="E420" s="12"/>
      <c r="F420" s="12"/>
      <c r="G420" s="12"/>
      <c r="H420" s="12"/>
      <c r="I420" s="12"/>
      <c r="J420" s="12"/>
      <c r="K420" s="12"/>
      <c r="L420" s="12"/>
      <c r="M420" s="12"/>
      <c r="N420" s="12"/>
      <c r="O420" s="12"/>
    </row>
    <row r="421" spans="3:15">
      <c r="C421" s="12"/>
      <c r="D421" s="12"/>
      <c r="E421" s="12"/>
      <c r="F421" s="12"/>
      <c r="G421" s="12"/>
      <c r="H421" s="12"/>
      <c r="I421" s="12"/>
      <c r="J421" s="12"/>
      <c r="K421" s="12"/>
      <c r="L421" s="12"/>
      <c r="M421" s="12"/>
      <c r="N421" s="12"/>
      <c r="O421" s="12"/>
    </row>
    <row r="422" spans="3:15">
      <c r="C422" s="12"/>
      <c r="D422" s="12"/>
      <c r="E422" s="12"/>
      <c r="F422" s="12"/>
      <c r="G422" s="12"/>
      <c r="H422" s="12"/>
      <c r="I422" s="12"/>
      <c r="J422" s="12"/>
      <c r="K422" s="12"/>
      <c r="L422" s="12"/>
      <c r="M422" s="12"/>
      <c r="N422" s="12"/>
      <c r="O422" s="12"/>
    </row>
    <row r="423" spans="3:15">
      <c r="C423" s="12"/>
      <c r="D423" s="12"/>
      <c r="E423" s="12"/>
      <c r="F423" s="12"/>
      <c r="G423" s="12"/>
      <c r="H423" s="12"/>
      <c r="I423" s="12"/>
      <c r="J423" s="12"/>
      <c r="K423" s="12"/>
      <c r="L423" s="12"/>
      <c r="M423" s="12"/>
      <c r="N423" s="12"/>
      <c r="O423" s="12"/>
    </row>
    <row r="424" spans="3:15">
      <c r="C424" s="12"/>
      <c r="D424" s="12"/>
      <c r="E424" s="12"/>
      <c r="F424" s="12"/>
      <c r="G424" s="12"/>
      <c r="H424" s="12"/>
      <c r="I424" s="12"/>
      <c r="J424" s="12"/>
      <c r="K424" s="12"/>
      <c r="L424" s="12"/>
      <c r="M424" s="12"/>
      <c r="N424" s="12"/>
      <c r="O424" s="12"/>
    </row>
    <row r="425" spans="3:15">
      <c r="C425" s="12"/>
      <c r="D425" s="12"/>
      <c r="E425" s="12"/>
      <c r="F425" s="12"/>
      <c r="G425" s="12"/>
      <c r="H425" s="12"/>
      <c r="I425" s="12"/>
      <c r="J425" s="12"/>
      <c r="K425" s="12"/>
      <c r="L425" s="12"/>
      <c r="M425" s="12"/>
      <c r="N425" s="12"/>
      <c r="O425" s="12"/>
    </row>
    <row r="426" spans="3:15">
      <c r="C426" s="12"/>
      <c r="D426" s="12"/>
      <c r="E426" s="12"/>
      <c r="F426" s="12"/>
      <c r="G426" s="12"/>
      <c r="H426" s="12"/>
      <c r="I426" s="12"/>
      <c r="J426" s="12"/>
      <c r="K426" s="12"/>
      <c r="L426" s="12"/>
      <c r="M426" s="12"/>
      <c r="N426" s="12"/>
      <c r="O426" s="12"/>
    </row>
    <row r="427" spans="3:15">
      <c r="C427" s="12"/>
      <c r="D427" s="12"/>
      <c r="E427" s="12"/>
      <c r="F427" s="12"/>
      <c r="G427" s="12"/>
      <c r="H427" s="12"/>
      <c r="I427" s="12"/>
      <c r="J427" s="12"/>
      <c r="K427" s="12"/>
      <c r="L427" s="12"/>
      <c r="M427" s="12"/>
      <c r="N427" s="12"/>
      <c r="O427" s="12"/>
    </row>
    <row r="428" spans="3:15">
      <c r="C428" s="12"/>
      <c r="D428" s="12"/>
      <c r="E428" s="12"/>
      <c r="F428" s="12"/>
      <c r="G428" s="12"/>
      <c r="H428" s="12"/>
      <c r="I428" s="12"/>
      <c r="J428" s="12"/>
      <c r="K428" s="12"/>
      <c r="L428" s="12"/>
      <c r="M428" s="12"/>
      <c r="N428" s="12"/>
      <c r="O428" s="12"/>
    </row>
    <row r="429" spans="3:15">
      <c r="C429" s="12"/>
      <c r="D429" s="12"/>
      <c r="E429" s="12"/>
      <c r="F429" s="12"/>
      <c r="G429" s="12"/>
      <c r="H429" s="12"/>
      <c r="I429" s="12"/>
      <c r="J429" s="12"/>
      <c r="K429" s="12"/>
      <c r="L429" s="12"/>
      <c r="M429" s="12"/>
      <c r="N429" s="12"/>
      <c r="O429" s="12"/>
    </row>
    <row r="430" spans="3:15">
      <c r="C430" s="12"/>
      <c r="D430" s="12"/>
      <c r="E430" s="12"/>
      <c r="F430" s="12"/>
      <c r="G430" s="12"/>
      <c r="H430" s="12"/>
      <c r="I430" s="12"/>
      <c r="J430" s="12"/>
      <c r="K430" s="12"/>
      <c r="L430" s="12"/>
      <c r="M430" s="12"/>
      <c r="N430" s="12"/>
      <c r="O430" s="12"/>
    </row>
    <row r="431" spans="3:15">
      <c r="C431" s="12"/>
      <c r="D431" s="12"/>
      <c r="E431" s="12"/>
      <c r="F431" s="12"/>
      <c r="G431" s="12"/>
      <c r="H431" s="12"/>
      <c r="I431" s="12"/>
      <c r="J431" s="12"/>
      <c r="K431" s="12"/>
      <c r="L431" s="12"/>
      <c r="M431" s="12"/>
      <c r="N431" s="12"/>
      <c r="O431" s="12"/>
    </row>
    <row r="432" spans="3:15">
      <c r="C432" s="12"/>
      <c r="D432" s="12"/>
      <c r="E432" s="12"/>
      <c r="F432" s="12"/>
      <c r="G432" s="12"/>
      <c r="H432" s="12"/>
      <c r="I432" s="12"/>
      <c r="J432" s="12"/>
      <c r="K432" s="12"/>
      <c r="L432" s="12"/>
      <c r="M432" s="12"/>
      <c r="N432" s="12"/>
      <c r="O432" s="12"/>
    </row>
    <row r="433" spans="3:15">
      <c r="C433" s="12"/>
      <c r="D433" s="12"/>
      <c r="E433" s="12"/>
      <c r="F433" s="12"/>
      <c r="G433" s="12"/>
      <c r="H433" s="12"/>
      <c r="I433" s="12"/>
      <c r="J433" s="12"/>
      <c r="K433" s="12"/>
      <c r="L433" s="12"/>
      <c r="M433" s="12"/>
      <c r="N433" s="12"/>
      <c r="O433" s="12"/>
    </row>
    <row r="434" spans="3:15">
      <c r="C434" s="12"/>
      <c r="D434" s="12"/>
      <c r="E434" s="12"/>
      <c r="F434" s="12"/>
      <c r="G434" s="12"/>
      <c r="H434" s="12"/>
      <c r="I434" s="12"/>
      <c r="J434" s="12"/>
      <c r="K434" s="12"/>
      <c r="L434" s="12"/>
      <c r="M434" s="12"/>
      <c r="N434" s="12"/>
      <c r="O434" s="12"/>
    </row>
    <row r="435" spans="3:15">
      <c r="C435" s="12"/>
      <c r="D435" s="12"/>
      <c r="E435" s="12"/>
      <c r="F435" s="12"/>
      <c r="G435" s="12"/>
      <c r="H435" s="12"/>
      <c r="I435" s="12"/>
      <c r="J435" s="12"/>
      <c r="K435" s="12"/>
      <c r="L435" s="12"/>
      <c r="M435" s="12"/>
      <c r="N435" s="12"/>
      <c r="O435" s="12"/>
    </row>
    <row r="436" spans="3:15">
      <c r="C436" s="12"/>
      <c r="D436" s="12"/>
      <c r="E436" s="12"/>
      <c r="F436" s="12"/>
      <c r="G436" s="12"/>
      <c r="H436" s="12"/>
      <c r="I436" s="12"/>
      <c r="J436" s="12"/>
      <c r="K436" s="12"/>
      <c r="L436" s="12"/>
      <c r="M436" s="12"/>
      <c r="N436" s="12"/>
      <c r="O436" s="12"/>
    </row>
    <row r="437" spans="3:15">
      <c r="C437" s="12"/>
      <c r="D437" s="12"/>
      <c r="E437" s="12"/>
      <c r="F437" s="12"/>
      <c r="G437" s="12"/>
      <c r="H437" s="12"/>
      <c r="I437" s="12"/>
      <c r="J437" s="12"/>
      <c r="K437" s="12"/>
      <c r="L437" s="12"/>
      <c r="M437" s="12"/>
      <c r="N437" s="12"/>
      <c r="O437" s="12"/>
    </row>
    <row r="438" spans="3:15">
      <c r="C438" s="12"/>
      <c r="D438" s="12"/>
      <c r="E438" s="12"/>
      <c r="F438" s="12"/>
      <c r="G438" s="12"/>
      <c r="H438" s="12"/>
      <c r="I438" s="12"/>
      <c r="J438" s="12"/>
      <c r="K438" s="12"/>
      <c r="L438" s="12"/>
      <c r="M438" s="12"/>
      <c r="N438" s="12"/>
      <c r="O438" s="12"/>
    </row>
    <row r="439" spans="3:15">
      <c r="C439" s="12"/>
      <c r="D439" s="12"/>
      <c r="E439" s="12"/>
      <c r="F439" s="12"/>
      <c r="G439" s="12"/>
      <c r="H439" s="12"/>
      <c r="I439" s="12"/>
      <c r="J439" s="12"/>
      <c r="K439" s="12"/>
      <c r="L439" s="12"/>
      <c r="M439" s="12"/>
      <c r="N439" s="12"/>
      <c r="O439" s="12"/>
    </row>
    <row r="440" spans="3:15">
      <c r="C440" s="12"/>
      <c r="D440" s="12"/>
      <c r="E440" s="12"/>
      <c r="F440" s="12"/>
      <c r="G440" s="12"/>
      <c r="H440" s="12"/>
      <c r="I440" s="12"/>
      <c r="J440" s="12"/>
      <c r="K440" s="12"/>
      <c r="L440" s="12"/>
      <c r="M440" s="12"/>
      <c r="N440" s="12"/>
      <c r="O440" s="12"/>
    </row>
    <row r="441" spans="3:15">
      <c r="C441" s="12"/>
      <c r="D441" s="12"/>
      <c r="E441" s="12"/>
      <c r="F441" s="12"/>
      <c r="G441" s="12"/>
      <c r="H441" s="12"/>
      <c r="I441" s="12"/>
      <c r="J441" s="12"/>
      <c r="K441" s="12"/>
      <c r="L441" s="12"/>
      <c r="M441" s="12"/>
      <c r="N441" s="12"/>
      <c r="O441" s="12"/>
    </row>
    <row r="442" spans="3:15">
      <c r="C442" s="12"/>
      <c r="D442" s="12"/>
      <c r="E442" s="12"/>
      <c r="F442" s="12"/>
      <c r="G442" s="12"/>
      <c r="H442" s="12"/>
      <c r="I442" s="12"/>
      <c r="J442" s="12"/>
      <c r="K442" s="12"/>
      <c r="L442" s="12"/>
      <c r="M442" s="12"/>
      <c r="N442" s="12"/>
      <c r="O442" s="12"/>
    </row>
    <row r="443" spans="3:15">
      <c r="C443" s="12"/>
      <c r="D443" s="12"/>
      <c r="E443" s="12"/>
      <c r="F443" s="12"/>
      <c r="G443" s="12"/>
      <c r="H443" s="12"/>
      <c r="I443" s="12"/>
      <c r="J443" s="12"/>
      <c r="K443" s="12"/>
      <c r="L443" s="12"/>
      <c r="M443" s="12"/>
      <c r="N443" s="12"/>
      <c r="O443" s="12"/>
    </row>
    <row r="444" spans="3:15">
      <c r="C444" s="12"/>
      <c r="D444" s="12"/>
      <c r="E444" s="12"/>
      <c r="F444" s="12"/>
      <c r="G444" s="12"/>
      <c r="H444" s="12"/>
      <c r="I444" s="12"/>
      <c r="J444" s="12"/>
      <c r="K444" s="12"/>
      <c r="L444" s="12"/>
      <c r="M444" s="12"/>
      <c r="N444" s="12"/>
      <c r="O444" s="12"/>
    </row>
    <row r="445" spans="3:15">
      <c r="C445" s="12"/>
      <c r="D445" s="12"/>
      <c r="E445" s="12"/>
      <c r="F445" s="12"/>
      <c r="G445" s="12"/>
      <c r="H445" s="12"/>
      <c r="I445" s="12"/>
      <c r="J445" s="12"/>
      <c r="K445" s="12"/>
      <c r="L445" s="12"/>
      <c r="M445" s="12"/>
      <c r="N445" s="12"/>
      <c r="O445" s="12"/>
    </row>
    <row r="446" spans="3:15">
      <c r="C446" s="12"/>
      <c r="D446" s="12"/>
      <c r="E446" s="12"/>
      <c r="F446" s="12"/>
      <c r="G446" s="12"/>
      <c r="H446" s="12"/>
      <c r="I446" s="12"/>
      <c r="J446" s="12"/>
      <c r="K446" s="12"/>
      <c r="L446" s="12"/>
      <c r="M446" s="12"/>
      <c r="N446" s="12"/>
      <c r="O446" s="12"/>
    </row>
    <row r="447" spans="3:15">
      <c r="C447" s="12"/>
      <c r="D447" s="12"/>
      <c r="E447" s="12"/>
      <c r="F447" s="12"/>
      <c r="G447" s="12"/>
      <c r="H447" s="12"/>
      <c r="I447" s="12"/>
      <c r="J447" s="12"/>
      <c r="K447" s="12"/>
      <c r="L447" s="12"/>
      <c r="M447" s="12"/>
      <c r="N447" s="12"/>
      <c r="O447" s="12"/>
    </row>
    <row r="448" spans="3:15">
      <c r="C448" s="12"/>
      <c r="D448" s="12"/>
      <c r="E448" s="12"/>
      <c r="F448" s="12"/>
      <c r="G448" s="12"/>
      <c r="H448" s="12"/>
      <c r="I448" s="12"/>
      <c r="J448" s="12"/>
      <c r="K448" s="12"/>
      <c r="L448" s="12"/>
      <c r="M448" s="12"/>
      <c r="N448" s="12"/>
      <c r="O448" s="12"/>
    </row>
    <row r="449" spans="3:15">
      <c r="C449" s="12"/>
      <c r="D449" s="12"/>
      <c r="E449" s="12"/>
      <c r="F449" s="12"/>
      <c r="G449" s="12"/>
      <c r="H449" s="12"/>
      <c r="I449" s="12"/>
      <c r="J449" s="12"/>
      <c r="K449" s="12"/>
      <c r="L449" s="12"/>
      <c r="M449" s="12"/>
      <c r="N449" s="12"/>
      <c r="O449" s="12"/>
    </row>
    <row r="450" spans="3:15">
      <c r="C450" s="12"/>
      <c r="D450" s="12"/>
      <c r="E450" s="12"/>
      <c r="F450" s="12"/>
      <c r="G450" s="12"/>
      <c r="H450" s="12"/>
      <c r="I450" s="12"/>
      <c r="J450" s="12"/>
      <c r="K450" s="12"/>
      <c r="L450" s="12"/>
      <c r="M450" s="12"/>
      <c r="N450" s="12"/>
      <c r="O450" s="12"/>
    </row>
    <row r="451" spans="3:15">
      <c r="C451" s="12"/>
      <c r="D451" s="12"/>
      <c r="E451" s="12"/>
      <c r="F451" s="12"/>
      <c r="G451" s="12"/>
      <c r="H451" s="12"/>
      <c r="I451" s="12"/>
      <c r="J451" s="12"/>
      <c r="K451" s="12"/>
      <c r="L451" s="12"/>
      <c r="M451" s="12"/>
      <c r="N451" s="12"/>
      <c r="O451" s="12"/>
    </row>
    <row r="452" spans="3:15">
      <c r="C452" s="12"/>
      <c r="D452" s="12"/>
      <c r="E452" s="12"/>
      <c r="F452" s="12"/>
      <c r="G452" s="12"/>
      <c r="H452" s="12"/>
      <c r="I452" s="12"/>
      <c r="J452" s="12"/>
      <c r="K452" s="12"/>
      <c r="L452" s="12"/>
      <c r="M452" s="12"/>
      <c r="N452" s="12"/>
      <c r="O452" s="12"/>
    </row>
    <row r="453" spans="3:15">
      <c r="C453" s="12"/>
      <c r="D453" s="12"/>
      <c r="E453" s="12"/>
      <c r="F453" s="12"/>
      <c r="G453" s="12"/>
      <c r="H453" s="12"/>
      <c r="I453" s="12"/>
      <c r="J453" s="12"/>
      <c r="K453" s="12"/>
      <c r="L453" s="12"/>
      <c r="M453" s="12"/>
      <c r="N453" s="12"/>
      <c r="O453" s="12"/>
    </row>
    <row r="454" spans="3:15">
      <c r="C454" s="12"/>
      <c r="D454" s="12"/>
      <c r="E454" s="12"/>
      <c r="F454" s="12"/>
      <c r="G454" s="12"/>
      <c r="H454" s="12"/>
      <c r="I454" s="12"/>
      <c r="J454" s="12"/>
      <c r="K454" s="12"/>
      <c r="L454" s="12"/>
      <c r="M454" s="12"/>
      <c r="N454" s="12"/>
      <c r="O454" s="12"/>
    </row>
    <row r="455" spans="3:15">
      <c r="C455" s="12"/>
      <c r="D455" s="12"/>
      <c r="E455" s="12"/>
      <c r="F455" s="12"/>
      <c r="G455" s="12"/>
      <c r="H455" s="12"/>
      <c r="I455" s="12"/>
      <c r="J455" s="12"/>
      <c r="K455" s="12"/>
      <c r="L455" s="12"/>
      <c r="M455" s="12"/>
      <c r="N455" s="12"/>
      <c r="O455" s="12"/>
    </row>
    <row r="456" spans="3:15">
      <c r="C456" s="12"/>
      <c r="D456" s="12"/>
      <c r="E456" s="12"/>
      <c r="F456" s="12"/>
      <c r="G456" s="12"/>
      <c r="H456" s="12"/>
      <c r="I456" s="12"/>
      <c r="J456" s="12"/>
      <c r="K456" s="12"/>
      <c r="L456" s="12"/>
      <c r="M456" s="12"/>
      <c r="N456" s="12"/>
      <c r="O456" s="12"/>
    </row>
    <row r="457" spans="3:15">
      <c r="C457" s="12"/>
      <c r="D457" s="12"/>
      <c r="E457" s="12"/>
      <c r="F457" s="12"/>
      <c r="G457" s="12"/>
      <c r="H457" s="12"/>
      <c r="I457" s="12"/>
      <c r="J457" s="12"/>
      <c r="K457" s="12"/>
      <c r="L457" s="12"/>
      <c r="M457" s="12"/>
      <c r="N457" s="12"/>
      <c r="O457" s="12"/>
    </row>
    <row r="458" spans="3:15">
      <c r="C458" s="12"/>
      <c r="D458" s="12"/>
      <c r="E458" s="12"/>
      <c r="F458" s="12"/>
      <c r="G458" s="12"/>
      <c r="H458" s="12"/>
      <c r="I458" s="12"/>
      <c r="J458" s="12"/>
      <c r="K458" s="12"/>
      <c r="L458" s="12"/>
      <c r="M458" s="12"/>
      <c r="N458" s="12"/>
      <c r="O458" s="12"/>
    </row>
    <row r="459" spans="3:15">
      <c r="C459" s="12"/>
      <c r="D459" s="12"/>
      <c r="E459" s="12"/>
      <c r="F459" s="12"/>
      <c r="G459" s="12"/>
      <c r="H459" s="12"/>
      <c r="I459" s="12"/>
      <c r="J459" s="12"/>
      <c r="K459" s="12"/>
      <c r="L459" s="12"/>
      <c r="M459" s="12"/>
      <c r="N459" s="12"/>
      <c r="O459" s="12"/>
    </row>
    <row r="460" spans="3:15">
      <c r="C460" s="12"/>
      <c r="D460" s="12"/>
      <c r="E460" s="12"/>
      <c r="F460" s="12"/>
      <c r="G460" s="12"/>
      <c r="H460" s="12"/>
      <c r="I460" s="12"/>
      <c r="J460" s="12"/>
      <c r="K460" s="12"/>
      <c r="L460" s="12"/>
      <c r="M460" s="12"/>
      <c r="N460" s="12"/>
      <c r="O460" s="12"/>
    </row>
    <row r="461" spans="3:15">
      <c r="C461" s="12"/>
      <c r="D461" s="12"/>
      <c r="E461" s="12"/>
      <c r="F461" s="12"/>
      <c r="G461" s="12"/>
      <c r="H461" s="12"/>
      <c r="I461" s="12"/>
      <c r="J461" s="12"/>
      <c r="K461" s="12"/>
      <c r="L461" s="12"/>
      <c r="M461" s="12"/>
      <c r="N461" s="12"/>
      <c r="O461" s="12"/>
    </row>
    <row r="462" spans="3:15">
      <c r="C462" s="12"/>
      <c r="D462" s="12"/>
      <c r="E462" s="12"/>
      <c r="F462" s="12"/>
      <c r="G462" s="12"/>
      <c r="H462" s="12"/>
      <c r="I462" s="12"/>
      <c r="J462" s="12"/>
      <c r="K462" s="12"/>
      <c r="L462" s="12"/>
      <c r="M462" s="12"/>
      <c r="N462" s="12"/>
      <c r="O462" s="12"/>
    </row>
    <row r="463" spans="3:15">
      <c r="C463" s="12"/>
      <c r="D463" s="12"/>
      <c r="E463" s="12"/>
      <c r="F463" s="12"/>
      <c r="G463" s="12"/>
      <c r="H463" s="12"/>
      <c r="I463" s="12"/>
      <c r="J463" s="12"/>
      <c r="K463" s="12"/>
      <c r="L463" s="12"/>
      <c r="M463" s="12"/>
      <c r="N463" s="12"/>
      <c r="O463" s="12"/>
    </row>
    <row r="464" spans="3:15">
      <c r="C464" s="12"/>
      <c r="D464" s="12"/>
      <c r="E464" s="12"/>
      <c r="F464" s="12"/>
      <c r="G464" s="12"/>
      <c r="H464" s="12"/>
      <c r="I464" s="12"/>
      <c r="J464" s="12"/>
      <c r="K464" s="12"/>
      <c r="L464" s="12"/>
      <c r="M464" s="12"/>
      <c r="N464" s="12"/>
      <c r="O464" s="12"/>
    </row>
    <row r="465" spans="3:15">
      <c r="C465" s="12"/>
      <c r="D465" s="12"/>
      <c r="E465" s="12"/>
      <c r="F465" s="12"/>
      <c r="G465" s="12"/>
      <c r="H465" s="12"/>
      <c r="I465" s="12"/>
      <c r="J465" s="12"/>
      <c r="K465" s="12"/>
      <c r="L465" s="12"/>
      <c r="M465" s="12"/>
      <c r="N465" s="12"/>
      <c r="O465" s="12"/>
    </row>
    <row r="466" spans="3:15">
      <c r="C466" s="12"/>
      <c r="D466" s="12"/>
      <c r="E466" s="12"/>
      <c r="F466" s="12"/>
      <c r="G466" s="12"/>
      <c r="H466" s="12"/>
      <c r="I466" s="12"/>
      <c r="J466" s="12"/>
      <c r="K466" s="12"/>
      <c r="L466" s="12"/>
      <c r="M466" s="12"/>
      <c r="N466" s="12"/>
      <c r="O466" s="12"/>
    </row>
    <row r="467" spans="3:15">
      <c r="C467" s="12"/>
      <c r="D467" s="12"/>
      <c r="E467" s="12"/>
      <c r="F467" s="12"/>
      <c r="G467" s="12"/>
      <c r="H467" s="12"/>
      <c r="I467" s="12"/>
      <c r="J467" s="12"/>
      <c r="K467" s="12"/>
      <c r="L467" s="12"/>
      <c r="M467" s="12"/>
      <c r="N467" s="12"/>
      <c r="O467" s="12"/>
    </row>
    <row r="468" spans="3:15">
      <c r="C468" s="12"/>
      <c r="D468" s="12"/>
      <c r="E468" s="12"/>
      <c r="F468" s="12"/>
      <c r="G468" s="12"/>
      <c r="H468" s="12"/>
      <c r="I468" s="12"/>
      <c r="J468" s="12"/>
      <c r="K468" s="12"/>
      <c r="L468" s="12"/>
      <c r="M468" s="12"/>
      <c r="N468" s="12"/>
      <c r="O468" s="12"/>
    </row>
    <row r="469" spans="3:15">
      <c r="C469" s="12"/>
      <c r="D469" s="12"/>
      <c r="E469" s="12"/>
      <c r="F469" s="12"/>
      <c r="G469" s="12"/>
      <c r="H469" s="12"/>
      <c r="I469" s="12"/>
      <c r="J469" s="12"/>
      <c r="K469" s="12"/>
      <c r="L469" s="12"/>
      <c r="M469" s="12"/>
      <c r="N469" s="12"/>
      <c r="O469" s="12"/>
    </row>
    <row r="470" spans="3:15">
      <c r="C470" s="12"/>
      <c r="D470" s="12"/>
      <c r="E470" s="12"/>
      <c r="F470" s="12"/>
      <c r="G470" s="12"/>
      <c r="H470" s="12"/>
      <c r="I470" s="12"/>
      <c r="J470" s="12"/>
      <c r="K470" s="12"/>
      <c r="L470" s="12"/>
      <c r="M470" s="12"/>
      <c r="N470" s="12"/>
      <c r="O470" s="12"/>
    </row>
    <row r="471" spans="3:15">
      <c r="C471" s="12"/>
      <c r="D471" s="12"/>
      <c r="E471" s="12"/>
      <c r="F471" s="12"/>
      <c r="G471" s="12"/>
      <c r="H471" s="12"/>
      <c r="I471" s="12"/>
      <c r="J471" s="12"/>
      <c r="K471" s="12"/>
      <c r="L471" s="12"/>
      <c r="M471" s="12"/>
      <c r="N471" s="12"/>
      <c r="O471" s="12"/>
    </row>
    <row r="472" spans="3:15">
      <c r="C472" s="12"/>
      <c r="D472" s="12"/>
      <c r="E472" s="12"/>
      <c r="F472" s="12"/>
      <c r="G472" s="12"/>
      <c r="H472" s="12"/>
      <c r="I472" s="12"/>
      <c r="J472" s="12"/>
      <c r="K472" s="12"/>
      <c r="L472" s="12"/>
      <c r="M472" s="12"/>
      <c r="N472" s="12"/>
      <c r="O472" s="12"/>
    </row>
    <row r="473" spans="3:15">
      <c r="C473" s="12"/>
      <c r="D473" s="12"/>
      <c r="E473" s="12"/>
      <c r="F473" s="12"/>
      <c r="G473" s="12"/>
      <c r="H473" s="12"/>
      <c r="I473" s="12"/>
      <c r="J473" s="12"/>
      <c r="K473" s="12"/>
      <c r="L473" s="12"/>
      <c r="M473" s="12"/>
      <c r="N473" s="12"/>
      <c r="O473" s="12"/>
    </row>
    <row r="474" spans="3:15">
      <c r="C474" s="12"/>
      <c r="D474" s="12"/>
      <c r="E474" s="12"/>
      <c r="F474" s="12"/>
      <c r="G474" s="12"/>
      <c r="H474" s="12"/>
      <c r="I474" s="12"/>
      <c r="J474" s="12"/>
      <c r="K474" s="12"/>
      <c r="L474" s="12"/>
      <c r="M474" s="12"/>
      <c r="N474" s="12"/>
      <c r="O474" s="12"/>
    </row>
    <row r="475" spans="3:15">
      <c r="C475" s="12"/>
      <c r="D475" s="12"/>
      <c r="E475" s="12"/>
      <c r="F475" s="12"/>
      <c r="G475" s="12"/>
      <c r="H475" s="12"/>
      <c r="I475" s="12"/>
      <c r="J475" s="12"/>
      <c r="K475" s="12"/>
      <c r="L475" s="12"/>
      <c r="M475" s="12"/>
      <c r="N475" s="12"/>
      <c r="O475" s="12"/>
    </row>
    <row r="476" spans="3:15">
      <c r="C476" s="12"/>
      <c r="D476" s="12"/>
      <c r="E476" s="12"/>
      <c r="F476" s="12"/>
      <c r="G476" s="12"/>
      <c r="H476" s="12"/>
      <c r="I476" s="12"/>
      <c r="J476" s="12"/>
      <c r="K476" s="12"/>
      <c r="L476" s="12"/>
      <c r="M476" s="12"/>
      <c r="N476" s="12"/>
      <c r="O476" s="12"/>
    </row>
    <row r="477" spans="3:15">
      <c r="C477" s="12"/>
      <c r="D477" s="12"/>
      <c r="E477" s="12"/>
      <c r="F477" s="12"/>
      <c r="G477" s="12"/>
      <c r="H477" s="12"/>
      <c r="I477" s="12"/>
      <c r="J477" s="12"/>
      <c r="K477" s="12"/>
      <c r="L477" s="12"/>
      <c r="M477" s="12"/>
      <c r="N477" s="12"/>
      <c r="O477" s="12"/>
    </row>
    <row r="478" spans="3:15">
      <c r="C478" s="12"/>
      <c r="D478" s="12"/>
      <c r="E478" s="12"/>
      <c r="F478" s="12"/>
      <c r="G478" s="12"/>
      <c r="H478" s="12"/>
      <c r="I478" s="12"/>
      <c r="J478" s="12"/>
      <c r="K478" s="12"/>
      <c r="L478" s="12"/>
      <c r="M478" s="12"/>
      <c r="N478" s="12"/>
      <c r="O478" s="12"/>
    </row>
    <row r="479" spans="3:15">
      <c r="C479" s="12"/>
      <c r="D479" s="12"/>
      <c r="E479" s="12"/>
      <c r="F479" s="12"/>
      <c r="G479" s="12"/>
      <c r="H479" s="12"/>
      <c r="I479" s="12"/>
      <c r="J479" s="12"/>
      <c r="K479" s="12"/>
      <c r="L479" s="12"/>
      <c r="M479" s="12"/>
      <c r="N479" s="12"/>
      <c r="O479" s="12"/>
    </row>
    <row r="480" spans="3:15">
      <c r="C480" s="12"/>
      <c r="D480" s="12"/>
      <c r="E480" s="12"/>
      <c r="F480" s="12"/>
      <c r="G480" s="12"/>
      <c r="H480" s="12"/>
      <c r="I480" s="12"/>
      <c r="J480" s="12"/>
      <c r="K480" s="12"/>
      <c r="L480" s="12"/>
      <c r="M480" s="12"/>
      <c r="N480" s="12"/>
      <c r="O480" s="12"/>
    </row>
    <row r="481" spans="3:15">
      <c r="C481" s="12"/>
      <c r="D481" s="12"/>
      <c r="E481" s="12"/>
      <c r="F481" s="12"/>
      <c r="G481" s="12"/>
      <c r="H481" s="12"/>
      <c r="I481" s="12"/>
      <c r="J481" s="12"/>
      <c r="K481" s="12"/>
      <c r="L481" s="12"/>
      <c r="M481" s="12"/>
      <c r="N481" s="12"/>
      <c r="O481" s="12"/>
    </row>
    <row r="482" spans="3:15">
      <c r="C482" s="12"/>
      <c r="D482" s="12"/>
      <c r="E482" s="12"/>
      <c r="F482" s="12"/>
      <c r="G482" s="12"/>
      <c r="H482" s="12"/>
      <c r="I482" s="12"/>
      <c r="J482" s="12"/>
      <c r="K482" s="12"/>
      <c r="L482" s="12"/>
      <c r="M482" s="12"/>
      <c r="N482" s="12"/>
      <c r="O482" s="12"/>
    </row>
    <row r="483" spans="3:15">
      <c r="C483" s="12"/>
      <c r="D483" s="12"/>
      <c r="E483" s="12"/>
      <c r="F483" s="12"/>
      <c r="G483" s="12"/>
      <c r="H483" s="12"/>
      <c r="I483" s="12"/>
      <c r="J483" s="12"/>
      <c r="K483" s="12"/>
      <c r="L483" s="12"/>
      <c r="M483" s="12"/>
      <c r="N483" s="12"/>
      <c r="O483" s="12"/>
    </row>
    <row r="484" spans="3:15">
      <c r="C484" s="12"/>
      <c r="D484" s="12"/>
      <c r="E484" s="12"/>
      <c r="F484" s="12"/>
      <c r="G484" s="12"/>
      <c r="H484" s="12"/>
      <c r="I484" s="12"/>
      <c r="J484" s="12"/>
      <c r="K484" s="12"/>
      <c r="L484" s="12"/>
      <c r="M484" s="12"/>
      <c r="N484" s="12"/>
      <c r="O484" s="12"/>
    </row>
    <row r="485" spans="3:15">
      <c r="C485" s="12"/>
      <c r="D485" s="12"/>
      <c r="E485" s="12"/>
      <c r="F485" s="12"/>
      <c r="G485" s="12"/>
      <c r="H485" s="12"/>
      <c r="I485" s="12"/>
      <c r="J485" s="12"/>
      <c r="K485" s="12"/>
      <c r="L485" s="12"/>
      <c r="M485" s="12"/>
      <c r="N485" s="12"/>
      <c r="O485" s="12"/>
    </row>
    <row r="486" spans="3:15">
      <c r="C486" s="12"/>
      <c r="D486" s="12"/>
      <c r="E486" s="12"/>
      <c r="F486" s="12"/>
      <c r="G486" s="12"/>
      <c r="H486" s="12"/>
      <c r="I486" s="12"/>
      <c r="J486" s="12"/>
      <c r="K486" s="12"/>
      <c r="L486" s="12"/>
      <c r="M486" s="12"/>
      <c r="N486" s="12"/>
      <c r="O486" s="12"/>
    </row>
    <row r="487" spans="3:15">
      <c r="C487" s="12"/>
      <c r="D487" s="12"/>
      <c r="E487" s="12"/>
      <c r="F487" s="12"/>
      <c r="G487" s="12"/>
      <c r="H487" s="12"/>
      <c r="I487" s="12"/>
      <c r="J487" s="12"/>
      <c r="K487" s="12"/>
      <c r="L487" s="12"/>
      <c r="M487" s="12"/>
      <c r="N487" s="12"/>
      <c r="O487" s="12"/>
    </row>
    <row r="488" spans="3:15">
      <c r="C488" s="12"/>
      <c r="D488" s="12"/>
      <c r="E488" s="12"/>
      <c r="F488" s="12"/>
      <c r="G488" s="12"/>
      <c r="H488" s="12"/>
      <c r="I488" s="12"/>
      <c r="J488" s="12"/>
      <c r="K488" s="12"/>
      <c r="L488" s="12"/>
      <c r="M488" s="12"/>
      <c r="N488" s="12"/>
      <c r="O488" s="12"/>
    </row>
    <row r="489" spans="3:15">
      <c r="C489" s="12"/>
      <c r="D489" s="12"/>
      <c r="E489" s="12"/>
      <c r="F489" s="12"/>
      <c r="G489" s="12"/>
      <c r="H489" s="12"/>
      <c r="I489" s="12"/>
      <c r="J489" s="12"/>
      <c r="K489" s="12"/>
      <c r="L489" s="12"/>
      <c r="M489" s="12"/>
      <c r="N489" s="12"/>
      <c r="O489" s="12"/>
    </row>
    <row r="490" spans="3:15">
      <c r="C490" s="12"/>
      <c r="D490" s="12"/>
      <c r="E490" s="12"/>
      <c r="F490" s="12"/>
      <c r="G490" s="12"/>
      <c r="H490" s="12"/>
      <c r="I490" s="12"/>
      <c r="J490" s="12"/>
      <c r="K490" s="12"/>
      <c r="L490" s="12"/>
      <c r="M490" s="12"/>
      <c r="N490" s="12"/>
      <c r="O490" s="12"/>
    </row>
    <row r="491" spans="3:15">
      <c r="C491" s="12"/>
      <c r="D491" s="12"/>
      <c r="E491" s="12"/>
      <c r="F491" s="12"/>
      <c r="G491" s="12"/>
      <c r="H491" s="12"/>
      <c r="I491" s="12"/>
      <c r="J491" s="12"/>
      <c r="K491" s="12"/>
      <c r="L491" s="12"/>
      <c r="M491" s="12"/>
      <c r="N491" s="12"/>
      <c r="O491" s="12"/>
    </row>
    <row r="492" spans="3:15">
      <c r="C492" s="12"/>
      <c r="D492" s="12"/>
      <c r="E492" s="12"/>
      <c r="F492" s="12"/>
      <c r="G492" s="12"/>
      <c r="H492" s="12"/>
      <c r="I492" s="12"/>
      <c r="J492" s="12"/>
      <c r="K492" s="12"/>
      <c r="L492" s="12"/>
      <c r="M492" s="12"/>
      <c r="N492" s="12"/>
      <c r="O492" s="12"/>
    </row>
    <row r="493" spans="3:15">
      <c r="C493" s="12"/>
      <c r="D493" s="12"/>
      <c r="E493" s="12"/>
      <c r="F493" s="12"/>
      <c r="G493" s="12"/>
      <c r="H493" s="12"/>
      <c r="I493" s="12"/>
      <c r="J493" s="12"/>
      <c r="K493" s="12"/>
      <c r="L493" s="12"/>
      <c r="M493" s="12"/>
      <c r="N493" s="12"/>
      <c r="O493" s="12"/>
    </row>
    <row r="494" spans="3:15">
      <c r="C494" s="12"/>
      <c r="D494" s="12"/>
      <c r="E494" s="12"/>
      <c r="F494" s="12"/>
      <c r="G494" s="12"/>
      <c r="H494" s="12"/>
      <c r="I494" s="12"/>
      <c r="J494" s="12"/>
      <c r="K494" s="12"/>
      <c r="L494" s="12"/>
      <c r="M494" s="12"/>
      <c r="N494" s="12"/>
      <c r="O494" s="12"/>
    </row>
    <row r="495" spans="3:15">
      <c r="C495" s="12"/>
      <c r="D495" s="12"/>
      <c r="E495" s="12"/>
      <c r="F495" s="12"/>
      <c r="G495" s="12"/>
      <c r="H495" s="12"/>
      <c r="I495" s="12"/>
      <c r="J495" s="12"/>
      <c r="K495" s="12"/>
      <c r="L495" s="12"/>
      <c r="M495" s="12"/>
      <c r="N495" s="12"/>
      <c r="O495" s="12"/>
    </row>
    <row r="496" spans="3:15">
      <c r="C496" s="12"/>
      <c r="D496" s="12"/>
      <c r="E496" s="12"/>
      <c r="F496" s="12"/>
      <c r="G496" s="12"/>
      <c r="H496" s="12"/>
      <c r="I496" s="12"/>
      <c r="J496" s="12"/>
      <c r="K496" s="12"/>
      <c r="L496" s="12"/>
      <c r="M496" s="12"/>
      <c r="N496" s="12"/>
      <c r="O496" s="12"/>
    </row>
    <row r="497" spans="3:15">
      <c r="C497" s="12"/>
      <c r="D497" s="12"/>
      <c r="E497" s="12"/>
      <c r="F497" s="12"/>
      <c r="G497" s="12"/>
      <c r="H497" s="12"/>
      <c r="I497" s="12"/>
      <c r="J497" s="12"/>
      <c r="K497" s="12"/>
      <c r="L497" s="12"/>
      <c r="M497" s="12"/>
      <c r="N497" s="12"/>
      <c r="O497" s="12"/>
    </row>
    <row r="498" spans="3:15">
      <c r="C498" s="12"/>
      <c r="D498" s="12"/>
      <c r="E498" s="12"/>
      <c r="F498" s="12"/>
      <c r="G498" s="12"/>
      <c r="H498" s="12"/>
      <c r="I498" s="12"/>
      <c r="J498" s="12"/>
      <c r="K498" s="12"/>
      <c r="L498" s="12"/>
      <c r="M498" s="12"/>
      <c r="N498" s="12"/>
      <c r="O498" s="12"/>
    </row>
    <row r="499" spans="3:15">
      <c r="C499" s="12"/>
      <c r="D499" s="12"/>
      <c r="E499" s="12"/>
      <c r="F499" s="12"/>
      <c r="G499" s="12"/>
      <c r="H499" s="12"/>
      <c r="I499" s="12"/>
      <c r="J499" s="12"/>
      <c r="K499" s="12"/>
      <c r="L499" s="12"/>
      <c r="M499" s="12"/>
      <c r="N499" s="12"/>
      <c r="O499" s="12"/>
    </row>
    <row r="500" spans="3:15">
      <c r="C500" s="12"/>
      <c r="D500" s="12"/>
      <c r="E500" s="12"/>
      <c r="F500" s="12"/>
      <c r="G500" s="12"/>
      <c r="H500" s="12"/>
      <c r="I500" s="12"/>
      <c r="J500" s="12"/>
      <c r="K500" s="12"/>
      <c r="L500" s="12"/>
      <c r="M500" s="12"/>
      <c r="N500" s="12"/>
      <c r="O500" s="12"/>
    </row>
    <row r="501" spans="3:15">
      <c r="C501" s="12"/>
      <c r="D501" s="12"/>
      <c r="E501" s="12"/>
      <c r="F501" s="12"/>
      <c r="G501" s="12"/>
      <c r="H501" s="12"/>
      <c r="I501" s="12"/>
      <c r="J501" s="12"/>
      <c r="K501" s="12"/>
      <c r="L501" s="12"/>
      <c r="M501" s="12"/>
      <c r="N501" s="12"/>
      <c r="O501" s="12"/>
    </row>
    <row r="502" spans="3:15">
      <c r="C502" s="12"/>
      <c r="D502" s="12"/>
      <c r="E502" s="12"/>
      <c r="F502" s="12"/>
      <c r="G502" s="12"/>
      <c r="H502" s="12"/>
      <c r="I502" s="12"/>
      <c r="J502" s="12"/>
      <c r="K502" s="12"/>
      <c r="L502" s="12"/>
      <c r="M502" s="12"/>
      <c r="N502" s="12"/>
      <c r="O502" s="12"/>
    </row>
    <row r="503" spans="3:15">
      <c r="C503" s="12"/>
      <c r="D503" s="12"/>
      <c r="E503" s="12"/>
      <c r="F503" s="12"/>
      <c r="G503" s="12"/>
      <c r="H503" s="12"/>
      <c r="I503" s="12"/>
      <c r="J503" s="12"/>
      <c r="K503" s="12"/>
      <c r="L503" s="12"/>
      <c r="M503" s="12"/>
      <c r="N503" s="12"/>
      <c r="O503" s="12"/>
    </row>
    <row r="504" spans="3:15">
      <c r="C504" s="12"/>
      <c r="D504" s="12"/>
      <c r="E504" s="12"/>
      <c r="F504" s="12"/>
      <c r="G504" s="12"/>
      <c r="H504" s="12"/>
      <c r="I504" s="12"/>
      <c r="J504" s="12"/>
      <c r="K504" s="12"/>
      <c r="L504" s="12"/>
      <c r="M504" s="12"/>
      <c r="N504" s="12"/>
      <c r="O504" s="12"/>
    </row>
    <row r="505" spans="3:15">
      <c r="C505" s="12"/>
      <c r="D505" s="12"/>
      <c r="E505" s="12"/>
      <c r="F505" s="12"/>
      <c r="G505" s="12"/>
      <c r="H505" s="12"/>
      <c r="I505" s="12"/>
      <c r="J505" s="12"/>
      <c r="K505" s="12"/>
      <c r="L505" s="12"/>
      <c r="M505" s="12"/>
      <c r="N505" s="12"/>
      <c r="O505" s="12"/>
    </row>
    <row r="506" spans="3:15">
      <c r="C506" s="12"/>
      <c r="D506" s="12"/>
      <c r="E506" s="12"/>
      <c r="F506" s="12"/>
      <c r="G506" s="12"/>
      <c r="H506" s="12"/>
      <c r="I506" s="12"/>
      <c r="J506" s="12"/>
      <c r="K506" s="12"/>
      <c r="L506" s="12"/>
      <c r="M506" s="12"/>
      <c r="N506" s="12"/>
      <c r="O506" s="12"/>
    </row>
    <row r="507" spans="3:15">
      <c r="C507" s="12"/>
      <c r="D507" s="12"/>
      <c r="E507" s="12"/>
      <c r="F507" s="12"/>
      <c r="G507" s="12"/>
      <c r="H507" s="12"/>
      <c r="I507" s="12"/>
      <c r="J507" s="12"/>
      <c r="K507" s="12"/>
      <c r="L507" s="12"/>
      <c r="M507" s="12"/>
      <c r="N507" s="12"/>
      <c r="O507" s="12"/>
    </row>
    <row r="508" spans="3:15">
      <c r="C508" s="12"/>
      <c r="D508" s="12"/>
      <c r="E508" s="12"/>
      <c r="F508" s="12"/>
      <c r="G508" s="12"/>
      <c r="H508" s="12"/>
      <c r="I508" s="12"/>
      <c r="J508" s="12"/>
      <c r="K508" s="12"/>
      <c r="L508" s="12"/>
      <c r="M508" s="12"/>
      <c r="N508" s="12"/>
      <c r="O508" s="12"/>
    </row>
    <row r="509" spans="3:15">
      <c r="C509" s="12"/>
      <c r="D509" s="12"/>
      <c r="E509" s="12"/>
      <c r="F509" s="12"/>
      <c r="G509" s="12"/>
      <c r="H509" s="12"/>
      <c r="I509" s="12"/>
      <c r="J509" s="12"/>
      <c r="K509" s="12"/>
      <c r="L509" s="12"/>
      <c r="M509" s="12"/>
      <c r="N509" s="12"/>
      <c r="O509" s="12"/>
    </row>
    <row r="510" spans="3:15">
      <c r="C510" s="12"/>
      <c r="D510" s="12"/>
      <c r="E510" s="12"/>
      <c r="F510" s="12"/>
      <c r="G510" s="12"/>
      <c r="H510" s="12"/>
      <c r="I510" s="12"/>
      <c r="J510" s="12"/>
      <c r="K510" s="12"/>
      <c r="L510" s="12"/>
      <c r="M510" s="12"/>
      <c r="N510" s="12"/>
      <c r="O510" s="12"/>
    </row>
    <row r="511" spans="3:15">
      <c r="C511" s="12"/>
      <c r="D511" s="12"/>
      <c r="E511" s="12"/>
      <c r="F511" s="12"/>
      <c r="G511" s="12"/>
      <c r="H511" s="12"/>
      <c r="I511" s="12"/>
      <c r="J511" s="12"/>
      <c r="K511" s="12"/>
      <c r="L511" s="12"/>
      <c r="M511" s="12"/>
      <c r="N511" s="12"/>
      <c r="O511" s="12"/>
    </row>
    <row r="512" spans="3:15">
      <c r="C512" s="12"/>
      <c r="D512" s="12"/>
      <c r="E512" s="12"/>
      <c r="F512" s="12"/>
      <c r="G512" s="12"/>
      <c r="H512" s="12"/>
      <c r="I512" s="12"/>
      <c r="J512" s="12"/>
      <c r="K512" s="12"/>
      <c r="L512" s="12"/>
      <c r="M512" s="12"/>
      <c r="N512" s="12"/>
      <c r="O512" s="12"/>
    </row>
    <row r="513" spans="3:15">
      <c r="C513" s="12"/>
      <c r="D513" s="12"/>
      <c r="E513" s="12"/>
      <c r="F513" s="12"/>
      <c r="G513" s="12"/>
      <c r="H513" s="12"/>
      <c r="I513" s="12"/>
      <c r="J513" s="12"/>
      <c r="K513" s="12"/>
      <c r="L513" s="12"/>
      <c r="M513" s="12"/>
      <c r="N513" s="12"/>
      <c r="O513" s="12"/>
    </row>
    <row r="514" spans="3:15">
      <c r="C514" s="12"/>
      <c r="D514" s="12"/>
      <c r="E514" s="12"/>
      <c r="F514" s="12"/>
      <c r="G514" s="12"/>
      <c r="H514" s="12"/>
      <c r="I514" s="12"/>
      <c r="J514" s="12"/>
      <c r="K514" s="12"/>
      <c r="L514" s="12"/>
      <c r="M514" s="12"/>
      <c r="N514" s="12"/>
      <c r="O514" s="12"/>
    </row>
    <row r="515" spans="3:15">
      <c r="C515" s="12"/>
      <c r="D515" s="12"/>
      <c r="E515" s="12"/>
      <c r="F515" s="12"/>
      <c r="G515" s="12"/>
      <c r="H515" s="12"/>
      <c r="I515" s="12"/>
      <c r="J515" s="12"/>
      <c r="K515" s="12"/>
      <c r="L515" s="12"/>
      <c r="M515" s="12"/>
      <c r="N515" s="12"/>
      <c r="O515" s="12"/>
    </row>
    <row r="516" spans="3:15">
      <c r="C516" s="12"/>
      <c r="D516" s="12"/>
      <c r="E516" s="12"/>
      <c r="F516" s="12"/>
      <c r="G516" s="12"/>
      <c r="H516" s="12"/>
      <c r="I516" s="12"/>
      <c r="J516" s="12"/>
      <c r="K516" s="12"/>
      <c r="L516" s="12"/>
      <c r="M516" s="12"/>
      <c r="N516" s="12"/>
      <c r="O516" s="12"/>
    </row>
    <row r="517" spans="3:15">
      <c r="C517" s="12"/>
      <c r="D517" s="12"/>
      <c r="E517" s="12"/>
      <c r="F517" s="12"/>
      <c r="G517" s="12"/>
      <c r="H517" s="12"/>
      <c r="I517" s="12"/>
      <c r="J517" s="12"/>
      <c r="K517" s="12"/>
      <c r="L517" s="12"/>
      <c r="M517" s="12"/>
      <c r="N517" s="12"/>
      <c r="O517" s="12"/>
    </row>
    <row r="518" spans="3:15">
      <c r="C518" s="12"/>
      <c r="D518" s="12"/>
      <c r="E518" s="12"/>
      <c r="F518" s="12"/>
      <c r="G518" s="12"/>
      <c r="H518" s="12"/>
      <c r="I518" s="12"/>
      <c r="J518" s="12"/>
      <c r="K518" s="12"/>
      <c r="L518" s="12"/>
      <c r="M518" s="12"/>
      <c r="N518" s="12"/>
      <c r="O518" s="12"/>
    </row>
    <row r="519" spans="3:15">
      <c r="C519" s="12"/>
      <c r="D519" s="12"/>
      <c r="E519" s="12"/>
      <c r="F519" s="12"/>
      <c r="G519" s="12"/>
      <c r="H519" s="12"/>
      <c r="I519" s="12"/>
      <c r="J519" s="12"/>
      <c r="K519" s="12"/>
      <c r="L519" s="12"/>
      <c r="M519" s="12"/>
      <c r="N519" s="12"/>
      <c r="O519" s="12"/>
    </row>
    <row r="520" spans="3:15">
      <c r="C520" s="12"/>
      <c r="D520" s="12"/>
      <c r="E520" s="12"/>
      <c r="F520" s="12"/>
      <c r="G520" s="12"/>
      <c r="H520" s="12"/>
      <c r="I520" s="12"/>
      <c r="J520" s="12"/>
      <c r="K520" s="12"/>
      <c r="L520" s="12"/>
      <c r="M520" s="12"/>
      <c r="N520" s="12"/>
      <c r="O520" s="12"/>
    </row>
    <row r="521" spans="3:15">
      <c r="C521" s="12"/>
      <c r="D521" s="12"/>
      <c r="E521" s="12"/>
      <c r="F521" s="12"/>
      <c r="G521" s="12"/>
      <c r="H521" s="12"/>
      <c r="I521" s="12"/>
      <c r="J521" s="12"/>
      <c r="K521" s="12"/>
      <c r="L521" s="12"/>
      <c r="M521" s="12"/>
      <c r="N521" s="12"/>
      <c r="O521" s="12"/>
    </row>
    <row r="522" spans="3:15">
      <c r="C522" s="12"/>
      <c r="D522" s="12"/>
      <c r="E522" s="12"/>
      <c r="F522" s="12"/>
      <c r="G522" s="12"/>
      <c r="H522" s="12"/>
      <c r="I522" s="12"/>
      <c r="J522" s="12"/>
      <c r="K522" s="12"/>
      <c r="L522" s="12"/>
      <c r="M522" s="12"/>
      <c r="N522" s="12"/>
      <c r="O522" s="12"/>
    </row>
    <row r="523" spans="3:15">
      <c r="C523" s="12"/>
      <c r="D523" s="12"/>
      <c r="E523" s="12"/>
      <c r="F523" s="12"/>
      <c r="G523" s="12"/>
      <c r="H523" s="12"/>
      <c r="I523" s="12"/>
      <c r="J523" s="12"/>
      <c r="K523" s="12"/>
      <c r="L523" s="12"/>
      <c r="M523" s="12"/>
      <c r="N523" s="12"/>
      <c r="O523" s="12"/>
    </row>
    <row r="524" spans="3:15">
      <c r="C524" s="12"/>
      <c r="D524" s="12"/>
      <c r="E524" s="12"/>
      <c r="F524" s="12"/>
      <c r="G524" s="12"/>
      <c r="H524" s="12"/>
      <c r="I524" s="12"/>
      <c r="J524" s="12"/>
      <c r="K524" s="12"/>
      <c r="L524" s="12"/>
      <c r="M524" s="12"/>
      <c r="N524" s="12"/>
      <c r="O524" s="12"/>
    </row>
    <row r="525" spans="3:15">
      <c r="C525" s="12"/>
      <c r="D525" s="12"/>
      <c r="E525" s="12"/>
      <c r="F525" s="12"/>
      <c r="G525" s="12"/>
      <c r="H525" s="12"/>
      <c r="I525" s="12"/>
      <c r="J525" s="12"/>
      <c r="K525" s="12"/>
      <c r="L525" s="12"/>
      <c r="M525" s="12"/>
      <c r="N525" s="12"/>
      <c r="O525" s="12"/>
    </row>
    <row r="526" spans="3:15">
      <c r="C526" s="12"/>
      <c r="D526" s="12"/>
      <c r="E526" s="12"/>
      <c r="F526" s="12"/>
      <c r="G526" s="12"/>
      <c r="H526" s="12"/>
      <c r="I526" s="12"/>
      <c r="J526" s="12"/>
      <c r="K526" s="12"/>
      <c r="L526" s="12"/>
      <c r="M526" s="12"/>
      <c r="N526" s="12"/>
      <c r="O526" s="12"/>
    </row>
    <row r="527" spans="3:15">
      <c r="C527" s="12"/>
      <c r="D527" s="12"/>
      <c r="E527" s="12"/>
      <c r="F527" s="12"/>
      <c r="G527" s="12"/>
      <c r="H527" s="12"/>
      <c r="I527" s="12"/>
      <c r="J527" s="12"/>
      <c r="K527" s="12"/>
      <c r="L527" s="12"/>
      <c r="M527" s="12"/>
      <c r="N527" s="12"/>
      <c r="O527" s="12"/>
    </row>
    <row r="528" spans="3:15">
      <c r="C528" s="12"/>
      <c r="D528" s="12"/>
      <c r="E528" s="12"/>
      <c r="F528" s="12"/>
      <c r="G528" s="12"/>
      <c r="H528" s="12"/>
      <c r="I528" s="12"/>
      <c r="J528" s="12"/>
      <c r="K528" s="12"/>
      <c r="L528" s="12"/>
      <c r="M528" s="12"/>
      <c r="N528" s="12"/>
      <c r="O528" s="12"/>
    </row>
    <row r="529" spans="3:15">
      <c r="C529" s="12"/>
      <c r="D529" s="12"/>
      <c r="E529" s="12"/>
      <c r="F529" s="12"/>
      <c r="G529" s="12"/>
      <c r="H529" s="12"/>
      <c r="I529" s="12"/>
      <c r="J529" s="12"/>
      <c r="K529" s="12"/>
      <c r="L529" s="12"/>
      <c r="M529" s="12"/>
      <c r="N529" s="12"/>
      <c r="O529" s="12"/>
    </row>
    <row r="530" spans="3:15">
      <c r="C530" s="12"/>
      <c r="D530" s="12"/>
      <c r="E530" s="12"/>
      <c r="F530" s="12"/>
      <c r="G530" s="12"/>
      <c r="H530" s="12"/>
      <c r="I530" s="12"/>
      <c r="J530" s="12"/>
      <c r="K530" s="12"/>
      <c r="L530" s="12"/>
      <c r="M530" s="12"/>
      <c r="N530" s="12"/>
      <c r="O530" s="12"/>
    </row>
    <row r="531" spans="3:15">
      <c r="C531" s="12"/>
      <c r="D531" s="12"/>
      <c r="E531" s="12"/>
      <c r="F531" s="12"/>
      <c r="G531" s="12"/>
      <c r="H531" s="12"/>
      <c r="I531" s="12"/>
      <c r="J531" s="12"/>
      <c r="K531" s="12"/>
      <c r="L531" s="12"/>
      <c r="M531" s="12"/>
      <c r="N531" s="12"/>
      <c r="O531" s="12"/>
    </row>
    <row r="532" spans="3:15">
      <c r="C532" s="12"/>
      <c r="D532" s="12"/>
      <c r="E532" s="12"/>
      <c r="F532" s="12"/>
      <c r="G532" s="12"/>
      <c r="H532" s="12"/>
      <c r="I532" s="12"/>
      <c r="J532" s="12"/>
      <c r="K532" s="12"/>
      <c r="L532" s="12"/>
      <c r="M532" s="12"/>
      <c r="N532" s="12"/>
      <c r="O532" s="12"/>
    </row>
    <row r="533" spans="3:15">
      <c r="C533" s="12"/>
      <c r="D533" s="12"/>
      <c r="E533" s="12"/>
      <c r="F533" s="12"/>
      <c r="G533" s="12"/>
      <c r="H533" s="12"/>
      <c r="I533" s="12"/>
      <c r="J533" s="12"/>
      <c r="K533" s="12"/>
      <c r="L533" s="12"/>
      <c r="M533" s="12"/>
      <c r="N533" s="12"/>
      <c r="O533" s="12"/>
    </row>
    <row r="534" spans="3:15">
      <c r="C534" s="12"/>
      <c r="D534" s="12"/>
      <c r="E534" s="12"/>
      <c r="F534" s="12"/>
      <c r="G534" s="12"/>
      <c r="H534" s="12"/>
      <c r="I534" s="12"/>
      <c r="J534" s="12"/>
      <c r="K534" s="12"/>
      <c r="L534" s="12"/>
      <c r="M534" s="12"/>
      <c r="N534" s="12"/>
      <c r="O534" s="12"/>
    </row>
    <row r="535" spans="3:15">
      <c r="C535" s="12"/>
      <c r="D535" s="12"/>
      <c r="E535" s="12"/>
      <c r="F535" s="12"/>
      <c r="G535" s="12"/>
      <c r="H535" s="12"/>
      <c r="I535" s="12"/>
      <c r="J535" s="12"/>
      <c r="K535" s="12"/>
      <c r="L535" s="12"/>
      <c r="M535" s="12"/>
      <c r="N535" s="12"/>
      <c r="O535" s="12"/>
    </row>
    <row r="536" spans="3:15">
      <c r="C536" s="12"/>
      <c r="D536" s="12"/>
      <c r="E536" s="12"/>
      <c r="F536" s="12"/>
      <c r="G536" s="12"/>
      <c r="H536" s="12"/>
      <c r="I536" s="12"/>
      <c r="J536" s="12"/>
      <c r="K536" s="12"/>
      <c r="L536" s="12"/>
      <c r="M536" s="12"/>
      <c r="N536" s="12"/>
      <c r="O536" s="12"/>
    </row>
    <row r="537" spans="3:15">
      <c r="C537" s="12"/>
      <c r="D537" s="12"/>
      <c r="E537" s="12"/>
      <c r="F537" s="12"/>
      <c r="G537" s="12"/>
      <c r="H537" s="12"/>
      <c r="I537" s="12"/>
      <c r="J537" s="12"/>
      <c r="K537" s="12"/>
      <c r="L537" s="12"/>
      <c r="M537" s="12"/>
      <c r="N537" s="12"/>
      <c r="O537" s="12"/>
    </row>
    <row r="538" spans="3:15">
      <c r="C538" s="12"/>
      <c r="D538" s="12"/>
      <c r="E538" s="12"/>
      <c r="F538" s="12"/>
      <c r="G538" s="12"/>
      <c r="H538" s="12"/>
      <c r="I538" s="12"/>
      <c r="J538" s="12"/>
      <c r="K538" s="12"/>
      <c r="L538" s="12"/>
      <c r="M538" s="12"/>
      <c r="N538" s="12"/>
      <c r="O538" s="12"/>
    </row>
    <row r="539" spans="3:15">
      <c r="C539" s="12"/>
      <c r="D539" s="12"/>
      <c r="E539" s="12"/>
      <c r="F539" s="12"/>
      <c r="G539" s="12"/>
      <c r="H539" s="12"/>
      <c r="I539" s="12"/>
      <c r="J539" s="12"/>
      <c r="K539" s="12"/>
      <c r="L539" s="12"/>
      <c r="M539" s="12"/>
      <c r="N539" s="12"/>
      <c r="O539" s="12"/>
    </row>
    <row r="540" spans="3:15">
      <c r="C540" s="12"/>
      <c r="D540" s="12"/>
      <c r="E540" s="12"/>
      <c r="F540" s="12"/>
      <c r="G540" s="12"/>
      <c r="H540" s="12"/>
      <c r="I540" s="12"/>
      <c r="J540" s="12"/>
      <c r="K540" s="12"/>
      <c r="L540" s="12"/>
      <c r="M540" s="12"/>
      <c r="N540" s="12"/>
      <c r="O540" s="12"/>
    </row>
    <row r="541" spans="3:15">
      <c r="C541" s="12"/>
      <c r="D541" s="12"/>
      <c r="E541" s="12"/>
      <c r="F541" s="12"/>
      <c r="G541" s="12"/>
      <c r="H541" s="12"/>
      <c r="I541" s="12"/>
      <c r="J541" s="12"/>
      <c r="K541" s="12"/>
      <c r="L541" s="12"/>
      <c r="M541" s="12"/>
      <c r="N541" s="12"/>
      <c r="O541" s="12"/>
    </row>
    <row r="542" spans="3:15">
      <c r="C542" s="12"/>
      <c r="D542" s="12"/>
      <c r="E542" s="12"/>
      <c r="F542" s="12"/>
      <c r="G542" s="12"/>
      <c r="H542" s="12"/>
      <c r="I542" s="12"/>
      <c r="J542" s="12"/>
      <c r="K542" s="12"/>
      <c r="L542" s="12"/>
      <c r="M542" s="12"/>
      <c r="N542" s="12"/>
      <c r="O542" s="12"/>
    </row>
    <row r="543" spans="3:15">
      <c r="C543" s="12"/>
      <c r="D543" s="12"/>
      <c r="E543" s="12"/>
      <c r="F543" s="12"/>
      <c r="G543" s="12"/>
      <c r="H543" s="12"/>
      <c r="I543" s="12"/>
      <c r="J543" s="12"/>
      <c r="K543" s="12"/>
      <c r="L543" s="12"/>
      <c r="M543" s="12"/>
      <c r="N543" s="12"/>
      <c r="O543" s="12"/>
    </row>
    <row r="544" spans="3:15">
      <c r="C544" s="12"/>
      <c r="D544" s="12"/>
      <c r="E544" s="12"/>
      <c r="F544" s="12"/>
      <c r="G544" s="12"/>
      <c r="H544" s="12"/>
      <c r="I544" s="12"/>
      <c r="J544" s="12"/>
      <c r="K544" s="12"/>
      <c r="L544" s="12"/>
      <c r="M544" s="12"/>
      <c r="N544" s="12"/>
      <c r="O544" s="12"/>
    </row>
    <row r="545" spans="3:15">
      <c r="C545" s="12"/>
      <c r="D545" s="12"/>
      <c r="E545" s="12"/>
      <c r="F545" s="12"/>
      <c r="G545" s="12"/>
      <c r="H545" s="12"/>
      <c r="I545" s="12"/>
      <c r="J545" s="12"/>
      <c r="K545" s="12"/>
      <c r="L545" s="12"/>
      <c r="M545" s="12"/>
      <c r="N545" s="12"/>
      <c r="O545" s="12"/>
    </row>
    <row r="546" spans="3:15">
      <c r="C546" s="12"/>
      <c r="D546" s="12"/>
      <c r="E546" s="12"/>
      <c r="F546" s="12"/>
      <c r="G546" s="12"/>
      <c r="H546" s="12"/>
      <c r="I546" s="12"/>
      <c r="J546" s="12"/>
      <c r="K546" s="12"/>
      <c r="L546" s="12"/>
      <c r="M546" s="12"/>
      <c r="N546" s="12"/>
      <c r="O546" s="12"/>
    </row>
    <row r="547" spans="3:15">
      <c r="C547" s="12"/>
      <c r="D547" s="12"/>
      <c r="E547" s="12"/>
      <c r="F547" s="12"/>
      <c r="G547" s="12"/>
      <c r="H547" s="12"/>
      <c r="I547" s="12"/>
      <c r="J547" s="12"/>
      <c r="K547" s="12"/>
      <c r="L547" s="12"/>
      <c r="M547" s="12"/>
      <c r="N547" s="12"/>
      <c r="O547" s="12"/>
    </row>
    <row r="548" spans="3:15">
      <c r="C548" s="12"/>
      <c r="D548" s="12"/>
      <c r="E548" s="12"/>
      <c r="F548" s="12"/>
      <c r="G548" s="12"/>
      <c r="H548" s="12"/>
      <c r="I548" s="12"/>
      <c r="J548" s="12"/>
      <c r="K548" s="12"/>
      <c r="L548" s="12"/>
      <c r="M548" s="12"/>
      <c r="N548" s="12"/>
      <c r="O548" s="12"/>
    </row>
    <row r="549" spans="3:15">
      <c r="C549" s="12"/>
      <c r="D549" s="12"/>
      <c r="E549" s="12"/>
      <c r="F549" s="12"/>
      <c r="G549" s="12"/>
      <c r="H549" s="12"/>
      <c r="I549" s="12"/>
      <c r="J549" s="12"/>
      <c r="K549" s="12"/>
      <c r="L549" s="12"/>
      <c r="M549" s="12"/>
      <c r="N549" s="12"/>
      <c r="O549" s="12"/>
    </row>
    <row r="550" spans="3:15">
      <c r="C550" s="12"/>
      <c r="D550" s="12"/>
      <c r="E550" s="12"/>
      <c r="F550" s="12"/>
      <c r="G550" s="12"/>
      <c r="H550" s="12"/>
      <c r="I550" s="12"/>
      <c r="J550" s="12"/>
      <c r="K550" s="12"/>
      <c r="L550" s="12"/>
      <c r="M550" s="12"/>
      <c r="N550" s="12"/>
      <c r="O550" s="12"/>
    </row>
    <row r="551" spans="3:15">
      <c r="C551" s="12"/>
      <c r="D551" s="12"/>
      <c r="E551" s="12"/>
      <c r="F551" s="12"/>
      <c r="G551" s="12"/>
      <c r="H551" s="12"/>
      <c r="I551" s="12"/>
      <c r="J551" s="12"/>
      <c r="K551" s="12"/>
      <c r="L551" s="12"/>
      <c r="M551" s="12"/>
      <c r="N551" s="12"/>
      <c r="O551" s="12"/>
    </row>
    <row r="552" spans="3:15">
      <c r="C552" s="12"/>
      <c r="D552" s="12"/>
      <c r="E552" s="12"/>
      <c r="F552" s="12"/>
      <c r="G552" s="12"/>
      <c r="H552" s="12"/>
      <c r="I552" s="12"/>
      <c r="J552" s="12"/>
      <c r="K552" s="12"/>
      <c r="L552" s="12"/>
      <c r="M552" s="12"/>
      <c r="N552" s="12"/>
      <c r="O552" s="12"/>
    </row>
    <row r="553" spans="3:15">
      <c r="C553" s="12"/>
      <c r="D553" s="12"/>
      <c r="E553" s="12"/>
      <c r="F553" s="12"/>
      <c r="G553" s="12"/>
      <c r="H553" s="12"/>
      <c r="I553" s="12"/>
      <c r="J553" s="12"/>
      <c r="K553" s="12"/>
      <c r="L553" s="12"/>
      <c r="M553" s="12"/>
      <c r="N553" s="12"/>
      <c r="O553" s="12"/>
    </row>
    <row r="554" spans="3:15">
      <c r="C554" s="12"/>
      <c r="D554" s="12"/>
      <c r="E554" s="12"/>
      <c r="F554" s="12"/>
      <c r="G554" s="12"/>
      <c r="H554" s="12"/>
      <c r="I554" s="12"/>
      <c r="J554" s="12"/>
      <c r="K554" s="12"/>
      <c r="L554" s="12"/>
      <c r="M554" s="12"/>
      <c r="N554" s="12"/>
      <c r="O554" s="12"/>
    </row>
    <row r="555" spans="3:15">
      <c r="C555" s="12"/>
      <c r="D555" s="12"/>
      <c r="E555" s="12"/>
      <c r="F555" s="12"/>
      <c r="G555" s="12"/>
      <c r="H555" s="12"/>
      <c r="I555" s="12"/>
      <c r="J555" s="12"/>
      <c r="K555" s="12"/>
      <c r="L555" s="12"/>
      <c r="M555" s="12"/>
      <c r="N555" s="12"/>
      <c r="O555" s="12"/>
    </row>
    <row r="556" spans="3:15">
      <c r="C556" s="12"/>
      <c r="D556" s="12"/>
      <c r="E556" s="12"/>
      <c r="F556" s="12"/>
      <c r="G556" s="12"/>
      <c r="H556" s="12"/>
      <c r="I556" s="12"/>
      <c r="J556" s="12"/>
      <c r="K556" s="12"/>
      <c r="L556" s="12"/>
      <c r="M556" s="12"/>
      <c r="N556" s="12"/>
      <c r="O556" s="12"/>
    </row>
    <row r="557" spans="3:15">
      <c r="C557" s="12"/>
      <c r="D557" s="12"/>
      <c r="E557" s="12"/>
      <c r="F557" s="12"/>
      <c r="G557" s="12"/>
      <c r="H557" s="12"/>
      <c r="I557" s="12"/>
      <c r="J557" s="12"/>
      <c r="K557" s="12"/>
      <c r="L557" s="12"/>
      <c r="M557" s="12"/>
      <c r="N557" s="12"/>
      <c r="O557" s="12"/>
    </row>
    <row r="558" spans="3:15">
      <c r="C558" s="12"/>
      <c r="D558" s="12"/>
      <c r="E558" s="12"/>
      <c r="F558" s="12"/>
      <c r="G558" s="12"/>
      <c r="H558" s="12"/>
      <c r="I558" s="12"/>
      <c r="J558" s="12"/>
      <c r="K558" s="12"/>
      <c r="L558" s="12"/>
      <c r="M558" s="12"/>
      <c r="N558" s="12"/>
      <c r="O558" s="12"/>
    </row>
    <row r="559" spans="3:15">
      <c r="C559" s="12"/>
      <c r="D559" s="12"/>
      <c r="E559" s="12"/>
      <c r="F559" s="12"/>
      <c r="G559" s="12"/>
      <c r="H559" s="12"/>
      <c r="I559" s="12"/>
      <c r="J559" s="12"/>
      <c r="K559" s="12"/>
      <c r="L559" s="12"/>
      <c r="M559" s="12"/>
      <c r="N559" s="12"/>
      <c r="O559" s="12"/>
    </row>
    <row r="560" spans="3:15">
      <c r="C560" s="12"/>
      <c r="D560" s="12"/>
      <c r="E560" s="12"/>
      <c r="F560" s="12"/>
      <c r="G560" s="12"/>
      <c r="H560" s="12"/>
      <c r="I560" s="12"/>
      <c r="J560" s="12"/>
      <c r="K560" s="12"/>
      <c r="L560" s="12"/>
      <c r="M560" s="12"/>
      <c r="N560" s="12"/>
      <c r="O560" s="12"/>
    </row>
    <row r="561" spans="3:15">
      <c r="C561" s="12"/>
      <c r="D561" s="12"/>
      <c r="E561" s="12"/>
      <c r="F561" s="12"/>
      <c r="G561" s="12"/>
      <c r="H561" s="12"/>
      <c r="I561" s="12"/>
      <c r="J561" s="12"/>
      <c r="K561" s="12"/>
      <c r="L561" s="12"/>
      <c r="M561" s="12"/>
      <c r="N561" s="12"/>
      <c r="O561" s="12"/>
    </row>
    <row r="562" spans="3:15">
      <c r="C562" s="12"/>
      <c r="D562" s="12"/>
      <c r="E562" s="12"/>
      <c r="F562" s="12"/>
      <c r="G562" s="12"/>
      <c r="H562" s="12"/>
      <c r="I562" s="12"/>
      <c r="J562" s="12"/>
      <c r="K562" s="12"/>
      <c r="L562" s="12"/>
      <c r="M562" s="12"/>
      <c r="N562" s="12"/>
      <c r="O562" s="12"/>
    </row>
    <row r="563" spans="3:15">
      <c r="C563" s="12"/>
      <c r="D563" s="12"/>
      <c r="E563" s="12"/>
      <c r="F563" s="12"/>
      <c r="G563" s="12"/>
      <c r="H563" s="12"/>
      <c r="I563" s="12"/>
      <c r="J563" s="12"/>
      <c r="K563" s="12"/>
      <c r="L563" s="12"/>
      <c r="M563" s="12"/>
      <c r="N563" s="12"/>
      <c r="O563" s="12"/>
    </row>
    <row r="564" spans="3:15">
      <c r="C564" s="12"/>
      <c r="D564" s="12"/>
      <c r="E564" s="12"/>
      <c r="F564" s="12"/>
      <c r="G564" s="12"/>
      <c r="H564" s="12"/>
      <c r="I564" s="12"/>
      <c r="J564" s="12"/>
      <c r="K564" s="12"/>
      <c r="L564" s="12"/>
      <c r="M564" s="12"/>
      <c r="N564" s="12"/>
      <c r="O564" s="12"/>
    </row>
    <row r="565" spans="3:15">
      <c r="C565" s="12"/>
      <c r="D565" s="12"/>
      <c r="E565" s="12"/>
      <c r="F565" s="12"/>
      <c r="G565" s="12"/>
      <c r="H565" s="12"/>
      <c r="I565" s="12"/>
      <c r="J565" s="12"/>
      <c r="K565" s="12"/>
      <c r="L565" s="12"/>
      <c r="M565" s="12"/>
      <c r="N565" s="12"/>
      <c r="O565" s="12"/>
    </row>
    <row r="566" spans="3:15">
      <c r="C566" s="12"/>
      <c r="D566" s="12"/>
      <c r="E566" s="12"/>
      <c r="F566" s="12"/>
      <c r="G566" s="12"/>
      <c r="H566" s="12"/>
      <c r="I566" s="12"/>
      <c r="J566" s="12"/>
      <c r="K566" s="12"/>
      <c r="L566" s="12"/>
      <c r="M566" s="12"/>
      <c r="N566" s="12"/>
      <c r="O566" s="12"/>
    </row>
    <row r="567" spans="3:15">
      <c r="C567" s="12"/>
      <c r="D567" s="12"/>
      <c r="E567" s="12"/>
      <c r="F567" s="12"/>
      <c r="G567" s="12"/>
      <c r="H567" s="12"/>
      <c r="I567" s="12"/>
      <c r="J567" s="12"/>
      <c r="K567" s="12"/>
      <c r="L567" s="12"/>
      <c r="M567" s="12"/>
      <c r="N567" s="12"/>
      <c r="O567" s="12"/>
    </row>
    <row r="568" spans="3:15">
      <c r="C568" s="12"/>
      <c r="D568" s="12"/>
      <c r="E568" s="12"/>
      <c r="F568" s="12"/>
      <c r="G568" s="12"/>
      <c r="H568" s="12"/>
      <c r="I568" s="12"/>
      <c r="J568" s="12"/>
      <c r="K568" s="12"/>
      <c r="L568" s="12"/>
      <c r="M568" s="12"/>
      <c r="N568" s="12"/>
      <c r="O568" s="12"/>
    </row>
    <row r="569" spans="3:15">
      <c r="C569" s="12"/>
      <c r="D569" s="12"/>
      <c r="E569" s="12"/>
      <c r="F569" s="12"/>
      <c r="G569" s="12"/>
      <c r="H569" s="12"/>
      <c r="I569" s="12"/>
      <c r="J569" s="12"/>
      <c r="K569" s="12"/>
      <c r="L569" s="12"/>
      <c r="M569" s="12"/>
      <c r="N569" s="12"/>
      <c r="O569" s="12"/>
    </row>
    <row r="570" spans="3:15">
      <c r="C570" s="12"/>
      <c r="D570" s="12"/>
      <c r="E570" s="12"/>
      <c r="F570" s="12"/>
      <c r="G570" s="12"/>
      <c r="H570" s="12"/>
      <c r="I570" s="12"/>
      <c r="J570" s="12"/>
      <c r="K570" s="12"/>
      <c r="L570" s="12"/>
      <c r="M570" s="12"/>
      <c r="N570" s="12"/>
      <c r="O570" s="12"/>
    </row>
    <row r="571" spans="3:15">
      <c r="C571" s="12"/>
      <c r="D571" s="12"/>
      <c r="E571" s="12"/>
      <c r="F571" s="12"/>
      <c r="G571" s="12"/>
      <c r="H571" s="12"/>
      <c r="I571" s="12"/>
      <c r="J571" s="12"/>
      <c r="K571" s="12"/>
      <c r="L571" s="12"/>
      <c r="M571" s="12"/>
      <c r="N571" s="12"/>
      <c r="O571" s="12"/>
    </row>
    <row r="572" spans="3:15">
      <c r="C572" s="12"/>
      <c r="D572" s="12"/>
      <c r="E572" s="12"/>
      <c r="F572" s="12"/>
      <c r="G572" s="12"/>
      <c r="H572" s="12"/>
      <c r="I572" s="12"/>
      <c r="J572" s="12"/>
      <c r="K572" s="12"/>
      <c r="L572" s="12"/>
      <c r="M572" s="12"/>
      <c r="N572" s="12"/>
      <c r="O572" s="12"/>
    </row>
    <row r="573" spans="3:15">
      <c r="C573" s="12"/>
      <c r="D573" s="12"/>
      <c r="E573" s="12"/>
      <c r="F573" s="12"/>
      <c r="G573" s="12"/>
      <c r="H573" s="12"/>
      <c r="I573" s="12"/>
      <c r="J573" s="12"/>
      <c r="K573" s="12"/>
      <c r="L573" s="12"/>
      <c r="M573" s="12"/>
      <c r="N573" s="12"/>
      <c r="O573" s="12"/>
    </row>
    <row r="574" spans="3:15">
      <c r="C574" s="12"/>
      <c r="D574" s="12"/>
      <c r="E574" s="12"/>
      <c r="F574" s="12"/>
      <c r="G574" s="12"/>
      <c r="H574" s="12"/>
      <c r="I574" s="12"/>
      <c r="J574" s="12"/>
      <c r="K574" s="12"/>
      <c r="L574" s="12"/>
      <c r="M574" s="12"/>
      <c r="N574" s="12"/>
      <c r="O574" s="12"/>
    </row>
    <row r="575" spans="3:15">
      <c r="C575" s="12"/>
      <c r="D575" s="12"/>
      <c r="E575" s="12"/>
      <c r="F575" s="12"/>
      <c r="G575" s="12"/>
      <c r="H575" s="12"/>
      <c r="I575" s="12"/>
      <c r="J575" s="12"/>
      <c r="K575" s="12"/>
      <c r="L575" s="12"/>
      <c r="M575" s="12"/>
      <c r="N575" s="12"/>
      <c r="O575" s="12"/>
    </row>
    <row r="576" spans="3:15">
      <c r="C576" s="12"/>
      <c r="D576" s="12"/>
      <c r="E576" s="12"/>
      <c r="F576" s="12"/>
      <c r="G576" s="12"/>
      <c r="H576" s="12"/>
      <c r="I576" s="12"/>
      <c r="J576" s="12"/>
      <c r="K576" s="12"/>
      <c r="L576" s="12"/>
      <c r="M576" s="12"/>
      <c r="N576" s="12"/>
      <c r="O576" s="12"/>
    </row>
    <row r="577" spans="3:15">
      <c r="C577" s="12"/>
      <c r="D577" s="12"/>
      <c r="E577" s="12"/>
      <c r="F577" s="12"/>
      <c r="G577" s="12"/>
      <c r="H577" s="12"/>
      <c r="I577" s="12"/>
      <c r="J577" s="12"/>
      <c r="K577" s="12"/>
      <c r="L577" s="12"/>
      <c r="M577" s="12"/>
      <c r="N577" s="12"/>
      <c r="O577" s="12"/>
    </row>
    <row r="578" spans="3:15">
      <c r="C578" s="12"/>
      <c r="D578" s="12"/>
      <c r="E578" s="12"/>
      <c r="F578" s="12"/>
      <c r="G578" s="12"/>
      <c r="H578" s="12"/>
      <c r="I578" s="12"/>
      <c r="J578" s="12"/>
      <c r="K578" s="12"/>
      <c r="L578" s="12"/>
      <c r="M578" s="12"/>
      <c r="N578" s="12"/>
      <c r="O578" s="12"/>
    </row>
    <row r="579" spans="3:15">
      <c r="C579" s="12"/>
      <c r="D579" s="12"/>
      <c r="E579" s="12"/>
      <c r="F579" s="12"/>
      <c r="G579" s="12"/>
      <c r="H579" s="12"/>
      <c r="I579" s="12"/>
      <c r="J579" s="12"/>
      <c r="K579" s="12"/>
      <c r="L579" s="12"/>
      <c r="M579" s="12"/>
      <c r="N579" s="12"/>
      <c r="O579" s="12"/>
    </row>
    <row r="580" spans="3:15">
      <c r="C580" s="12"/>
      <c r="D580" s="12"/>
      <c r="E580" s="12"/>
      <c r="F580" s="12"/>
      <c r="G580" s="12"/>
      <c r="H580" s="12"/>
      <c r="I580" s="12"/>
      <c r="J580" s="12"/>
      <c r="K580" s="12"/>
      <c r="L580" s="12"/>
      <c r="M580" s="12"/>
      <c r="N580" s="12"/>
      <c r="O580" s="12"/>
    </row>
    <row r="581" spans="3:15">
      <c r="C581" s="12"/>
      <c r="D581" s="12"/>
      <c r="E581" s="12"/>
      <c r="F581" s="12"/>
      <c r="G581" s="12"/>
      <c r="H581" s="12"/>
      <c r="I581" s="12"/>
      <c r="J581" s="12"/>
      <c r="K581" s="12"/>
      <c r="L581" s="12"/>
      <c r="M581" s="12"/>
      <c r="N581" s="12"/>
      <c r="O581" s="12"/>
    </row>
    <row r="582" spans="3:15">
      <c r="C582" s="12"/>
      <c r="D582" s="12"/>
      <c r="E582" s="12"/>
      <c r="F582" s="12"/>
      <c r="G582" s="12"/>
      <c r="H582" s="12"/>
      <c r="I582" s="12"/>
      <c r="J582" s="12"/>
      <c r="K582" s="12"/>
      <c r="L582" s="12"/>
      <c r="M582" s="12"/>
      <c r="N582" s="12"/>
      <c r="O582" s="12"/>
    </row>
    <row r="583" spans="3:15">
      <c r="C583" s="12"/>
      <c r="D583" s="12"/>
      <c r="E583" s="12"/>
      <c r="F583" s="12"/>
      <c r="G583" s="12"/>
      <c r="H583" s="12"/>
      <c r="I583" s="12"/>
      <c r="J583" s="12"/>
      <c r="K583" s="12"/>
      <c r="L583" s="12"/>
      <c r="M583" s="12"/>
      <c r="N583" s="12"/>
      <c r="O583" s="12"/>
    </row>
    <row r="584" spans="3:15">
      <c r="C584" s="12"/>
      <c r="D584" s="12"/>
      <c r="E584" s="12"/>
      <c r="F584" s="12"/>
      <c r="G584" s="12"/>
      <c r="H584" s="12"/>
      <c r="I584" s="12"/>
      <c r="J584" s="12"/>
      <c r="K584" s="12"/>
      <c r="L584" s="12"/>
      <c r="M584" s="12"/>
      <c r="N584" s="12"/>
      <c r="O584" s="12"/>
    </row>
    <row r="585" spans="3:15">
      <c r="C585" s="12"/>
      <c r="D585" s="12"/>
      <c r="E585" s="12"/>
      <c r="F585" s="12"/>
      <c r="G585" s="12"/>
      <c r="H585" s="12"/>
      <c r="I585" s="12"/>
      <c r="J585" s="12"/>
      <c r="K585" s="12"/>
      <c r="L585" s="12"/>
      <c r="M585" s="12"/>
      <c r="N585" s="12"/>
      <c r="O585" s="12"/>
    </row>
    <row r="586" spans="3:15">
      <c r="C586" s="12"/>
      <c r="D586" s="12"/>
      <c r="E586" s="12"/>
      <c r="F586" s="12"/>
      <c r="G586" s="12"/>
      <c r="H586" s="12"/>
      <c r="I586" s="12"/>
      <c r="J586" s="12"/>
      <c r="K586" s="12"/>
      <c r="L586" s="12"/>
      <c r="M586" s="12"/>
      <c r="N586" s="12"/>
      <c r="O586" s="12"/>
    </row>
    <row r="587" spans="3:15">
      <c r="C587" s="12"/>
      <c r="D587" s="12"/>
      <c r="E587" s="12"/>
      <c r="F587" s="12"/>
      <c r="G587" s="12"/>
      <c r="H587" s="12"/>
      <c r="I587" s="12"/>
      <c r="J587" s="12"/>
      <c r="K587" s="12"/>
      <c r="L587" s="12"/>
      <c r="M587" s="12"/>
      <c r="N587" s="12"/>
      <c r="O587" s="12"/>
    </row>
    <row r="588" spans="3:15">
      <c r="C588" s="12"/>
      <c r="D588" s="12"/>
      <c r="E588" s="12"/>
      <c r="F588" s="12"/>
      <c r="G588" s="12"/>
      <c r="H588" s="12"/>
      <c r="I588" s="12"/>
      <c r="J588" s="12"/>
      <c r="K588" s="12"/>
      <c r="L588" s="12"/>
      <c r="M588" s="12"/>
      <c r="N588" s="12"/>
      <c r="O588" s="12"/>
    </row>
    <row r="589" spans="3:15">
      <c r="C589" s="12"/>
      <c r="D589" s="12"/>
      <c r="E589" s="12"/>
      <c r="F589" s="12"/>
      <c r="G589" s="12"/>
      <c r="H589" s="12"/>
      <c r="I589" s="12"/>
      <c r="J589" s="12"/>
      <c r="K589" s="12"/>
      <c r="L589" s="12"/>
      <c r="M589" s="12"/>
      <c r="N589" s="12"/>
      <c r="O589" s="12"/>
    </row>
    <row r="590" spans="3:15">
      <c r="C590" s="12"/>
      <c r="D590" s="12"/>
      <c r="E590" s="12"/>
      <c r="F590" s="12"/>
      <c r="G590" s="12"/>
      <c r="H590" s="12"/>
      <c r="I590" s="12"/>
      <c r="J590" s="12"/>
      <c r="K590" s="12"/>
      <c r="L590" s="12"/>
      <c r="M590" s="12"/>
      <c r="N590" s="12"/>
      <c r="O590" s="12"/>
    </row>
    <row r="591" spans="3:15">
      <c r="C591" s="12"/>
      <c r="D591" s="12"/>
      <c r="E591" s="12"/>
      <c r="F591" s="12"/>
      <c r="G591" s="12"/>
      <c r="H591" s="12"/>
      <c r="I591" s="12"/>
      <c r="J591" s="12"/>
      <c r="K591" s="12"/>
      <c r="L591" s="12"/>
      <c r="M591" s="12"/>
      <c r="N591" s="12"/>
      <c r="O591" s="12"/>
    </row>
    <row r="592" spans="3:15">
      <c r="C592" s="12"/>
      <c r="D592" s="12"/>
      <c r="E592" s="12"/>
      <c r="F592" s="12"/>
      <c r="G592" s="12"/>
      <c r="H592" s="12"/>
      <c r="I592" s="12"/>
      <c r="J592" s="12"/>
      <c r="K592" s="12"/>
      <c r="L592" s="12"/>
      <c r="M592" s="12"/>
      <c r="N592" s="12"/>
      <c r="O592" s="12"/>
    </row>
    <row r="593" spans="3:15">
      <c r="C593" s="12"/>
      <c r="D593" s="12"/>
      <c r="E593" s="12"/>
      <c r="F593" s="12"/>
      <c r="G593" s="12"/>
      <c r="H593" s="12"/>
      <c r="I593" s="12"/>
      <c r="J593" s="12"/>
      <c r="K593" s="12"/>
      <c r="L593" s="12"/>
      <c r="M593" s="12"/>
      <c r="N593" s="12"/>
      <c r="O593" s="12"/>
    </row>
    <row r="594" spans="3:15">
      <c r="C594" s="12"/>
      <c r="D594" s="12"/>
      <c r="E594" s="12"/>
      <c r="F594" s="12"/>
      <c r="G594" s="12"/>
      <c r="H594" s="12"/>
      <c r="I594" s="12"/>
      <c r="J594" s="12"/>
      <c r="K594" s="12"/>
      <c r="L594" s="12"/>
      <c r="M594" s="12"/>
      <c r="N594" s="12"/>
      <c r="O594" s="12"/>
    </row>
    <row r="595" spans="3:15">
      <c r="C595" s="12"/>
      <c r="D595" s="12"/>
      <c r="E595" s="12"/>
      <c r="F595" s="12"/>
      <c r="G595" s="12"/>
      <c r="H595" s="12"/>
      <c r="I595" s="12"/>
      <c r="J595" s="12"/>
      <c r="K595" s="12"/>
      <c r="L595" s="12"/>
      <c r="M595" s="12"/>
      <c r="N595" s="12"/>
      <c r="O595" s="12"/>
    </row>
    <row r="596" spans="3:15">
      <c r="C596" s="12"/>
      <c r="D596" s="12"/>
      <c r="E596" s="12"/>
      <c r="F596" s="12"/>
      <c r="G596" s="12"/>
      <c r="H596" s="12"/>
      <c r="I596" s="12"/>
      <c r="J596" s="12"/>
      <c r="K596" s="12"/>
      <c r="L596" s="12"/>
      <c r="M596" s="12"/>
      <c r="N596" s="12"/>
      <c r="O596" s="12"/>
    </row>
    <row r="597" spans="3:15">
      <c r="C597" s="12"/>
      <c r="D597" s="12"/>
      <c r="E597" s="12"/>
      <c r="F597" s="12"/>
      <c r="G597" s="12"/>
      <c r="H597" s="12"/>
      <c r="I597" s="12"/>
      <c r="J597" s="12"/>
      <c r="K597" s="12"/>
      <c r="L597" s="12"/>
      <c r="M597" s="12"/>
      <c r="N597" s="12"/>
      <c r="O597" s="12"/>
    </row>
    <row r="598" spans="3:15">
      <c r="C598" s="12"/>
      <c r="D598" s="12"/>
      <c r="E598" s="12"/>
      <c r="F598" s="12"/>
      <c r="G598" s="12"/>
      <c r="H598" s="12"/>
      <c r="I598" s="12"/>
      <c r="J598" s="12"/>
      <c r="K598" s="12"/>
      <c r="L598" s="12"/>
      <c r="M598" s="12"/>
      <c r="N598" s="12"/>
      <c r="O598" s="12"/>
    </row>
    <row r="599" spans="3:15">
      <c r="C599" s="12"/>
      <c r="D599" s="12"/>
      <c r="E599" s="12"/>
      <c r="F599" s="12"/>
      <c r="G599" s="12"/>
      <c r="H599" s="12"/>
      <c r="I599" s="12"/>
      <c r="J599" s="12"/>
      <c r="K599" s="12"/>
      <c r="L599" s="12"/>
      <c r="M599" s="12"/>
      <c r="N599" s="12"/>
      <c r="O599" s="12"/>
    </row>
    <row r="600" spans="3:15">
      <c r="C600" s="12"/>
      <c r="D600" s="12"/>
      <c r="E600" s="12"/>
      <c r="F600" s="12"/>
      <c r="G600" s="12"/>
      <c r="H600" s="12"/>
      <c r="I600" s="12"/>
      <c r="J600" s="12"/>
      <c r="K600" s="12"/>
      <c r="L600" s="12"/>
      <c r="M600" s="12"/>
      <c r="N600" s="12"/>
      <c r="O600" s="12"/>
    </row>
    <row r="601" spans="3:15">
      <c r="C601" s="12"/>
      <c r="D601" s="12"/>
      <c r="E601" s="12"/>
      <c r="F601" s="12"/>
      <c r="G601" s="12"/>
      <c r="H601" s="12"/>
      <c r="I601" s="12"/>
      <c r="J601" s="12"/>
      <c r="K601" s="12"/>
      <c r="L601" s="12"/>
      <c r="M601" s="12"/>
      <c r="N601" s="12"/>
      <c r="O601" s="12"/>
    </row>
    <row r="602" spans="3:15">
      <c r="C602" s="12"/>
      <c r="D602" s="12"/>
      <c r="E602" s="12"/>
      <c r="F602" s="12"/>
      <c r="G602" s="12"/>
      <c r="H602" s="12"/>
      <c r="I602" s="12"/>
      <c r="J602" s="12"/>
      <c r="K602" s="12"/>
      <c r="L602" s="12"/>
      <c r="M602" s="12"/>
      <c r="N602" s="12"/>
      <c r="O602" s="12"/>
    </row>
    <row r="603" spans="3:15">
      <c r="C603" s="12"/>
      <c r="D603" s="12"/>
      <c r="E603" s="12"/>
      <c r="F603" s="12"/>
      <c r="G603" s="12"/>
      <c r="H603" s="12"/>
      <c r="I603" s="12"/>
      <c r="J603" s="12"/>
      <c r="K603" s="12"/>
      <c r="L603" s="12"/>
      <c r="M603" s="12"/>
      <c r="N603" s="12"/>
      <c r="O603" s="12"/>
    </row>
    <row r="604" spans="3:15">
      <c r="C604" s="12"/>
      <c r="D604" s="12"/>
      <c r="E604" s="12"/>
      <c r="F604" s="12"/>
      <c r="G604" s="12"/>
      <c r="H604" s="12"/>
      <c r="I604" s="12"/>
      <c r="J604" s="12"/>
      <c r="K604" s="12"/>
      <c r="L604" s="12"/>
      <c r="M604" s="12"/>
      <c r="N604" s="12"/>
      <c r="O604" s="12"/>
    </row>
    <row r="605" spans="3:15">
      <c r="C605" s="12"/>
      <c r="D605" s="12"/>
      <c r="E605" s="12"/>
      <c r="F605" s="12"/>
      <c r="G605" s="12"/>
      <c r="H605" s="12"/>
      <c r="I605" s="12"/>
      <c r="J605" s="12"/>
      <c r="K605" s="12"/>
      <c r="L605" s="12"/>
      <c r="M605" s="12"/>
      <c r="N605" s="12"/>
      <c r="O605" s="12"/>
    </row>
    <row r="606" spans="3:15">
      <c r="C606" s="12"/>
      <c r="D606" s="12"/>
      <c r="E606" s="12"/>
      <c r="F606" s="12"/>
      <c r="G606" s="12"/>
      <c r="H606" s="12"/>
      <c r="I606" s="12"/>
      <c r="J606" s="12"/>
      <c r="K606" s="12"/>
      <c r="L606" s="12"/>
      <c r="M606" s="12"/>
      <c r="N606" s="12"/>
      <c r="O606" s="12"/>
    </row>
    <row r="607" spans="3:15">
      <c r="C607" s="12"/>
      <c r="D607" s="12"/>
      <c r="E607" s="12"/>
      <c r="F607" s="12"/>
      <c r="G607" s="12"/>
      <c r="H607" s="12"/>
      <c r="I607" s="12"/>
      <c r="J607" s="12"/>
      <c r="K607" s="12"/>
      <c r="L607" s="12"/>
      <c r="M607" s="12"/>
      <c r="N607" s="12"/>
      <c r="O607" s="12"/>
    </row>
    <row r="608" spans="3:15">
      <c r="C608" s="12"/>
      <c r="D608" s="12"/>
      <c r="E608" s="12"/>
      <c r="F608" s="12"/>
      <c r="G608" s="12"/>
      <c r="H608" s="12"/>
      <c r="I608" s="12"/>
      <c r="J608" s="12"/>
      <c r="K608" s="12"/>
      <c r="L608" s="12"/>
      <c r="M608" s="12"/>
      <c r="N608" s="12"/>
      <c r="O608" s="12"/>
    </row>
    <row r="609" spans="3:15">
      <c r="C609" s="12"/>
      <c r="D609" s="12"/>
      <c r="E609" s="12"/>
      <c r="F609" s="12"/>
      <c r="G609" s="12"/>
      <c r="H609" s="12"/>
      <c r="I609" s="12"/>
      <c r="J609" s="12"/>
      <c r="K609" s="12"/>
      <c r="L609" s="12"/>
      <c r="M609" s="12"/>
      <c r="N609" s="12"/>
      <c r="O609" s="12"/>
    </row>
    <row r="610" spans="3:15">
      <c r="C610" s="12"/>
      <c r="D610" s="12"/>
      <c r="E610" s="12"/>
      <c r="F610" s="12"/>
      <c r="G610" s="12"/>
      <c r="H610" s="12"/>
      <c r="I610" s="12"/>
      <c r="J610" s="12"/>
      <c r="K610" s="12"/>
      <c r="L610" s="12"/>
      <c r="M610" s="12"/>
      <c r="N610" s="12"/>
      <c r="O610" s="12"/>
    </row>
    <row r="611" spans="3:15">
      <c r="C611" s="12"/>
      <c r="D611" s="12"/>
      <c r="E611" s="12"/>
      <c r="F611" s="12"/>
      <c r="G611" s="12"/>
      <c r="H611" s="12"/>
      <c r="I611" s="12"/>
      <c r="J611" s="12"/>
      <c r="K611" s="12"/>
      <c r="L611" s="12"/>
      <c r="M611" s="12"/>
      <c r="N611" s="12"/>
      <c r="O611" s="12"/>
    </row>
    <row r="612" spans="3:15">
      <c r="C612" s="12"/>
      <c r="D612" s="12"/>
      <c r="E612" s="12"/>
      <c r="F612" s="12"/>
      <c r="G612" s="12"/>
      <c r="H612" s="12"/>
      <c r="I612" s="12"/>
      <c r="J612" s="12"/>
      <c r="K612" s="12"/>
      <c r="L612" s="12"/>
      <c r="M612" s="12"/>
      <c r="N612" s="12"/>
      <c r="O612" s="12"/>
    </row>
    <row r="613" spans="3:15">
      <c r="C613" s="12"/>
      <c r="D613" s="12"/>
      <c r="E613" s="12"/>
      <c r="F613" s="12"/>
      <c r="G613" s="12"/>
      <c r="H613" s="12"/>
      <c r="I613" s="12"/>
      <c r="J613" s="12"/>
      <c r="K613" s="12"/>
      <c r="L613" s="12"/>
      <c r="M613" s="12"/>
      <c r="N613" s="12"/>
      <c r="O613" s="12"/>
    </row>
    <row r="614" spans="3:15">
      <c r="C614" s="12"/>
      <c r="D614" s="12"/>
      <c r="E614" s="12"/>
      <c r="F614" s="12"/>
      <c r="G614" s="12"/>
      <c r="H614" s="12"/>
      <c r="I614" s="12"/>
      <c r="J614" s="12"/>
      <c r="K614" s="12"/>
      <c r="L614" s="12"/>
      <c r="M614" s="12"/>
      <c r="N614" s="12"/>
      <c r="O614" s="12"/>
    </row>
    <row r="615" spans="3:15">
      <c r="C615" s="12"/>
      <c r="D615" s="12"/>
      <c r="E615" s="12"/>
      <c r="F615" s="12"/>
      <c r="G615" s="12"/>
      <c r="H615" s="12"/>
      <c r="I615" s="12"/>
      <c r="J615" s="12"/>
      <c r="K615" s="12"/>
      <c r="L615" s="12"/>
      <c r="M615" s="12"/>
      <c r="N615" s="12"/>
      <c r="O615" s="12"/>
    </row>
    <row r="616" spans="3:15">
      <c r="C616" s="12"/>
      <c r="D616" s="12"/>
      <c r="E616" s="12"/>
      <c r="F616" s="12"/>
      <c r="G616" s="12"/>
      <c r="H616" s="12"/>
      <c r="I616" s="12"/>
      <c r="J616" s="12"/>
      <c r="K616" s="12"/>
      <c r="L616" s="12"/>
      <c r="M616" s="12"/>
      <c r="N616" s="12"/>
      <c r="O616" s="12"/>
    </row>
    <row r="617" spans="3:15">
      <c r="C617" s="12"/>
      <c r="D617" s="12"/>
      <c r="E617" s="12"/>
      <c r="F617" s="12"/>
      <c r="G617" s="12"/>
      <c r="H617" s="12"/>
      <c r="I617" s="12"/>
      <c r="J617" s="12"/>
      <c r="K617" s="12"/>
      <c r="L617" s="12"/>
      <c r="M617" s="12"/>
      <c r="N617" s="12"/>
      <c r="O617" s="12"/>
    </row>
    <row r="618" spans="3:15">
      <c r="C618" s="12"/>
      <c r="D618" s="12"/>
      <c r="E618" s="12"/>
      <c r="F618" s="12"/>
      <c r="G618" s="12"/>
      <c r="H618" s="12"/>
      <c r="I618" s="12"/>
      <c r="J618" s="12"/>
      <c r="K618" s="12"/>
      <c r="L618" s="12"/>
      <c r="M618" s="12"/>
      <c r="N618" s="12"/>
      <c r="O618" s="12"/>
    </row>
    <row r="619" spans="3:15">
      <c r="C619" s="12"/>
      <c r="D619" s="12"/>
      <c r="E619" s="12"/>
      <c r="F619" s="12"/>
      <c r="G619" s="12"/>
      <c r="H619" s="12"/>
      <c r="I619" s="12"/>
      <c r="J619" s="12"/>
      <c r="K619" s="12"/>
      <c r="L619" s="12"/>
      <c r="M619" s="12"/>
      <c r="N619" s="12"/>
      <c r="O619" s="12"/>
    </row>
    <row r="620" spans="3:15">
      <c r="C620" s="12"/>
      <c r="D620" s="12"/>
      <c r="E620" s="12"/>
      <c r="F620" s="12"/>
      <c r="G620" s="12"/>
      <c r="H620" s="12"/>
      <c r="I620" s="12"/>
      <c r="J620" s="12"/>
      <c r="K620" s="12"/>
      <c r="L620" s="12"/>
      <c r="M620" s="12"/>
      <c r="N620" s="12"/>
      <c r="O620" s="12"/>
    </row>
    <row r="621" spans="3:15">
      <c r="C621" s="12"/>
      <c r="D621" s="12"/>
      <c r="E621" s="12"/>
      <c r="F621" s="12"/>
      <c r="G621" s="12"/>
      <c r="H621" s="12"/>
      <c r="I621" s="12"/>
      <c r="J621" s="12"/>
      <c r="K621" s="12"/>
      <c r="L621" s="12"/>
      <c r="M621" s="12"/>
      <c r="N621" s="12"/>
      <c r="O621" s="12"/>
    </row>
    <row r="622" spans="3:15">
      <c r="C622" s="12"/>
      <c r="D622" s="12"/>
      <c r="E622" s="12"/>
      <c r="F622" s="12"/>
      <c r="G622" s="12"/>
      <c r="H622" s="12"/>
      <c r="I622" s="12"/>
      <c r="J622" s="12"/>
      <c r="K622" s="12"/>
      <c r="L622" s="12"/>
      <c r="M622" s="12"/>
      <c r="N622" s="12"/>
      <c r="O622" s="12"/>
    </row>
    <row r="623" spans="3:15">
      <c r="C623" s="12"/>
      <c r="D623" s="12"/>
      <c r="E623" s="12"/>
      <c r="F623" s="12"/>
      <c r="G623" s="12"/>
      <c r="H623" s="12"/>
      <c r="I623" s="12"/>
      <c r="J623" s="12"/>
      <c r="K623" s="12"/>
      <c r="L623" s="12"/>
      <c r="M623" s="12"/>
      <c r="N623" s="12"/>
      <c r="O623" s="12"/>
    </row>
    <row r="624" spans="3:15">
      <c r="C624" s="12"/>
      <c r="D624" s="12"/>
      <c r="E624" s="12"/>
      <c r="F624" s="12"/>
      <c r="G624" s="12"/>
      <c r="H624" s="12"/>
      <c r="I624" s="12"/>
      <c r="J624" s="12"/>
      <c r="K624" s="12"/>
      <c r="L624" s="12"/>
      <c r="M624" s="12"/>
      <c r="N624" s="12"/>
      <c r="O624" s="12"/>
    </row>
    <row r="625" spans="3:15">
      <c r="C625" s="12"/>
      <c r="D625" s="12"/>
      <c r="E625" s="12"/>
      <c r="F625" s="12"/>
      <c r="G625" s="12"/>
      <c r="H625" s="12"/>
      <c r="I625" s="12"/>
      <c r="J625" s="12"/>
      <c r="K625" s="12"/>
      <c r="L625" s="12"/>
      <c r="M625" s="12"/>
      <c r="N625" s="12"/>
      <c r="O625" s="12"/>
    </row>
    <row r="626" spans="3:15">
      <c r="C626" s="12"/>
      <c r="D626" s="12"/>
      <c r="E626" s="12"/>
      <c r="F626" s="12"/>
      <c r="G626" s="12"/>
      <c r="H626" s="12"/>
      <c r="I626" s="12"/>
      <c r="J626" s="12"/>
      <c r="K626" s="12"/>
      <c r="L626" s="12"/>
      <c r="M626" s="12"/>
      <c r="N626" s="12"/>
      <c r="O626" s="12"/>
    </row>
    <row r="627" spans="3:15">
      <c r="C627" s="12"/>
      <c r="D627" s="12"/>
      <c r="E627" s="12"/>
      <c r="F627" s="12"/>
      <c r="G627" s="12"/>
      <c r="H627" s="12"/>
      <c r="I627" s="12"/>
      <c r="J627" s="12"/>
      <c r="K627" s="12"/>
      <c r="L627" s="12"/>
      <c r="M627" s="12"/>
      <c r="N627" s="12"/>
      <c r="O627" s="12"/>
    </row>
    <row r="628" spans="3:15">
      <c r="C628" s="12"/>
      <c r="D628" s="12"/>
      <c r="E628" s="12"/>
      <c r="F628" s="12"/>
      <c r="G628" s="12"/>
      <c r="H628" s="12"/>
      <c r="I628" s="12"/>
      <c r="J628" s="12"/>
      <c r="K628" s="12"/>
      <c r="L628" s="12"/>
      <c r="M628" s="12"/>
      <c r="N628" s="12"/>
      <c r="O628" s="12"/>
    </row>
    <row r="629" spans="3:15">
      <c r="C629" s="12"/>
      <c r="D629" s="12"/>
      <c r="E629" s="12"/>
      <c r="F629" s="12"/>
      <c r="G629" s="12"/>
      <c r="H629" s="12"/>
      <c r="I629" s="12"/>
      <c r="J629" s="12"/>
      <c r="K629" s="12"/>
      <c r="L629" s="12"/>
      <c r="M629" s="12"/>
      <c r="N629" s="12"/>
      <c r="O629" s="12"/>
    </row>
    <row r="630" spans="3:15">
      <c r="C630" s="12"/>
      <c r="D630" s="12"/>
      <c r="E630" s="12"/>
      <c r="F630" s="12"/>
      <c r="G630" s="12"/>
      <c r="H630" s="12"/>
      <c r="I630" s="12"/>
      <c r="J630" s="12"/>
      <c r="K630" s="12"/>
      <c r="L630" s="12"/>
      <c r="M630" s="12"/>
      <c r="N630" s="12"/>
      <c r="O630" s="12"/>
    </row>
    <row r="631" spans="3:15">
      <c r="C631" s="12"/>
      <c r="D631" s="12"/>
      <c r="E631" s="12"/>
      <c r="F631" s="12"/>
      <c r="G631" s="12"/>
      <c r="H631" s="12"/>
      <c r="I631" s="12"/>
      <c r="J631" s="12"/>
      <c r="K631" s="12"/>
      <c r="L631" s="12"/>
      <c r="M631" s="12"/>
      <c r="N631" s="12"/>
      <c r="O631" s="12"/>
    </row>
    <row r="632" spans="3:15">
      <c r="C632" s="12"/>
      <c r="D632" s="12"/>
      <c r="E632" s="12"/>
      <c r="F632" s="12"/>
      <c r="G632" s="12"/>
      <c r="H632" s="12"/>
      <c r="I632" s="12"/>
      <c r="J632" s="12"/>
      <c r="K632" s="12"/>
      <c r="L632" s="12"/>
      <c r="M632" s="12"/>
      <c r="N632" s="12"/>
      <c r="O632" s="12"/>
    </row>
    <row r="633" spans="3:15">
      <c r="C633" s="12"/>
      <c r="D633" s="12"/>
      <c r="E633" s="12"/>
      <c r="F633" s="12"/>
      <c r="G633" s="12"/>
      <c r="H633" s="12"/>
      <c r="I633" s="12"/>
      <c r="J633" s="12"/>
      <c r="K633" s="12"/>
      <c r="L633" s="12"/>
      <c r="M633" s="12"/>
      <c r="N633" s="12"/>
      <c r="O633" s="12"/>
    </row>
    <row r="634" spans="3:15">
      <c r="C634" s="12"/>
      <c r="D634" s="12"/>
      <c r="E634" s="12"/>
      <c r="F634" s="12"/>
      <c r="G634" s="12"/>
      <c r="H634" s="12"/>
      <c r="I634" s="12"/>
      <c r="J634" s="12"/>
      <c r="K634" s="12"/>
      <c r="L634" s="12"/>
      <c r="M634" s="12"/>
      <c r="N634" s="12"/>
      <c r="O634" s="12"/>
    </row>
    <row r="635" spans="3:15">
      <c r="C635" s="12"/>
      <c r="D635" s="12"/>
      <c r="E635" s="12"/>
      <c r="F635" s="12"/>
      <c r="G635" s="12"/>
      <c r="H635" s="12"/>
      <c r="I635" s="12"/>
      <c r="J635" s="12"/>
      <c r="K635" s="12"/>
      <c r="L635" s="12"/>
      <c r="M635" s="12"/>
      <c r="N635" s="12"/>
      <c r="O635" s="12"/>
    </row>
    <row r="636" spans="3:15">
      <c r="C636" s="12"/>
      <c r="D636" s="12"/>
      <c r="E636" s="12"/>
      <c r="F636" s="12"/>
      <c r="G636" s="12"/>
      <c r="H636" s="12"/>
      <c r="I636" s="12"/>
      <c r="J636" s="12"/>
      <c r="K636" s="12"/>
      <c r="L636" s="12"/>
      <c r="M636" s="12"/>
      <c r="N636" s="12"/>
      <c r="O636" s="12"/>
    </row>
    <row r="637" spans="3:15">
      <c r="C637" s="12"/>
      <c r="D637" s="12"/>
      <c r="E637" s="12"/>
      <c r="F637" s="12"/>
      <c r="G637" s="12"/>
      <c r="H637" s="12"/>
      <c r="I637" s="12"/>
      <c r="J637" s="12"/>
      <c r="K637" s="12"/>
      <c r="L637" s="12"/>
      <c r="M637" s="12"/>
      <c r="N637" s="12"/>
      <c r="O637" s="12"/>
    </row>
    <row r="638" spans="3:15">
      <c r="C638" s="12"/>
      <c r="D638" s="12"/>
      <c r="E638" s="12"/>
      <c r="F638" s="12"/>
      <c r="G638" s="12"/>
      <c r="H638" s="12"/>
      <c r="I638" s="12"/>
      <c r="J638" s="12"/>
      <c r="K638" s="12"/>
      <c r="L638" s="12"/>
      <c r="M638" s="12"/>
      <c r="N638" s="12"/>
      <c r="O638" s="12"/>
    </row>
    <row r="639" spans="3:15">
      <c r="C639" s="12"/>
      <c r="D639" s="12"/>
      <c r="E639" s="12"/>
      <c r="F639" s="12"/>
      <c r="G639" s="12"/>
      <c r="H639" s="12"/>
      <c r="I639" s="12"/>
      <c r="J639" s="12"/>
      <c r="K639" s="12"/>
      <c r="L639" s="12"/>
      <c r="M639" s="12"/>
      <c r="N639" s="12"/>
      <c r="O639" s="12"/>
    </row>
    <row r="640" spans="3:15">
      <c r="C640" s="12"/>
      <c r="D640" s="12"/>
      <c r="E640" s="12"/>
      <c r="F640" s="12"/>
      <c r="G640" s="12"/>
      <c r="H640" s="12"/>
      <c r="I640" s="12"/>
      <c r="J640" s="12"/>
      <c r="K640" s="12"/>
      <c r="L640" s="12"/>
      <c r="M640" s="12"/>
      <c r="N640" s="12"/>
      <c r="O640" s="12"/>
    </row>
    <row r="641" spans="3:15">
      <c r="C641" s="12"/>
      <c r="D641" s="12"/>
      <c r="E641" s="12"/>
      <c r="F641" s="12"/>
      <c r="G641" s="12"/>
      <c r="H641" s="12"/>
      <c r="I641" s="12"/>
      <c r="J641" s="12"/>
      <c r="K641" s="12"/>
      <c r="L641" s="12"/>
      <c r="M641" s="12"/>
      <c r="N641" s="12"/>
      <c r="O641" s="12"/>
    </row>
    <row r="642" spans="3:15">
      <c r="C642" s="12"/>
      <c r="D642" s="12"/>
      <c r="E642" s="12"/>
      <c r="F642" s="12"/>
      <c r="G642" s="12"/>
      <c r="H642" s="12"/>
      <c r="I642" s="12"/>
      <c r="J642" s="12"/>
      <c r="K642" s="12"/>
      <c r="L642" s="12"/>
      <c r="M642" s="12"/>
      <c r="N642" s="12"/>
      <c r="O642" s="12"/>
    </row>
    <row r="643" spans="3:15">
      <c r="C643" s="12"/>
      <c r="D643" s="12"/>
      <c r="E643" s="12"/>
      <c r="F643" s="12"/>
      <c r="G643" s="12"/>
      <c r="H643" s="12"/>
      <c r="I643" s="12"/>
      <c r="J643" s="12"/>
      <c r="K643" s="12"/>
      <c r="L643" s="12"/>
      <c r="M643" s="12"/>
      <c r="N643" s="12"/>
      <c r="O643" s="12"/>
    </row>
    <row r="644" spans="3:15">
      <c r="C644" s="12"/>
      <c r="D644" s="12"/>
      <c r="E644" s="12"/>
      <c r="F644" s="12"/>
      <c r="G644" s="12"/>
      <c r="H644" s="12"/>
      <c r="I644" s="12"/>
      <c r="J644" s="12"/>
      <c r="K644" s="12"/>
      <c r="L644" s="12"/>
      <c r="M644" s="12"/>
      <c r="N644" s="12"/>
      <c r="O644" s="12"/>
    </row>
    <row r="645" spans="3:15">
      <c r="C645" s="12"/>
      <c r="D645" s="12"/>
      <c r="E645" s="12"/>
      <c r="F645" s="12"/>
      <c r="G645" s="12"/>
      <c r="H645" s="12"/>
      <c r="I645" s="12"/>
      <c r="J645" s="12"/>
      <c r="K645" s="12"/>
      <c r="L645" s="12"/>
      <c r="M645" s="12"/>
      <c r="N645" s="12"/>
      <c r="O645" s="12"/>
    </row>
    <row r="646" spans="3:15">
      <c r="C646" s="12"/>
      <c r="D646" s="12"/>
      <c r="E646" s="12"/>
      <c r="F646" s="12"/>
      <c r="G646" s="12"/>
      <c r="H646" s="12"/>
      <c r="I646" s="12"/>
      <c r="J646" s="12"/>
      <c r="K646" s="12"/>
      <c r="L646" s="12"/>
      <c r="M646" s="12"/>
      <c r="N646" s="12"/>
      <c r="O646" s="12"/>
    </row>
    <row r="647" spans="3:15">
      <c r="C647" s="12"/>
      <c r="D647" s="12"/>
      <c r="E647" s="12"/>
      <c r="F647" s="12"/>
      <c r="G647" s="12"/>
      <c r="H647" s="12"/>
      <c r="I647" s="12"/>
      <c r="J647" s="12"/>
      <c r="K647" s="12"/>
      <c r="L647" s="12"/>
      <c r="M647" s="12"/>
      <c r="N647" s="12"/>
      <c r="O647" s="12"/>
    </row>
    <row r="648" spans="3:15">
      <c r="C648" s="12"/>
      <c r="D648" s="12"/>
      <c r="E648" s="12"/>
      <c r="F648" s="12"/>
      <c r="G648" s="12"/>
      <c r="H648" s="12"/>
      <c r="I648" s="12"/>
      <c r="J648" s="12"/>
      <c r="K648" s="12"/>
      <c r="L648" s="12"/>
      <c r="M648" s="12"/>
      <c r="N648" s="12"/>
      <c r="O648" s="12"/>
    </row>
    <row r="649" spans="3:15">
      <c r="C649" s="12"/>
      <c r="D649" s="12"/>
      <c r="E649" s="12"/>
      <c r="F649" s="12"/>
      <c r="G649" s="12"/>
      <c r="H649" s="12"/>
      <c r="I649" s="12"/>
      <c r="J649" s="12"/>
      <c r="K649" s="12"/>
      <c r="L649" s="12"/>
      <c r="M649" s="12"/>
      <c r="N649" s="12"/>
      <c r="O649" s="12"/>
    </row>
    <row r="650" spans="3:15">
      <c r="C650" s="12"/>
      <c r="D650" s="12"/>
      <c r="E650" s="12"/>
      <c r="F650" s="12"/>
      <c r="G650" s="12"/>
      <c r="H650" s="12"/>
      <c r="I650" s="12"/>
      <c r="J650" s="12"/>
      <c r="K650" s="12"/>
      <c r="L650" s="12"/>
      <c r="M650" s="12"/>
      <c r="N650" s="12"/>
      <c r="O650" s="12"/>
    </row>
    <row r="651" spans="3:15">
      <c r="C651" s="12"/>
      <c r="D651" s="12"/>
      <c r="E651" s="12"/>
      <c r="F651" s="12"/>
      <c r="G651" s="12"/>
      <c r="H651" s="12"/>
      <c r="I651" s="12"/>
      <c r="J651" s="12"/>
      <c r="K651" s="12"/>
      <c r="L651" s="12"/>
      <c r="M651" s="12"/>
      <c r="N651" s="12"/>
      <c r="O651" s="12"/>
    </row>
    <row r="652" spans="3:15">
      <c r="C652" s="12"/>
      <c r="D652" s="12"/>
      <c r="E652" s="12"/>
      <c r="F652" s="12"/>
      <c r="G652" s="12"/>
      <c r="H652" s="12"/>
      <c r="I652" s="12"/>
      <c r="J652" s="12"/>
      <c r="K652" s="12"/>
      <c r="L652" s="12"/>
      <c r="M652" s="12"/>
      <c r="N652" s="12"/>
      <c r="O652" s="12"/>
    </row>
    <row r="653" spans="3:15">
      <c r="C653" s="12"/>
      <c r="D653" s="12"/>
      <c r="E653" s="12"/>
      <c r="F653" s="12"/>
      <c r="G653" s="12"/>
      <c r="H653" s="12"/>
      <c r="I653" s="12"/>
      <c r="J653" s="12"/>
      <c r="K653" s="12"/>
      <c r="L653" s="12"/>
      <c r="M653" s="12"/>
      <c r="N653" s="12"/>
      <c r="O653" s="12"/>
    </row>
    <row r="654" spans="3:15">
      <c r="C654" s="12"/>
      <c r="D654" s="12"/>
      <c r="E654" s="12"/>
      <c r="F654" s="12"/>
      <c r="G654" s="12"/>
      <c r="H654" s="12"/>
      <c r="I654" s="12"/>
      <c r="J654" s="12"/>
      <c r="K654" s="12"/>
      <c r="L654" s="12"/>
      <c r="M654" s="12"/>
      <c r="N654" s="12"/>
      <c r="O654" s="12"/>
    </row>
    <row r="655" spans="3:15">
      <c r="C655" s="12"/>
      <c r="D655" s="12"/>
      <c r="E655" s="12"/>
      <c r="F655" s="12"/>
      <c r="G655" s="12"/>
      <c r="H655" s="12"/>
      <c r="I655" s="12"/>
      <c r="J655" s="12"/>
      <c r="K655" s="12"/>
      <c r="L655" s="12"/>
      <c r="M655" s="12"/>
      <c r="N655" s="12"/>
      <c r="O655" s="12"/>
    </row>
    <row r="656" spans="3:15">
      <c r="C656" s="12"/>
      <c r="D656" s="12"/>
      <c r="E656" s="12"/>
      <c r="F656" s="12"/>
      <c r="G656" s="12"/>
      <c r="H656" s="12"/>
      <c r="I656" s="12"/>
      <c r="J656" s="12"/>
      <c r="K656" s="12"/>
      <c r="L656" s="12"/>
      <c r="M656" s="12"/>
      <c r="N656" s="12"/>
      <c r="O656" s="12"/>
    </row>
    <row r="657" spans="3:15">
      <c r="C657" s="12"/>
      <c r="D657" s="12"/>
      <c r="E657" s="12"/>
      <c r="F657" s="12"/>
      <c r="G657" s="12"/>
      <c r="H657" s="12"/>
      <c r="I657" s="12"/>
      <c r="J657" s="12"/>
      <c r="K657" s="12"/>
      <c r="L657" s="12"/>
      <c r="M657" s="12"/>
      <c r="N657" s="12"/>
      <c r="O657" s="12"/>
    </row>
    <row r="658" spans="3:15">
      <c r="C658" s="12"/>
      <c r="D658" s="12"/>
      <c r="E658" s="12"/>
      <c r="F658" s="12"/>
      <c r="G658" s="12"/>
      <c r="H658" s="12"/>
      <c r="I658" s="12"/>
      <c r="J658" s="12"/>
      <c r="K658" s="12"/>
      <c r="L658" s="12"/>
      <c r="M658" s="12"/>
      <c r="N658" s="12"/>
      <c r="O658" s="12"/>
    </row>
    <row r="659" spans="3:15">
      <c r="C659" s="12"/>
      <c r="D659" s="12"/>
      <c r="E659" s="12"/>
      <c r="F659" s="12"/>
      <c r="G659" s="12"/>
      <c r="H659" s="12"/>
      <c r="I659" s="12"/>
      <c r="J659" s="12"/>
      <c r="K659" s="12"/>
      <c r="L659" s="12"/>
      <c r="M659" s="12"/>
      <c r="N659" s="12"/>
      <c r="O659" s="12"/>
    </row>
    <row r="660" spans="3:15">
      <c r="C660" s="12"/>
      <c r="D660" s="12"/>
      <c r="E660" s="12"/>
      <c r="F660" s="12"/>
      <c r="G660" s="12"/>
      <c r="H660" s="12"/>
      <c r="I660" s="12"/>
      <c r="J660" s="12"/>
      <c r="K660" s="12"/>
      <c r="L660" s="12"/>
      <c r="M660" s="12"/>
      <c r="N660" s="12"/>
      <c r="O660" s="12"/>
    </row>
    <row r="661" spans="3:15">
      <c r="C661" s="12"/>
      <c r="D661" s="12"/>
      <c r="E661" s="12"/>
      <c r="F661" s="12"/>
      <c r="G661" s="12"/>
      <c r="H661" s="12"/>
      <c r="I661" s="12"/>
      <c r="J661" s="12"/>
      <c r="K661" s="12"/>
      <c r="L661" s="12"/>
      <c r="M661" s="12"/>
      <c r="N661" s="12"/>
      <c r="O661" s="12"/>
    </row>
    <row r="662" spans="3:15">
      <c r="C662" s="12"/>
      <c r="D662" s="12"/>
      <c r="E662" s="12"/>
      <c r="F662" s="12"/>
      <c r="G662" s="12"/>
      <c r="H662" s="12"/>
      <c r="I662" s="12"/>
      <c r="J662" s="12"/>
      <c r="K662" s="12"/>
      <c r="L662" s="12"/>
      <c r="M662" s="12"/>
      <c r="N662" s="12"/>
      <c r="O662" s="12"/>
    </row>
    <row r="663" spans="3:15">
      <c r="C663" s="12"/>
      <c r="D663" s="12"/>
      <c r="E663" s="12"/>
      <c r="F663" s="12"/>
      <c r="G663" s="12"/>
      <c r="H663" s="12"/>
      <c r="I663" s="12"/>
      <c r="J663" s="12"/>
      <c r="K663" s="12"/>
      <c r="L663" s="12"/>
      <c r="M663" s="12"/>
      <c r="N663" s="12"/>
      <c r="O663" s="12"/>
    </row>
    <row r="664" spans="3:15">
      <c r="C664" s="12"/>
      <c r="D664" s="12"/>
      <c r="E664" s="12"/>
      <c r="F664" s="12"/>
      <c r="G664" s="12"/>
      <c r="H664" s="12"/>
      <c r="I664" s="12"/>
      <c r="J664" s="12"/>
      <c r="K664" s="12"/>
      <c r="L664" s="12"/>
      <c r="M664" s="12"/>
      <c r="N664" s="12"/>
      <c r="O664" s="12"/>
    </row>
    <row r="665" spans="3:15">
      <c r="C665" s="12"/>
      <c r="D665" s="12"/>
      <c r="E665" s="12"/>
      <c r="F665" s="12"/>
      <c r="G665" s="12"/>
      <c r="H665" s="12"/>
      <c r="I665" s="12"/>
      <c r="J665" s="12"/>
      <c r="K665" s="12"/>
      <c r="L665" s="12"/>
      <c r="M665" s="12"/>
      <c r="N665" s="12"/>
      <c r="O665" s="12"/>
    </row>
    <row r="666" spans="3:15">
      <c r="C666" s="12"/>
      <c r="D666" s="12"/>
      <c r="E666" s="12"/>
      <c r="F666" s="12"/>
      <c r="G666" s="12"/>
      <c r="H666" s="12"/>
      <c r="I666" s="12"/>
      <c r="J666" s="12"/>
      <c r="K666" s="12"/>
      <c r="L666" s="12"/>
      <c r="M666" s="12"/>
      <c r="N666" s="12"/>
      <c r="O666" s="12"/>
    </row>
    <row r="667" spans="3:15">
      <c r="C667" s="12"/>
      <c r="D667" s="12"/>
      <c r="E667" s="12"/>
      <c r="F667" s="12"/>
      <c r="G667" s="12"/>
      <c r="H667" s="12"/>
      <c r="I667" s="12"/>
      <c r="J667" s="12"/>
      <c r="K667" s="12"/>
      <c r="L667" s="12"/>
      <c r="M667" s="12"/>
      <c r="N667" s="12"/>
      <c r="O667" s="12"/>
    </row>
    <row r="668" spans="3:15">
      <c r="C668" s="12"/>
      <c r="D668" s="12"/>
      <c r="E668" s="12"/>
      <c r="F668" s="12"/>
      <c r="G668" s="12"/>
      <c r="H668" s="12"/>
      <c r="I668" s="12"/>
      <c r="J668" s="12"/>
      <c r="K668" s="12"/>
      <c r="L668" s="12"/>
      <c r="M668" s="12"/>
      <c r="N668" s="12"/>
      <c r="O668" s="12"/>
    </row>
    <row r="669" spans="3:15">
      <c r="C669" s="12"/>
      <c r="D669" s="12"/>
      <c r="E669" s="12"/>
      <c r="F669" s="12"/>
      <c r="G669" s="12"/>
      <c r="H669" s="12"/>
      <c r="I669" s="12"/>
      <c r="J669" s="12"/>
      <c r="K669" s="12"/>
      <c r="L669" s="12"/>
      <c r="M669" s="12"/>
      <c r="N669" s="12"/>
      <c r="O669" s="12"/>
    </row>
    <row r="670" spans="3:15">
      <c r="C670" s="12"/>
      <c r="D670" s="12"/>
      <c r="E670" s="12"/>
      <c r="F670" s="12"/>
      <c r="G670" s="12"/>
      <c r="H670" s="12"/>
      <c r="I670" s="12"/>
      <c r="J670" s="12"/>
      <c r="K670" s="12"/>
      <c r="L670" s="12"/>
      <c r="M670" s="12"/>
      <c r="N670" s="12"/>
      <c r="O670" s="12"/>
    </row>
    <row r="671" spans="3:15">
      <c r="C671" s="12"/>
      <c r="D671" s="12"/>
      <c r="E671" s="12"/>
      <c r="F671" s="12"/>
      <c r="G671" s="12"/>
      <c r="H671" s="12"/>
      <c r="I671" s="12"/>
      <c r="J671" s="12"/>
      <c r="K671" s="12"/>
      <c r="L671" s="12"/>
      <c r="M671" s="12"/>
      <c r="N671" s="12"/>
      <c r="O671" s="12"/>
    </row>
    <row r="672" spans="3:15">
      <c r="C672" s="12"/>
      <c r="D672" s="12"/>
      <c r="E672" s="12"/>
      <c r="F672" s="12"/>
      <c r="G672" s="12"/>
      <c r="H672" s="12"/>
      <c r="I672" s="12"/>
      <c r="J672" s="12"/>
      <c r="K672" s="12"/>
      <c r="L672" s="12"/>
      <c r="M672" s="12"/>
      <c r="N672" s="12"/>
      <c r="O672" s="12"/>
    </row>
    <row r="673" spans="3:15">
      <c r="C673" s="12"/>
      <c r="D673" s="12"/>
      <c r="E673" s="12"/>
      <c r="F673" s="12"/>
      <c r="G673" s="12"/>
      <c r="H673" s="12"/>
      <c r="I673" s="12"/>
      <c r="J673" s="12"/>
      <c r="K673" s="12"/>
      <c r="L673" s="12"/>
      <c r="M673" s="12"/>
      <c r="N673" s="12"/>
      <c r="O673" s="12"/>
    </row>
    <row r="674" spans="3:15">
      <c r="C674" s="12"/>
      <c r="D674" s="12"/>
      <c r="E674" s="12"/>
      <c r="F674" s="12"/>
      <c r="G674" s="12"/>
      <c r="H674" s="12"/>
      <c r="I674" s="12"/>
      <c r="J674" s="12"/>
      <c r="K674" s="12"/>
      <c r="L674" s="12"/>
      <c r="M674" s="12"/>
      <c r="N674" s="12"/>
      <c r="O674" s="12"/>
    </row>
    <row r="675" spans="3:15">
      <c r="C675" s="12"/>
      <c r="D675" s="12"/>
      <c r="E675" s="12"/>
      <c r="F675" s="12"/>
      <c r="G675" s="12"/>
      <c r="H675" s="12"/>
      <c r="I675" s="12"/>
      <c r="J675" s="12"/>
      <c r="K675" s="12"/>
      <c r="L675" s="12"/>
      <c r="M675" s="12"/>
      <c r="N675" s="12"/>
      <c r="O675" s="12"/>
    </row>
    <row r="676" spans="3:15">
      <c r="C676" s="12"/>
      <c r="D676" s="12"/>
      <c r="E676" s="12"/>
      <c r="F676" s="12"/>
      <c r="G676" s="12"/>
      <c r="H676" s="12"/>
      <c r="I676" s="12"/>
      <c r="J676" s="12"/>
      <c r="K676" s="12"/>
      <c r="L676" s="12"/>
      <c r="M676" s="12"/>
      <c r="N676" s="12"/>
      <c r="O676" s="12"/>
    </row>
    <row r="677" spans="3:15">
      <c r="C677" s="12"/>
      <c r="D677" s="12"/>
      <c r="E677" s="12"/>
      <c r="F677" s="12"/>
      <c r="G677" s="12"/>
      <c r="H677" s="12"/>
      <c r="I677" s="12"/>
      <c r="J677" s="12"/>
      <c r="K677" s="12"/>
      <c r="L677" s="12"/>
      <c r="M677" s="12"/>
      <c r="N677" s="12"/>
      <c r="O677" s="12"/>
    </row>
    <row r="678" spans="3:15">
      <c r="C678" s="12"/>
      <c r="D678" s="12"/>
      <c r="E678" s="12"/>
      <c r="F678" s="12"/>
      <c r="G678" s="12"/>
      <c r="H678" s="12"/>
      <c r="I678" s="12"/>
      <c r="J678" s="12"/>
      <c r="K678" s="12"/>
      <c r="L678" s="12"/>
      <c r="M678" s="12"/>
      <c r="N678" s="12"/>
      <c r="O678" s="12"/>
    </row>
    <row r="679" spans="3:15">
      <c r="C679" s="12"/>
      <c r="D679" s="12"/>
      <c r="E679" s="12"/>
      <c r="F679" s="12"/>
      <c r="G679" s="12"/>
      <c r="H679" s="12"/>
      <c r="I679" s="12"/>
      <c r="J679" s="12"/>
      <c r="K679" s="12"/>
      <c r="L679" s="12"/>
      <c r="M679" s="12"/>
      <c r="N679" s="12"/>
      <c r="O679" s="12"/>
    </row>
    <row r="680" spans="3:15">
      <c r="C680" s="12"/>
      <c r="D680" s="12"/>
      <c r="E680" s="12"/>
      <c r="F680" s="12"/>
      <c r="G680" s="12"/>
      <c r="H680" s="12"/>
      <c r="I680" s="12"/>
      <c r="J680" s="12"/>
      <c r="K680" s="12"/>
      <c r="L680" s="12"/>
      <c r="M680" s="12"/>
      <c r="N680" s="12"/>
      <c r="O680" s="12"/>
    </row>
    <row r="681" spans="3:15">
      <c r="C681" s="12"/>
      <c r="D681" s="12"/>
      <c r="E681" s="12"/>
      <c r="F681" s="12"/>
      <c r="G681" s="12"/>
      <c r="H681" s="12"/>
      <c r="I681" s="12"/>
      <c r="J681" s="12"/>
      <c r="K681" s="12"/>
      <c r="L681" s="12"/>
      <c r="M681" s="12"/>
      <c r="N681" s="12"/>
      <c r="O681" s="12"/>
    </row>
    <row r="682" spans="3:15">
      <c r="C682" s="12"/>
      <c r="D682" s="12"/>
      <c r="E682" s="12"/>
      <c r="F682" s="12"/>
      <c r="G682" s="12"/>
      <c r="H682" s="12"/>
      <c r="I682" s="12"/>
      <c r="J682" s="12"/>
      <c r="K682" s="12"/>
      <c r="L682" s="12"/>
      <c r="M682" s="12"/>
      <c r="N682" s="12"/>
      <c r="O682" s="12"/>
    </row>
    <row r="683" spans="3:15">
      <c r="C683" s="12"/>
      <c r="D683" s="12"/>
      <c r="E683" s="12"/>
      <c r="F683" s="12"/>
      <c r="G683" s="12"/>
      <c r="H683" s="12"/>
      <c r="I683" s="12"/>
      <c r="J683" s="12"/>
      <c r="K683" s="12"/>
      <c r="L683" s="12"/>
      <c r="M683" s="12"/>
      <c r="N683" s="12"/>
      <c r="O683" s="12"/>
    </row>
    <row r="684" spans="3:15">
      <c r="C684" s="12"/>
      <c r="D684" s="12"/>
      <c r="E684" s="12"/>
      <c r="F684" s="12"/>
      <c r="G684" s="12"/>
      <c r="H684" s="12"/>
      <c r="I684" s="12"/>
      <c r="J684" s="12"/>
      <c r="K684" s="12"/>
      <c r="L684" s="12"/>
      <c r="M684" s="12"/>
      <c r="N684" s="12"/>
      <c r="O684" s="12"/>
    </row>
    <row r="685" spans="3:15">
      <c r="C685" s="12"/>
      <c r="D685" s="12"/>
      <c r="E685" s="12"/>
      <c r="F685" s="12"/>
      <c r="G685" s="12"/>
      <c r="H685" s="12"/>
      <c r="I685" s="12"/>
      <c r="J685" s="12"/>
      <c r="K685" s="12"/>
      <c r="L685" s="12"/>
      <c r="M685" s="12"/>
      <c r="N685" s="12"/>
      <c r="O685" s="12"/>
    </row>
    <row r="686" spans="3:15">
      <c r="C686" s="12"/>
      <c r="D686" s="12"/>
      <c r="E686" s="12"/>
      <c r="F686" s="12"/>
      <c r="G686" s="12"/>
      <c r="H686" s="12"/>
      <c r="I686" s="12"/>
      <c r="J686" s="12"/>
      <c r="K686" s="12"/>
      <c r="L686" s="12"/>
      <c r="M686" s="12"/>
      <c r="N686" s="12"/>
      <c r="O686" s="12"/>
    </row>
    <row r="687" spans="3:15">
      <c r="C687" s="12"/>
      <c r="D687" s="12"/>
      <c r="E687" s="12"/>
      <c r="F687" s="12"/>
      <c r="G687" s="12"/>
      <c r="H687" s="12"/>
      <c r="I687" s="12"/>
      <c r="J687" s="12"/>
      <c r="K687" s="12"/>
      <c r="L687" s="12"/>
      <c r="M687" s="12"/>
      <c r="N687" s="12"/>
      <c r="O687" s="12"/>
    </row>
    <row r="688" spans="3:15">
      <c r="C688" s="12"/>
      <c r="D688" s="12"/>
      <c r="E688" s="12"/>
      <c r="F688" s="12"/>
      <c r="G688" s="12"/>
      <c r="H688" s="12"/>
      <c r="I688" s="12"/>
      <c r="J688" s="12"/>
      <c r="K688" s="12"/>
      <c r="L688" s="12"/>
      <c r="M688" s="12"/>
      <c r="N688" s="12"/>
      <c r="O688" s="12"/>
    </row>
    <row r="689" spans="3:15">
      <c r="C689" s="12"/>
      <c r="D689" s="12"/>
      <c r="E689" s="12"/>
      <c r="F689" s="12"/>
      <c r="G689" s="12"/>
      <c r="H689" s="12"/>
      <c r="I689" s="12"/>
      <c r="J689" s="12"/>
      <c r="K689" s="12"/>
      <c r="L689" s="12"/>
      <c r="M689" s="12"/>
      <c r="N689" s="12"/>
      <c r="O689" s="12"/>
    </row>
    <row r="690" spans="3:15">
      <c r="C690" s="12"/>
      <c r="D690" s="12"/>
      <c r="E690" s="12"/>
      <c r="F690" s="12"/>
      <c r="G690" s="12"/>
      <c r="H690" s="12"/>
      <c r="I690" s="12"/>
      <c r="J690" s="12"/>
      <c r="K690" s="12"/>
      <c r="L690" s="12"/>
      <c r="M690" s="12"/>
      <c r="N690" s="12"/>
      <c r="O690" s="12"/>
    </row>
    <row r="691" spans="3:15">
      <c r="C691" s="12"/>
      <c r="D691" s="12"/>
      <c r="E691" s="12"/>
      <c r="F691" s="12"/>
      <c r="G691" s="12"/>
      <c r="H691" s="12"/>
      <c r="I691" s="12"/>
      <c r="J691" s="12"/>
      <c r="K691" s="12"/>
      <c r="L691" s="12"/>
      <c r="M691" s="12"/>
      <c r="N691" s="12"/>
      <c r="O691" s="12"/>
    </row>
    <row r="692" spans="3:15">
      <c r="C692" s="12"/>
      <c r="D692" s="12"/>
      <c r="E692" s="12"/>
      <c r="F692" s="12"/>
      <c r="G692" s="12"/>
      <c r="H692" s="12"/>
      <c r="I692" s="12"/>
      <c r="J692" s="12"/>
      <c r="K692" s="12"/>
      <c r="L692" s="12"/>
      <c r="M692" s="12"/>
      <c r="N692" s="12"/>
      <c r="O692" s="12"/>
    </row>
    <row r="693" spans="3:15">
      <c r="C693" s="12"/>
      <c r="D693" s="12"/>
      <c r="E693" s="12"/>
      <c r="F693" s="12"/>
      <c r="G693" s="12"/>
      <c r="H693" s="12"/>
      <c r="I693" s="12"/>
      <c r="J693" s="12"/>
      <c r="K693" s="12"/>
      <c r="L693" s="12"/>
      <c r="M693" s="12"/>
      <c r="N693" s="12"/>
      <c r="O693" s="12"/>
    </row>
    <row r="694" spans="3:15">
      <c r="C694" s="12"/>
      <c r="D694" s="12"/>
      <c r="E694" s="12"/>
      <c r="F694" s="12"/>
      <c r="G694" s="12"/>
      <c r="H694" s="12"/>
      <c r="I694" s="12"/>
      <c r="J694" s="12"/>
      <c r="K694" s="12"/>
      <c r="L694" s="12"/>
      <c r="M694" s="12"/>
      <c r="N694" s="12"/>
      <c r="O694" s="12"/>
    </row>
    <row r="695" spans="3:15">
      <c r="C695" s="12"/>
      <c r="D695" s="12"/>
      <c r="E695" s="12"/>
      <c r="F695" s="12"/>
      <c r="G695" s="12"/>
      <c r="H695" s="12"/>
      <c r="I695" s="12"/>
      <c r="J695" s="12"/>
      <c r="K695" s="12"/>
      <c r="L695" s="12"/>
      <c r="M695" s="12"/>
      <c r="N695" s="12"/>
      <c r="O695" s="12"/>
    </row>
    <row r="696" spans="3:15">
      <c r="C696" s="12"/>
      <c r="D696" s="12"/>
      <c r="E696" s="12"/>
      <c r="F696" s="12"/>
      <c r="G696" s="12"/>
      <c r="H696" s="12"/>
      <c r="I696" s="12"/>
      <c r="J696" s="12"/>
      <c r="K696" s="12"/>
      <c r="L696" s="12"/>
      <c r="M696" s="12"/>
      <c r="N696" s="12"/>
      <c r="O696" s="12"/>
    </row>
    <row r="697" spans="3:15">
      <c r="C697" s="12"/>
      <c r="D697" s="12"/>
      <c r="E697" s="12"/>
      <c r="F697" s="12"/>
      <c r="G697" s="12"/>
      <c r="H697" s="12"/>
      <c r="I697" s="12"/>
      <c r="J697" s="12"/>
      <c r="K697" s="12"/>
      <c r="L697" s="12"/>
      <c r="M697" s="12"/>
      <c r="N697" s="12"/>
      <c r="O697" s="12"/>
    </row>
    <row r="698" spans="3:15">
      <c r="C698" s="12"/>
      <c r="D698" s="12"/>
      <c r="E698" s="12"/>
      <c r="F698" s="12"/>
      <c r="G698" s="12"/>
      <c r="H698" s="12"/>
      <c r="I698" s="12"/>
      <c r="J698" s="12"/>
      <c r="K698" s="12"/>
      <c r="L698" s="12"/>
      <c r="M698" s="12"/>
      <c r="N698" s="12"/>
      <c r="O698" s="12"/>
    </row>
    <row r="699" spans="3:15">
      <c r="C699" s="12"/>
      <c r="D699" s="12"/>
      <c r="E699" s="12"/>
      <c r="F699" s="12"/>
      <c r="G699" s="12"/>
      <c r="H699" s="12"/>
      <c r="I699" s="12"/>
      <c r="J699" s="12"/>
      <c r="K699" s="12"/>
      <c r="L699" s="12"/>
      <c r="M699" s="12"/>
      <c r="N699" s="12"/>
      <c r="O699" s="12"/>
    </row>
    <row r="700" spans="3:15">
      <c r="C700" s="12"/>
      <c r="D700" s="12"/>
      <c r="E700" s="12"/>
      <c r="F700" s="12"/>
      <c r="G700" s="12"/>
      <c r="H700" s="12"/>
      <c r="I700" s="12"/>
      <c r="J700" s="12"/>
      <c r="K700" s="12"/>
      <c r="L700" s="12"/>
      <c r="M700" s="12"/>
      <c r="N700" s="12"/>
      <c r="O700" s="12"/>
    </row>
    <row r="701" spans="3:15">
      <c r="C701" s="12"/>
      <c r="D701" s="12"/>
      <c r="E701" s="12"/>
      <c r="F701" s="12"/>
      <c r="G701" s="12"/>
      <c r="H701" s="12"/>
      <c r="I701" s="12"/>
      <c r="J701" s="12"/>
      <c r="K701" s="12"/>
      <c r="L701" s="12"/>
      <c r="M701" s="12"/>
      <c r="N701" s="12"/>
      <c r="O701" s="12"/>
    </row>
    <row r="702" spans="3:15">
      <c r="C702" s="12"/>
      <c r="D702" s="12"/>
      <c r="E702" s="12"/>
      <c r="F702" s="12"/>
      <c r="G702" s="12"/>
      <c r="H702" s="12"/>
      <c r="I702" s="12"/>
      <c r="J702" s="12"/>
      <c r="K702" s="12"/>
      <c r="L702" s="12"/>
      <c r="M702" s="12"/>
      <c r="N702" s="12"/>
      <c r="O702" s="12"/>
    </row>
    <row r="703" spans="3:15">
      <c r="C703" s="12"/>
      <c r="D703" s="12"/>
      <c r="E703" s="12"/>
      <c r="F703" s="12"/>
      <c r="G703" s="12"/>
      <c r="H703" s="12"/>
      <c r="I703" s="12"/>
      <c r="J703" s="12"/>
      <c r="K703" s="12"/>
      <c r="L703" s="12"/>
      <c r="M703" s="12"/>
      <c r="N703" s="12"/>
      <c r="O703" s="12"/>
    </row>
    <row r="704" spans="3:15">
      <c r="C704" s="12"/>
      <c r="D704" s="12"/>
      <c r="E704" s="12"/>
      <c r="F704" s="12"/>
      <c r="G704" s="12"/>
      <c r="H704" s="12"/>
      <c r="I704" s="12"/>
      <c r="J704" s="12"/>
      <c r="K704" s="12"/>
      <c r="L704" s="12"/>
      <c r="M704" s="12"/>
      <c r="N704" s="12"/>
      <c r="O704" s="12"/>
    </row>
    <row r="705" spans="3:15">
      <c r="C705" s="12"/>
      <c r="D705" s="12"/>
      <c r="E705" s="12"/>
      <c r="F705" s="12"/>
      <c r="G705" s="12"/>
      <c r="H705" s="12"/>
      <c r="I705" s="12"/>
      <c r="J705" s="12"/>
      <c r="K705" s="12"/>
      <c r="L705" s="12"/>
      <c r="M705" s="12"/>
      <c r="N705" s="12"/>
      <c r="O705" s="12"/>
    </row>
    <row r="706" spans="3:15">
      <c r="C706" s="12"/>
      <c r="D706" s="12"/>
      <c r="E706" s="12"/>
      <c r="F706" s="12"/>
      <c r="G706" s="12"/>
      <c r="H706" s="12"/>
      <c r="I706" s="12"/>
      <c r="J706" s="12"/>
      <c r="K706" s="12"/>
      <c r="L706" s="12"/>
      <c r="M706" s="12"/>
      <c r="N706" s="12"/>
      <c r="O706" s="12"/>
    </row>
    <row r="707" spans="3:15">
      <c r="C707" s="12"/>
      <c r="D707" s="12"/>
      <c r="E707" s="12"/>
      <c r="F707" s="12"/>
      <c r="G707" s="12"/>
      <c r="H707" s="12"/>
      <c r="I707" s="12"/>
      <c r="J707" s="12"/>
      <c r="K707" s="12"/>
      <c r="L707" s="12"/>
      <c r="M707" s="12"/>
      <c r="N707" s="12"/>
      <c r="O707" s="12"/>
    </row>
    <row r="708" spans="3:15">
      <c r="C708" s="12"/>
      <c r="D708" s="12"/>
      <c r="E708" s="12"/>
      <c r="F708" s="12"/>
      <c r="G708" s="12"/>
      <c r="H708" s="12"/>
      <c r="I708" s="12"/>
      <c r="J708" s="12"/>
      <c r="K708" s="12"/>
      <c r="L708" s="12"/>
      <c r="M708" s="12"/>
      <c r="N708" s="12"/>
      <c r="O708" s="12"/>
    </row>
    <row r="709" spans="3:15">
      <c r="C709" s="12"/>
      <c r="D709" s="12"/>
      <c r="E709" s="12"/>
      <c r="F709" s="12"/>
      <c r="G709" s="12"/>
      <c r="H709" s="12"/>
      <c r="I709" s="12"/>
      <c r="J709" s="12"/>
      <c r="K709" s="12"/>
      <c r="L709" s="12"/>
      <c r="M709" s="12"/>
      <c r="N709" s="12"/>
      <c r="O709" s="12"/>
    </row>
    <row r="710" spans="3:15">
      <c r="C710" s="12"/>
      <c r="D710" s="12"/>
      <c r="E710" s="12"/>
      <c r="F710" s="12"/>
      <c r="G710" s="12"/>
      <c r="H710" s="12"/>
      <c r="I710" s="12"/>
      <c r="J710" s="12"/>
      <c r="K710" s="12"/>
      <c r="L710" s="12"/>
      <c r="M710" s="12"/>
      <c r="N710" s="12"/>
      <c r="O710" s="12"/>
    </row>
    <row r="711" spans="3:15">
      <c r="C711" s="12"/>
      <c r="D711" s="12"/>
      <c r="E711" s="12"/>
      <c r="F711" s="12"/>
      <c r="G711" s="12"/>
      <c r="H711" s="12"/>
      <c r="I711" s="12"/>
      <c r="J711" s="12"/>
      <c r="K711" s="12"/>
      <c r="L711" s="12"/>
      <c r="M711" s="12"/>
      <c r="N711" s="12"/>
      <c r="O711" s="12"/>
    </row>
    <row r="712" spans="3:15">
      <c r="C712" s="12"/>
      <c r="D712" s="12"/>
      <c r="E712" s="12"/>
      <c r="F712" s="12"/>
      <c r="G712" s="12"/>
      <c r="H712" s="12"/>
      <c r="I712" s="12"/>
      <c r="J712" s="12"/>
      <c r="K712" s="12"/>
      <c r="L712" s="12"/>
      <c r="M712" s="12"/>
      <c r="N712" s="12"/>
      <c r="O712" s="12"/>
    </row>
    <row r="713" spans="3:15">
      <c r="C713" s="12"/>
      <c r="D713" s="12"/>
      <c r="E713" s="12"/>
      <c r="F713" s="12"/>
      <c r="G713" s="12"/>
      <c r="H713" s="12"/>
      <c r="I713" s="12"/>
      <c r="J713" s="12"/>
      <c r="K713" s="12"/>
      <c r="L713" s="12"/>
      <c r="M713" s="12"/>
      <c r="N713" s="12"/>
      <c r="O713" s="12"/>
    </row>
    <row r="714" spans="3:15">
      <c r="C714" s="12"/>
      <c r="D714" s="12"/>
      <c r="E714" s="12"/>
      <c r="F714" s="12"/>
      <c r="G714" s="12"/>
      <c r="H714" s="12"/>
      <c r="I714" s="12"/>
      <c r="J714" s="12"/>
      <c r="K714" s="12"/>
      <c r="L714" s="12"/>
      <c r="M714" s="12"/>
      <c r="N714" s="12"/>
      <c r="O714" s="12"/>
    </row>
    <row r="715" spans="3:15">
      <c r="C715" s="12"/>
      <c r="D715" s="12"/>
      <c r="E715" s="12"/>
      <c r="F715" s="12"/>
      <c r="G715" s="12"/>
      <c r="H715" s="12"/>
      <c r="I715" s="12"/>
      <c r="J715" s="12"/>
      <c r="K715" s="12"/>
      <c r="L715" s="12"/>
      <c r="M715" s="12"/>
      <c r="N715" s="12"/>
      <c r="O715" s="12"/>
    </row>
    <row r="716" spans="3:15">
      <c r="C716" s="12"/>
      <c r="D716" s="12"/>
      <c r="E716" s="12"/>
      <c r="F716" s="12"/>
      <c r="G716" s="12"/>
      <c r="H716" s="12"/>
      <c r="I716" s="12"/>
      <c r="J716" s="12"/>
      <c r="K716" s="12"/>
      <c r="L716" s="12"/>
      <c r="M716" s="12"/>
      <c r="N716" s="12"/>
      <c r="O716" s="12"/>
    </row>
    <row r="717" spans="3:15">
      <c r="C717" s="12"/>
      <c r="D717" s="12"/>
      <c r="E717" s="12"/>
      <c r="F717" s="12"/>
      <c r="G717" s="12"/>
      <c r="H717" s="12"/>
      <c r="I717" s="12"/>
      <c r="J717" s="12"/>
      <c r="K717" s="12"/>
      <c r="L717" s="12"/>
      <c r="M717" s="12"/>
      <c r="N717" s="12"/>
      <c r="O717" s="12"/>
    </row>
    <row r="718" spans="3:15">
      <c r="C718" s="12"/>
      <c r="D718" s="12"/>
      <c r="E718" s="12"/>
      <c r="F718" s="12"/>
      <c r="G718" s="12"/>
      <c r="H718" s="12"/>
      <c r="I718" s="12"/>
      <c r="J718" s="12"/>
      <c r="K718" s="12"/>
      <c r="L718" s="12"/>
      <c r="M718" s="12"/>
      <c r="N718" s="12"/>
      <c r="O718" s="12"/>
    </row>
    <row r="719" spans="3:15">
      <c r="C719" s="12"/>
      <c r="D719" s="12"/>
      <c r="E719" s="12"/>
      <c r="F719" s="12"/>
      <c r="G719" s="12"/>
      <c r="H719" s="12"/>
      <c r="I719" s="12"/>
      <c r="J719" s="12"/>
      <c r="K719" s="12"/>
      <c r="L719" s="12"/>
      <c r="M719" s="12"/>
      <c r="N719" s="12"/>
      <c r="O719" s="12"/>
    </row>
    <row r="720" spans="3:15">
      <c r="C720" s="12"/>
      <c r="D720" s="12"/>
      <c r="E720" s="12"/>
      <c r="F720" s="12"/>
      <c r="G720" s="12"/>
      <c r="H720" s="12"/>
      <c r="I720" s="12"/>
      <c r="J720" s="12"/>
      <c r="K720" s="12"/>
      <c r="L720" s="12"/>
      <c r="M720" s="12"/>
      <c r="N720" s="12"/>
      <c r="O720" s="12"/>
    </row>
    <row r="721" spans="3:15">
      <c r="C721" s="12"/>
      <c r="D721" s="12"/>
      <c r="E721" s="12"/>
      <c r="F721" s="12"/>
      <c r="G721" s="12"/>
      <c r="H721" s="12"/>
      <c r="I721" s="12"/>
      <c r="J721" s="12"/>
      <c r="K721" s="12"/>
      <c r="L721" s="12"/>
      <c r="M721" s="12"/>
      <c r="N721" s="12"/>
      <c r="O721" s="12"/>
    </row>
    <row r="722" spans="3:15">
      <c r="C722" s="12"/>
      <c r="D722" s="12"/>
      <c r="E722" s="12"/>
      <c r="F722" s="12"/>
      <c r="G722" s="12"/>
      <c r="H722" s="12"/>
      <c r="I722" s="12"/>
      <c r="J722" s="12"/>
      <c r="K722" s="12"/>
      <c r="L722" s="12"/>
      <c r="M722" s="12"/>
      <c r="N722" s="12"/>
      <c r="O722" s="12"/>
    </row>
    <row r="723" spans="3:15">
      <c r="C723" s="12"/>
      <c r="D723" s="12"/>
      <c r="E723" s="12"/>
      <c r="F723" s="12"/>
      <c r="G723" s="12"/>
      <c r="H723" s="12"/>
      <c r="I723" s="12"/>
      <c r="J723" s="12"/>
      <c r="K723" s="12"/>
      <c r="L723" s="12"/>
      <c r="M723" s="12"/>
      <c r="N723" s="12"/>
      <c r="O723" s="12"/>
    </row>
    <row r="724" spans="3:15">
      <c r="C724" s="12"/>
      <c r="D724" s="12"/>
      <c r="E724" s="12"/>
      <c r="F724" s="12"/>
      <c r="G724" s="12"/>
      <c r="H724" s="12"/>
      <c r="I724" s="12"/>
      <c r="J724" s="12"/>
      <c r="K724" s="12"/>
      <c r="L724" s="12"/>
      <c r="M724" s="12"/>
      <c r="N724" s="12"/>
      <c r="O724" s="12"/>
    </row>
    <row r="725" spans="3:15">
      <c r="C725" s="12"/>
      <c r="D725" s="12"/>
      <c r="E725" s="12"/>
      <c r="F725" s="12"/>
      <c r="G725" s="12"/>
      <c r="H725" s="12"/>
      <c r="I725" s="12"/>
      <c r="J725" s="12"/>
      <c r="K725" s="12"/>
      <c r="L725" s="12"/>
      <c r="M725" s="12"/>
      <c r="N725" s="12"/>
      <c r="O725" s="12"/>
    </row>
    <row r="726" spans="3:15">
      <c r="C726" s="12"/>
      <c r="D726" s="12"/>
      <c r="E726" s="12"/>
      <c r="F726" s="12"/>
      <c r="G726" s="12"/>
      <c r="H726" s="12"/>
      <c r="I726" s="12"/>
      <c r="J726" s="12"/>
      <c r="K726" s="12"/>
      <c r="L726" s="12"/>
      <c r="M726" s="12"/>
      <c r="N726" s="12"/>
      <c r="O726" s="12"/>
    </row>
    <row r="727" spans="3:15">
      <c r="C727" s="12"/>
      <c r="D727" s="12"/>
      <c r="E727" s="12"/>
      <c r="F727" s="12"/>
      <c r="G727" s="12"/>
      <c r="H727" s="12"/>
      <c r="I727" s="12"/>
      <c r="J727" s="12"/>
      <c r="K727" s="12"/>
      <c r="L727" s="12"/>
      <c r="M727" s="12"/>
      <c r="N727" s="12"/>
      <c r="O727" s="12"/>
    </row>
    <row r="728" spans="3:15">
      <c r="C728" s="12"/>
      <c r="D728" s="12"/>
      <c r="E728" s="12"/>
      <c r="F728" s="12"/>
      <c r="G728" s="12"/>
      <c r="H728" s="12"/>
      <c r="I728" s="12"/>
      <c r="J728" s="12"/>
      <c r="K728" s="12"/>
      <c r="L728" s="12"/>
      <c r="M728" s="12"/>
      <c r="N728" s="12"/>
      <c r="O728" s="12"/>
    </row>
    <row r="729" spans="3:15">
      <c r="C729" s="12"/>
      <c r="D729" s="12"/>
      <c r="E729" s="12"/>
      <c r="F729" s="12"/>
      <c r="G729" s="12"/>
      <c r="H729" s="12"/>
      <c r="I729" s="12"/>
      <c r="J729" s="12"/>
      <c r="K729" s="12"/>
      <c r="L729" s="12"/>
      <c r="M729" s="12"/>
      <c r="N729" s="12"/>
      <c r="O729" s="12"/>
    </row>
    <row r="730" spans="3:15">
      <c r="C730" s="12"/>
      <c r="D730" s="12"/>
      <c r="E730" s="12"/>
      <c r="F730" s="12"/>
      <c r="G730" s="12"/>
      <c r="H730" s="12"/>
      <c r="I730" s="12"/>
      <c r="J730" s="12"/>
      <c r="K730" s="12"/>
      <c r="L730" s="12"/>
      <c r="M730" s="12"/>
      <c r="N730" s="12"/>
      <c r="O730" s="12"/>
    </row>
    <row r="731" spans="3:15">
      <c r="C731" s="12"/>
      <c r="D731" s="12"/>
      <c r="E731" s="12"/>
      <c r="F731" s="12"/>
      <c r="G731" s="12"/>
      <c r="H731" s="12"/>
      <c r="I731" s="12"/>
      <c r="J731" s="12"/>
      <c r="K731" s="12"/>
      <c r="L731" s="12"/>
      <c r="M731" s="12"/>
      <c r="N731" s="12"/>
      <c r="O731" s="12"/>
    </row>
    <row r="732" spans="3:15">
      <c r="C732" s="12"/>
      <c r="D732" s="12"/>
      <c r="E732" s="12"/>
      <c r="F732" s="12"/>
      <c r="G732" s="12"/>
      <c r="H732" s="12"/>
      <c r="I732" s="12"/>
      <c r="J732" s="12"/>
      <c r="K732" s="12"/>
      <c r="L732" s="12"/>
      <c r="M732" s="12"/>
      <c r="N732" s="12"/>
      <c r="O732" s="12"/>
    </row>
    <row r="733" spans="3:15">
      <c r="C733" s="12"/>
      <c r="D733" s="12"/>
      <c r="E733" s="12"/>
      <c r="F733" s="12"/>
      <c r="G733" s="12"/>
      <c r="H733" s="12"/>
      <c r="I733" s="12"/>
      <c r="J733" s="12"/>
      <c r="K733" s="12"/>
      <c r="L733" s="12"/>
      <c r="M733" s="12"/>
      <c r="N733" s="12"/>
      <c r="O733" s="12"/>
    </row>
    <row r="734" spans="3:15">
      <c r="C734" s="12"/>
      <c r="D734" s="12"/>
      <c r="E734" s="12"/>
      <c r="F734" s="12"/>
      <c r="G734" s="12"/>
      <c r="H734" s="12"/>
      <c r="I734" s="12"/>
      <c r="J734" s="12"/>
      <c r="K734" s="12"/>
      <c r="L734" s="12"/>
      <c r="M734" s="12"/>
      <c r="N734" s="12"/>
      <c r="O734" s="12"/>
    </row>
    <row r="735" spans="3:15">
      <c r="C735" s="12"/>
      <c r="D735" s="12"/>
      <c r="E735" s="12"/>
      <c r="F735" s="12"/>
      <c r="G735" s="12"/>
      <c r="H735" s="12"/>
      <c r="I735" s="12"/>
      <c r="J735" s="12"/>
      <c r="K735" s="12"/>
      <c r="L735" s="12"/>
      <c r="M735" s="12"/>
      <c r="N735" s="12"/>
      <c r="O735" s="12"/>
    </row>
    <row r="736" spans="3:15">
      <c r="C736" s="12"/>
      <c r="D736" s="12"/>
      <c r="E736" s="12"/>
      <c r="F736" s="12"/>
      <c r="G736" s="12"/>
      <c r="H736" s="12"/>
      <c r="I736" s="12"/>
      <c r="J736" s="12"/>
      <c r="K736" s="12"/>
      <c r="L736" s="12"/>
      <c r="M736" s="12"/>
      <c r="N736" s="12"/>
      <c r="O736" s="12"/>
    </row>
    <row r="737" spans="3:15">
      <c r="C737" s="12"/>
      <c r="D737" s="12"/>
      <c r="E737" s="12"/>
      <c r="F737" s="12"/>
      <c r="G737" s="12"/>
      <c r="H737" s="12"/>
      <c r="I737" s="12"/>
      <c r="J737" s="12"/>
      <c r="K737" s="12"/>
      <c r="L737" s="12"/>
      <c r="M737" s="12"/>
      <c r="N737" s="12"/>
      <c r="O737" s="12"/>
    </row>
    <row r="738" spans="3:15">
      <c r="C738" s="12"/>
      <c r="D738" s="12"/>
      <c r="E738" s="12"/>
      <c r="F738" s="12"/>
      <c r="G738" s="12"/>
      <c r="H738" s="12"/>
      <c r="I738" s="12"/>
      <c r="J738" s="12"/>
      <c r="K738" s="12"/>
      <c r="L738" s="12"/>
      <c r="M738" s="12"/>
      <c r="N738" s="12"/>
      <c r="O738" s="12"/>
    </row>
    <row r="739" spans="3:15">
      <c r="C739" s="12"/>
      <c r="D739" s="12"/>
      <c r="E739" s="12"/>
      <c r="F739" s="12"/>
      <c r="G739" s="12"/>
      <c r="H739" s="12"/>
      <c r="I739" s="12"/>
      <c r="J739" s="12"/>
      <c r="K739" s="12"/>
      <c r="L739" s="12"/>
      <c r="M739" s="12"/>
      <c r="N739" s="12"/>
      <c r="O739" s="12"/>
    </row>
    <row r="740" spans="3:15">
      <c r="C740" s="12"/>
      <c r="D740" s="12"/>
      <c r="E740" s="12"/>
      <c r="F740" s="12"/>
      <c r="G740" s="12"/>
      <c r="H740" s="12"/>
      <c r="I740" s="12"/>
      <c r="J740" s="12"/>
      <c r="K740" s="12"/>
      <c r="L740" s="12"/>
      <c r="M740" s="12"/>
      <c r="N740" s="12"/>
      <c r="O740" s="12"/>
    </row>
    <row r="741" spans="3:15">
      <c r="C741" s="12"/>
      <c r="D741" s="12"/>
      <c r="E741" s="12"/>
      <c r="F741" s="12"/>
      <c r="G741" s="12"/>
      <c r="H741" s="12"/>
      <c r="I741" s="12"/>
      <c r="J741" s="12"/>
      <c r="K741" s="12"/>
      <c r="L741" s="12"/>
      <c r="M741" s="12"/>
      <c r="N741" s="12"/>
      <c r="O741" s="12"/>
    </row>
    <row r="742" spans="3:15">
      <c r="C742" s="12"/>
      <c r="D742" s="12"/>
      <c r="E742" s="12"/>
      <c r="F742" s="12"/>
      <c r="G742" s="12"/>
      <c r="H742" s="12"/>
      <c r="I742" s="12"/>
      <c r="J742" s="12"/>
      <c r="K742" s="12"/>
      <c r="L742" s="12"/>
      <c r="M742" s="12"/>
      <c r="N742" s="12"/>
      <c r="O742" s="12"/>
    </row>
    <row r="743" spans="3:15">
      <c r="C743" s="12"/>
      <c r="D743" s="12"/>
      <c r="E743" s="12"/>
      <c r="F743" s="12"/>
      <c r="G743" s="12"/>
      <c r="H743" s="12"/>
      <c r="I743" s="12"/>
      <c r="J743" s="12"/>
      <c r="K743" s="12"/>
      <c r="L743" s="12"/>
      <c r="M743" s="12"/>
      <c r="N743" s="12"/>
      <c r="O743" s="12"/>
    </row>
    <row r="744" spans="3:15">
      <c r="C744" s="12"/>
      <c r="D744" s="12"/>
      <c r="E744" s="12"/>
      <c r="F744" s="12"/>
      <c r="G744" s="12"/>
      <c r="H744" s="12"/>
      <c r="I744" s="12"/>
      <c r="J744" s="12"/>
      <c r="K744" s="12"/>
      <c r="L744" s="12"/>
      <c r="M744" s="12"/>
      <c r="N744" s="12"/>
      <c r="O744" s="12"/>
    </row>
    <row r="745" spans="3:15">
      <c r="C745" s="12"/>
      <c r="D745" s="12"/>
      <c r="E745" s="12"/>
      <c r="F745" s="12"/>
      <c r="G745" s="12"/>
      <c r="H745" s="12"/>
      <c r="I745" s="12"/>
      <c r="J745" s="12"/>
      <c r="K745" s="12"/>
      <c r="L745" s="12"/>
      <c r="M745" s="12"/>
      <c r="N745" s="12"/>
      <c r="O745" s="12"/>
    </row>
    <row r="746" spans="3:15">
      <c r="C746" s="12"/>
      <c r="D746" s="12"/>
      <c r="E746" s="12"/>
      <c r="F746" s="12"/>
      <c r="G746" s="12"/>
      <c r="H746" s="12"/>
      <c r="I746" s="12"/>
      <c r="J746" s="12"/>
      <c r="K746" s="12"/>
      <c r="L746" s="12"/>
      <c r="M746" s="12"/>
      <c r="N746" s="12"/>
      <c r="O746" s="12"/>
    </row>
    <row r="747" spans="3:15">
      <c r="C747" s="12"/>
      <c r="D747" s="12"/>
      <c r="E747" s="12"/>
      <c r="F747" s="12"/>
      <c r="G747" s="12"/>
      <c r="H747" s="12"/>
      <c r="I747" s="12"/>
      <c r="J747" s="12"/>
      <c r="K747" s="12"/>
      <c r="L747" s="12"/>
      <c r="M747" s="12"/>
      <c r="N747" s="12"/>
      <c r="O747" s="12"/>
    </row>
    <row r="748" spans="3:15">
      <c r="C748" s="12"/>
      <c r="D748" s="12"/>
      <c r="E748" s="12"/>
      <c r="F748" s="12"/>
      <c r="G748" s="12"/>
      <c r="H748" s="12"/>
      <c r="I748" s="12"/>
      <c r="J748" s="12"/>
      <c r="K748" s="12"/>
      <c r="L748" s="12"/>
      <c r="M748" s="12"/>
      <c r="N748" s="12"/>
      <c r="O748" s="12"/>
    </row>
    <row r="749" spans="3:15">
      <c r="C749" s="12"/>
      <c r="D749" s="12"/>
      <c r="E749" s="12"/>
      <c r="F749" s="12"/>
      <c r="G749" s="12"/>
      <c r="H749" s="12"/>
      <c r="I749" s="12"/>
      <c r="J749" s="12"/>
      <c r="K749" s="12"/>
      <c r="L749" s="12"/>
      <c r="M749" s="12"/>
      <c r="N749" s="12"/>
      <c r="O749" s="12"/>
    </row>
    <row r="750" spans="3:15">
      <c r="C750" s="12"/>
      <c r="D750" s="12"/>
      <c r="E750" s="12"/>
      <c r="F750" s="12"/>
      <c r="G750" s="12"/>
      <c r="H750" s="12"/>
      <c r="I750" s="12"/>
      <c r="J750" s="12"/>
      <c r="K750" s="12"/>
      <c r="L750" s="12"/>
      <c r="M750" s="12"/>
      <c r="N750" s="12"/>
      <c r="O750" s="12"/>
    </row>
    <row r="751" spans="3:15">
      <c r="C751" s="12"/>
      <c r="D751" s="12"/>
      <c r="E751" s="12"/>
      <c r="F751" s="12"/>
      <c r="G751" s="12"/>
      <c r="H751" s="12"/>
      <c r="I751" s="12"/>
      <c r="J751" s="12"/>
      <c r="K751" s="12"/>
      <c r="L751" s="12"/>
      <c r="M751" s="12"/>
      <c r="N751" s="12"/>
      <c r="O751" s="12"/>
    </row>
    <row r="752" spans="3:15">
      <c r="C752" s="12"/>
      <c r="D752" s="12"/>
      <c r="E752" s="12"/>
      <c r="F752" s="12"/>
      <c r="G752" s="12"/>
      <c r="H752" s="12"/>
      <c r="I752" s="12"/>
      <c r="J752" s="12"/>
      <c r="K752" s="12"/>
      <c r="L752" s="12"/>
      <c r="M752" s="12"/>
      <c r="N752" s="12"/>
      <c r="O752" s="12"/>
    </row>
    <row r="753" spans="3:15">
      <c r="C753" s="12"/>
      <c r="D753" s="12"/>
      <c r="E753" s="12"/>
      <c r="F753" s="12"/>
      <c r="G753" s="12"/>
      <c r="H753" s="12"/>
      <c r="I753" s="12"/>
      <c r="J753" s="12"/>
      <c r="K753" s="12"/>
      <c r="L753" s="12"/>
      <c r="M753" s="12"/>
      <c r="N753" s="12"/>
      <c r="O753" s="12"/>
    </row>
    <row r="754" spans="3:15">
      <c r="C754" s="12"/>
      <c r="D754" s="12"/>
      <c r="E754" s="12"/>
      <c r="F754" s="12"/>
      <c r="G754" s="12"/>
      <c r="H754" s="12"/>
      <c r="I754" s="12"/>
      <c r="J754" s="12"/>
      <c r="K754" s="12"/>
      <c r="L754" s="12"/>
      <c r="M754" s="12"/>
      <c r="N754" s="12"/>
      <c r="O754" s="12"/>
    </row>
    <row r="755" spans="3:15">
      <c r="C755" s="12"/>
      <c r="D755" s="12"/>
      <c r="E755" s="12"/>
      <c r="F755" s="12"/>
      <c r="G755" s="12"/>
      <c r="H755" s="12"/>
      <c r="I755" s="12"/>
      <c r="J755" s="12"/>
      <c r="K755" s="12"/>
      <c r="L755" s="12"/>
      <c r="M755" s="12"/>
      <c r="N755" s="12"/>
      <c r="O755" s="12"/>
    </row>
    <row r="756" spans="3:15">
      <c r="C756" s="12"/>
      <c r="D756" s="12"/>
      <c r="E756" s="12"/>
      <c r="F756" s="12"/>
      <c r="G756" s="12"/>
      <c r="H756" s="12"/>
      <c r="I756" s="12"/>
      <c r="J756" s="12"/>
      <c r="K756" s="12"/>
      <c r="L756" s="12"/>
      <c r="M756" s="12"/>
      <c r="N756" s="12"/>
      <c r="O756" s="12"/>
    </row>
    <row r="757" spans="3:15">
      <c r="C757" s="12"/>
      <c r="D757" s="12"/>
      <c r="E757" s="12"/>
      <c r="F757" s="12"/>
      <c r="G757" s="12"/>
      <c r="H757" s="12"/>
      <c r="I757" s="12"/>
      <c r="J757" s="12"/>
      <c r="K757" s="12"/>
      <c r="L757" s="12"/>
      <c r="M757" s="12"/>
      <c r="N757" s="12"/>
      <c r="O757" s="12"/>
    </row>
    <row r="758" spans="3:15">
      <c r="C758" s="12"/>
      <c r="D758" s="12"/>
      <c r="E758" s="12"/>
      <c r="F758" s="12"/>
      <c r="G758" s="12"/>
      <c r="H758" s="12"/>
      <c r="I758" s="12"/>
      <c r="J758" s="12"/>
      <c r="K758" s="12"/>
      <c r="L758" s="12"/>
      <c r="M758" s="12"/>
      <c r="N758" s="12"/>
      <c r="O758" s="12"/>
    </row>
    <row r="759" spans="3:15">
      <c r="C759" s="12"/>
      <c r="D759" s="12"/>
      <c r="E759" s="12"/>
      <c r="F759" s="12"/>
      <c r="G759" s="12"/>
      <c r="H759" s="12"/>
      <c r="I759" s="12"/>
      <c r="J759" s="12"/>
      <c r="K759" s="12"/>
      <c r="L759" s="12"/>
      <c r="M759" s="12"/>
      <c r="N759" s="12"/>
      <c r="O759" s="12"/>
    </row>
    <row r="760" spans="3:15">
      <c r="C760" s="12"/>
      <c r="D760" s="12"/>
      <c r="E760" s="12"/>
      <c r="F760" s="12"/>
      <c r="G760" s="12"/>
      <c r="H760" s="12"/>
      <c r="I760" s="12"/>
      <c r="J760" s="12"/>
      <c r="K760" s="12"/>
      <c r="L760" s="12"/>
      <c r="M760" s="12"/>
      <c r="N760" s="12"/>
      <c r="O760" s="12"/>
    </row>
    <row r="761" spans="3:15">
      <c r="C761" s="12"/>
      <c r="D761" s="12"/>
      <c r="E761" s="12"/>
      <c r="F761" s="12"/>
      <c r="G761" s="12"/>
      <c r="H761" s="12"/>
      <c r="I761" s="12"/>
      <c r="J761" s="12"/>
      <c r="K761" s="12"/>
      <c r="L761" s="12"/>
      <c r="M761" s="12"/>
      <c r="N761" s="12"/>
      <c r="O761" s="12"/>
    </row>
    <row r="762" spans="3:15">
      <c r="C762" s="12"/>
      <c r="D762" s="12"/>
      <c r="E762" s="12"/>
      <c r="F762" s="12"/>
      <c r="G762" s="12"/>
      <c r="H762" s="12"/>
      <c r="I762" s="12"/>
      <c r="J762" s="12"/>
      <c r="K762" s="12"/>
      <c r="L762" s="12"/>
      <c r="M762" s="12"/>
      <c r="N762" s="12"/>
      <c r="O762" s="12"/>
    </row>
    <row r="763" spans="3:15">
      <c r="C763" s="12"/>
      <c r="D763" s="12"/>
      <c r="E763" s="12"/>
      <c r="F763" s="12"/>
      <c r="G763" s="12"/>
      <c r="H763" s="12"/>
      <c r="I763" s="12"/>
      <c r="J763" s="12"/>
      <c r="K763" s="12"/>
      <c r="L763" s="12"/>
      <c r="M763" s="12"/>
      <c r="N763" s="12"/>
      <c r="O763" s="12"/>
    </row>
    <row r="764" spans="3:15">
      <c r="C764" s="12"/>
      <c r="D764" s="12"/>
      <c r="E764" s="12"/>
      <c r="F764" s="12"/>
      <c r="G764" s="12"/>
      <c r="H764" s="12"/>
      <c r="I764" s="12"/>
      <c r="J764" s="12"/>
      <c r="K764" s="12"/>
      <c r="L764" s="12"/>
      <c r="M764" s="12"/>
      <c r="N764" s="12"/>
      <c r="O764" s="12"/>
    </row>
    <row r="765" spans="3:15">
      <c r="C765" s="12"/>
      <c r="D765" s="12"/>
      <c r="E765" s="12"/>
      <c r="F765" s="12"/>
      <c r="G765" s="12"/>
      <c r="H765" s="12"/>
      <c r="I765" s="12"/>
      <c r="J765" s="12"/>
      <c r="K765" s="12"/>
      <c r="L765" s="12"/>
      <c r="M765" s="12"/>
      <c r="N765" s="12"/>
      <c r="O765" s="12"/>
    </row>
    <row r="766" spans="3:15">
      <c r="C766" s="12"/>
      <c r="D766" s="12"/>
      <c r="E766" s="12"/>
      <c r="F766" s="12"/>
      <c r="G766" s="12"/>
      <c r="H766" s="12"/>
      <c r="I766" s="12"/>
      <c r="J766" s="12"/>
      <c r="K766" s="12"/>
      <c r="L766" s="12"/>
      <c r="M766" s="12"/>
      <c r="N766" s="12"/>
      <c r="O766" s="12"/>
    </row>
    <row r="767" spans="3:15">
      <c r="C767" s="12"/>
      <c r="D767" s="12"/>
      <c r="E767" s="12"/>
      <c r="F767" s="12"/>
      <c r="G767" s="12"/>
      <c r="H767" s="12"/>
      <c r="I767" s="12"/>
      <c r="J767" s="12"/>
      <c r="K767" s="12"/>
      <c r="L767" s="12"/>
      <c r="M767" s="12"/>
      <c r="N767" s="12"/>
      <c r="O767" s="12"/>
    </row>
    <row r="768" spans="3:15">
      <c r="C768" s="12"/>
      <c r="D768" s="12"/>
      <c r="E768" s="12"/>
      <c r="F768" s="12"/>
      <c r="G768" s="12"/>
      <c r="H768" s="12"/>
      <c r="I768" s="12"/>
      <c r="J768" s="12"/>
      <c r="K768" s="12"/>
      <c r="L768" s="12"/>
      <c r="M768" s="12"/>
      <c r="N768" s="12"/>
      <c r="O768" s="12"/>
    </row>
    <row r="769" spans="3:15">
      <c r="C769" s="12"/>
      <c r="D769" s="12"/>
      <c r="E769" s="12"/>
      <c r="F769" s="12"/>
      <c r="G769" s="12"/>
      <c r="H769" s="12"/>
      <c r="I769" s="12"/>
      <c r="J769" s="12"/>
      <c r="K769" s="12"/>
      <c r="L769" s="12"/>
      <c r="M769" s="12"/>
      <c r="N769" s="12"/>
      <c r="O769" s="12"/>
    </row>
    <row r="770" spans="3:15">
      <c r="C770" s="12"/>
      <c r="D770" s="12"/>
      <c r="E770" s="12"/>
      <c r="F770" s="12"/>
      <c r="G770" s="12"/>
      <c r="H770" s="12"/>
      <c r="I770" s="12"/>
      <c r="J770" s="12"/>
      <c r="K770" s="12"/>
      <c r="L770" s="12"/>
      <c r="M770" s="12"/>
      <c r="N770" s="12"/>
      <c r="O770" s="12"/>
    </row>
    <row r="771" spans="3:15">
      <c r="C771" s="12"/>
      <c r="D771" s="12"/>
      <c r="E771" s="12"/>
      <c r="F771" s="12"/>
      <c r="G771" s="12"/>
      <c r="H771" s="12"/>
      <c r="I771" s="12"/>
      <c r="J771" s="12"/>
      <c r="K771" s="12"/>
      <c r="L771" s="12"/>
      <c r="M771" s="12"/>
      <c r="N771" s="12"/>
      <c r="O771" s="12"/>
    </row>
    <row r="772" spans="3:15">
      <c r="C772" s="12"/>
      <c r="D772" s="12"/>
      <c r="E772" s="12"/>
      <c r="F772" s="12"/>
      <c r="G772" s="12"/>
      <c r="H772" s="12"/>
      <c r="I772" s="12"/>
      <c r="J772" s="12"/>
      <c r="K772" s="12"/>
      <c r="L772" s="12"/>
      <c r="M772" s="12"/>
      <c r="N772" s="12"/>
      <c r="O772" s="12"/>
    </row>
    <row r="773" spans="3:15">
      <c r="C773" s="12"/>
      <c r="D773" s="12"/>
      <c r="E773" s="12"/>
      <c r="F773" s="12"/>
      <c r="G773" s="12"/>
      <c r="H773" s="12"/>
      <c r="I773" s="12"/>
      <c r="J773" s="12"/>
      <c r="K773" s="12"/>
      <c r="L773" s="12"/>
      <c r="M773" s="12"/>
      <c r="N773" s="12"/>
      <c r="O773" s="12"/>
    </row>
    <row r="774" spans="3:15">
      <c r="C774" s="12"/>
      <c r="D774" s="12"/>
      <c r="E774" s="12"/>
      <c r="F774" s="12"/>
      <c r="G774" s="12"/>
      <c r="H774" s="12"/>
      <c r="I774" s="12"/>
      <c r="J774" s="12"/>
      <c r="K774" s="12"/>
      <c r="L774" s="12"/>
      <c r="M774" s="12"/>
      <c r="N774" s="12"/>
      <c r="O774" s="12"/>
    </row>
    <row r="775" spans="3:15">
      <c r="C775" s="12"/>
      <c r="D775" s="12"/>
      <c r="E775" s="12"/>
      <c r="F775" s="12"/>
      <c r="G775" s="12"/>
      <c r="H775" s="12"/>
      <c r="I775" s="12"/>
      <c r="J775" s="12"/>
      <c r="K775" s="12"/>
      <c r="L775" s="12"/>
      <c r="M775" s="12"/>
      <c r="N775" s="12"/>
      <c r="O775" s="12"/>
    </row>
    <row r="776" spans="3:15">
      <c r="C776" s="12"/>
      <c r="D776" s="12"/>
      <c r="E776" s="12"/>
      <c r="F776" s="12"/>
      <c r="G776" s="12"/>
      <c r="H776" s="12"/>
      <c r="I776" s="12"/>
      <c r="J776" s="12"/>
      <c r="K776" s="12"/>
      <c r="L776" s="12"/>
      <c r="M776" s="12"/>
      <c r="N776" s="12"/>
      <c r="O776" s="12"/>
    </row>
    <row r="777" spans="3:15">
      <c r="C777" s="12"/>
      <c r="D777" s="12"/>
      <c r="E777" s="12"/>
      <c r="F777" s="12"/>
      <c r="G777" s="12"/>
      <c r="H777" s="12"/>
      <c r="I777" s="12"/>
      <c r="J777" s="12"/>
      <c r="K777" s="12"/>
      <c r="L777" s="12"/>
      <c r="M777" s="12"/>
      <c r="N777" s="12"/>
      <c r="O777" s="12"/>
    </row>
    <row r="778" spans="3:15">
      <c r="C778" s="12"/>
      <c r="D778" s="12"/>
      <c r="E778" s="12"/>
      <c r="F778" s="12"/>
      <c r="G778" s="12"/>
      <c r="H778" s="12"/>
      <c r="I778" s="12"/>
      <c r="J778" s="12"/>
      <c r="K778" s="12"/>
      <c r="L778" s="12"/>
      <c r="M778" s="12"/>
      <c r="N778" s="12"/>
      <c r="O778" s="12"/>
    </row>
    <row r="779" spans="3:15">
      <c r="C779" s="12"/>
      <c r="D779" s="12"/>
      <c r="E779" s="12"/>
      <c r="F779" s="12"/>
      <c r="G779" s="12"/>
      <c r="H779" s="12"/>
      <c r="I779" s="12"/>
      <c r="J779" s="12"/>
      <c r="K779" s="12"/>
      <c r="L779" s="12"/>
      <c r="M779" s="12"/>
      <c r="N779" s="12"/>
      <c r="O779" s="12"/>
    </row>
    <row r="780" spans="3:15">
      <c r="C780" s="12"/>
      <c r="D780" s="12"/>
      <c r="E780" s="12"/>
      <c r="F780" s="12"/>
      <c r="G780" s="12"/>
      <c r="H780" s="12"/>
      <c r="I780" s="12"/>
      <c r="J780" s="12"/>
      <c r="K780" s="12"/>
      <c r="L780" s="12"/>
      <c r="M780" s="12"/>
      <c r="N780" s="12"/>
      <c r="O780" s="12"/>
    </row>
    <row r="781" spans="3:15">
      <c r="C781" s="12"/>
      <c r="D781" s="12"/>
      <c r="E781" s="12"/>
      <c r="F781" s="12"/>
      <c r="G781" s="12"/>
      <c r="H781" s="12"/>
      <c r="I781" s="12"/>
      <c r="J781" s="12"/>
      <c r="K781" s="12"/>
      <c r="L781" s="12"/>
      <c r="M781" s="12"/>
      <c r="N781" s="12"/>
      <c r="O781" s="12"/>
    </row>
    <row r="782" spans="3:15">
      <c r="C782" s="12"/>
      <c r="D782" s="12"/>
      <c r="E782" s="12"/>
      <c r="F782" s="12"/>
      <c r="G782" s="12"/>
      <c r="H782" s="12"/>
      <c r="I782" s="12"/>
      <c r="J782" s="12"/>
      <c r="K782" s="12"/>
      <c r="L782" s="12"/>
      <c r="M782" s="12"/>
      <c r="N782" s="12"/>
      <c r="O782" s="12"/>
    </row>
    <row r="783" spans="3:15">
      <c r="C783" s="12"/>
      <c r="D783" s="12"/>
      <c r="E783" s="12"/>
      <c r="F783" s="12"/>
      <c r="G783" s="12"/>
      <c r="H783" s="12"/>
      <c r="I783" s="12"/>
      <c r="J783" s="12"/>
      <c r="K783" s="12"/>
      <c r="L783" s="12"/>
      <c r="M783" s="12"/>
      <c r="N783" s="12"/>
      <c r="O783" s="12"/>
    </row>
    <row r="784" spans="3:15">
      <c r="C784" s="12"/>
      <c r="D784" s="12"/>
      <c r="E784" s="12"/>
      <c r="F784" s="12"/>
      <c r="G784" s="12"/>
      <c r="H784" s="12"/>
      <c r="I784" s="12"/>
      <c r="J784" s="12"/>
      <c r="K784" s="12"/>
      <c r="L784" s="12"/>
      <c r="M784" s="12"/>
      <c r="N784" s="12"/>
      <c r="O784" s="12"/>
    </row>
    <row r="785" spans="3:15">
      <c r="C785" s="12"/>
      <c r="D785" s="12"/>
      <c r="E785" s="12"/>
      <c r="F785" s="12"/>
      <c r="G785" s="12"/>
      <c r="H785" s="12"/>
      <c r="I785" s="12"/>
      <c r="J785" s="12"/>
      <c r="K785" s="12"/>
      <c r="L785" s="12"/>
      <c r="M785" s="12"/>
      <c r="N785" s="12"/>
      <c r="O785" s="12"/>
    </row>
    <row r="786" spans="3:15">
      <c r="C786" s="12"/>
      <c r="D786" s="12"/>
      <c r="E786" s="12"/>
      <c r="F786" s="12"/>
      <c r="G786" s="12"/>
      <c r="H786" s="12"/>
      <c r="I786" s="12"/>
      <c r="J786" s="12"/>
      <c r="K786" s="12"/>
      <c r="L786" s="12"/>
      <c r="M786" s="12"/>
      <c r="N786" s="12"/>
      <c r="O786" s="12"/>
    </row>
    <row r="787" spans="3:15">
      <c r="C787" s="12"/>
      <c r="D787" s="12"/>
      <c r="E787" s="12"/>
      <c r="F787" s="12"/>
      <c r="G787" s="12"/>
      <c r="H787" s="12"/>
      <c r="I787" s="12"/>
      <c r="J787" s="12"/>
      <c r="K787" s="12"/>
      <c r="L787" s="12"/>
      <c r="M787" s="12"/>
      <c r="N787" s="12"/>
      <c r="O787" s="12"/>
    </row>
    <row r="788" spans="3:15">
      <c r="C788" s="12"/>
      <c r="D788" s="12"/>
      <c r="E788" s="12"/>
      <c r="F788" s="12"/>
      <c r="G788" s="12"/>
      <c r="H788" s="12"/>
      <c r="I788" s="12"/>
      <c r="J788" s="12"/>
      <c r="K788" s="12"/>
      <c r="L788" s="12"/>
      <c r="M788" s="12"/>
      <c r="N788" s="12"/>
      <c r="O788" s="12"/>
    </row>
    <row r="789" spans="3:15">
      <c r="C789" s="12"/>
      <c r="D789" s="12"/>
      <c r="E789" s="12"/>
      <c r="F789" s="12"/>
      <c r="G789" s="12"/>
      <c r="H789" s="12"/>
      <c r="I789" s="12"/>
      <c r="J789" s="12"/>
      <c r="K789" s="12"/>
      <c r="L789" s="12"/>
      <c r="M789" s="12"/>
      <c r="N789" s="12"/>
      <c r="O789" s="12"/>
    </row>
    <row r="790" spans="3:15">
      <c r="C790" s="12"/>
      <c r="D790" s="12"/>
      <c r="E790" s="12"/>
      <c r="F790" s="12"/>
      <c r="G790" s="12"/>
      <c r="H790" s="12"/>
      <c r="I790" s="12"/>
      <c r="J790" s="12"/>
      <c r="K790" s="12"/>
      <c r="L790" s="12"/>
      <c r="M790" s="12"/>
      <c r="N790" s="12"/>
      <c r="O790" s="12"/>
    </row>
    <row r="791" spans="3:15">
      <c r="C791" s="12"/>
      <c r="D791" s="12"/>
      <c r="E791" s="12"/>
      <c r="F791" s="12"/>
      <c r="G791" s="12"/>
      <c r="H791" s="12"/>
      <c r="I791" s="12"/>
      <c r="J791" s="12"/>
      <c r="K791" s="12"/>
      <c r="L791" s="12"/>
      <c r="M791" s="12"/>
      <c r="N791" s="12"/>
      <c r="O791" s="12"/>
    </row>
    <row r="792" spans="3:15">
      <c r="C792" s="12"/>
      <c r="D792" s="12"/>
      <c r="E792" s="12"/>
      <c r="F792" s="12"/>
      <c r="G792" s="12"/>
      <c r="H792" s="12"/>
      <c r="I792" s="12"/>
      <c r="J792" s="12"/>
      <c r="K792" s="12"/>
      <c r="L792" s="12"/>
      <c r="M792" s="12"/>
      <c r="N792" s="12"/>
      <c r="O792" s="12"/>
    </row>
    <row r="793" spans="3:15">
      <c r="C793" s="12"/>
      <c r="D793" s="12"/>
      <c r="E793" s="12"/>
      <c r="F793" s="12"/>
      <c r="G793" s="12"/>
      <c r="H793" s="12"/>
      <c r="I793" s="12"/>
      <c r="J793" s="12"/>
      <c r="K793" s="12"/>
      <c r="L793" s="12"/>
      <c r="M793" s="12"/>
      <c r="N793" s="12"/>
      <c r="O793" s="12"/>
    </row>
    <row r="794" spans="3:15">
      <c r="C794" s="12"/>
      <c r="D794" s="12"/>
      <c r="E794" s="12"/>
      <c r="F794" s="12"/>
      <c r="G794" s="12"/>
      <c r="H794" s="12"/>
      <c r="I794" s="12"/>
      <c r="J794" s="12"/>
      <c r="K794" s="12"/>
      <c r="L794" s="12"/>
      <c r="M794" s="12"/>
      <c r="N794" s="12"/>
      <c r="O794" s="12"/>
    </row>
    <row r="795" spans="3:15">
      <c r="C795" s="12"/>
      <c r="D795" s="12"/>
      <c r="E795" s="12"/>
      <c r="F795" s="12"/>
      <c r="G795" s="12"/>
      <c r="H795" s="12"/>
      <c r="I795" s="12"/>
      <c r="J795" s="12"/>
      <c r="K795" s="12"/>
      <c r="L795" s="12"/>
      <c r="M795" s="12"/>
      <c r="N795" s="12"/>
      <c r="O795" s="12"/>
    </row>
    <row r="796" spans="3:15">
      <c r="C796" s="12"/>
      <c r="D796" s="12"/>
      <c r="E796" s="12"/>
      <c r="F796" s="12"/>
      <c r="G796" s="12"/>
      <c r="H796" s="12"/>
      <c r="I796" s="12"/>
      <c r="J796" s="12"/>
      <c r="K796" s="12"/>
      <c r="L796" s="12"/>
      <c r="M796" s="12"/>
      <c r="N796" s="12"/>
      <c r="O796" s="12"/>
    </row>
    <row r="797" spans="3:15">
      <c r="C797" s="12"/>
      <c r="D797" s="12"/>
      <c r="E797" s="12"/>
      <c r="F797" s="12"/>
      <c r="G797" s="12"/>
      <c r="H797" s="12"/>
      <c r="I797" s="12"/>
      <c r="J797" s="12"/>
      <c r="K797" s="12"/>
      <c r="L797" s="12"/>
      <c r="M797" s="12"/>
      <c r="N797" s="12"/>
      <c r="O797" s="12"/>
    </row>
    <row r="798" spans="3:15">
      <c r="C798" s="12"/>
      <c r="D798" s="12"/>
      <c r="E798" s="12"/>
      <c r="F798" s="12"/>
      <c r="G798" s="12"/>
      <c r="H798" s="12"/>
      <c r="I798" s="12"/>
      <c r="J798" s="12"/>
      <c r="K798" s="12"/>
      <c r="L798" s="12"/>
      <c r="M798" s="12"/>
      <c r="N798" s="12"/>
      <c r="O798" s="12"/>
    </row>
    <row r="799" spans="3:15">
      <c r="C799" s="12"/>
      <c r="D799" s="12"/>
      <c r="E799" s="12"/>
      <c r="F799" s="12"/>
      <c r="G799" s="12"/>
      <c r="H799" s="12"/>
      <c r="I799" s="12"/>
      <c r="J799" s="12"/>
      <c r="K799" s="12"/>
      <c r="L799" s="12"/>
      <c r="M799" s="12"/>
      <c r="N799" s="12"/>
      <c r="O799" s="12"/>
    </row>
    <row r="800" spans="3:15">
      <c r="C800" s="12"/>
      <c r="D800" s="12"/>
      <c r="E800" s="12"/>
      <c r="F800" s="12"/>
      <c r="G800" s="12"/>
      <c r="H800" s="12"/>
      <c r="I800" s="12"/>
      <c r="J800" s="12"/>
      <c r="K800" s="12"/>
      <c r="L800" s="12"/>
      <c r="M800" s="12"/>
      <c r="N800" s="12"/>
      <c r="O800" s="12"/>
    </row>
    <row r="801" spans="3:15">
      <c r="C801" s="12"/>
      <c r="D801" s="12"/>
      <c r="E801" s="12"/>
      <c r="F801" s="12"/>
      <c r="G801" s="12"/>
      <c r="H801" s="12"/>
      <c r="I801" s="12"/>
      <c r="J801" s="12"/>
      <c r="K801" s="12"/>
      <c r="L801" s="12"/>
      <c r="M801" s="12"/>
      <c r="N801" s="12"/>
      <c r="O801" s="12"/>
    </row>
    <row r="802" spans="3:15">
      <c r="C802" s="12"/>
      <c r="D802" s="12"/>
      <c r="E802" s="12"/>
      <c r="F802" s="12"/>
      <c r="G802" s="12"/>
      <c r="H802" s="12"/>
      <c r="I802" s="12"/>
      <c r="J802" s="12"/>
      <c r="K802" s="12"/>
      <c r="L802" s="12"/>
      <c r="M802" s="12"/>
      <c r="N802" s="12"/>
      <c r="O802" s="12"/>
    </row>
    <row r="803" spans="3:15">
      <c r="C803" s="12"/>
      <c r="D803" s="12"/>
      <c r="E803" s="12"/>
      <c r="F803" s="12"/>
      <c r="G803" s="12"/>
      <c r="H803" s="12"/>
      <c r="I803" s="12"/>
      <c r="J803" s="12"/>
      <c r="K803" s="12"/>
      <c r="L803" s="12"/>
      <c r="M803" s="12"/>
      <c r="N803" s="12"/>
      <c r="O803" s="12"/>
    </row>
    <row r="804" spans="3:15">
      <c r="C804" s="12"/>
      <c r="D804" s="12"/>
      <c r="E804" s="12"/>
      <c r="F804" s="12"/>
      <c r="G804" s="12"/>
      <c r="H804" s="12"/>
      <c r="I804" s="12"/>
      <c r="J804" s="12"/>
      <c r="K804" s="12"/>
      <c r="L804" s="12"/>
      <c r="M804" s="12"/>
      <c r="N804" s="12"/>
      <c r="O804" s="12"/>
    </row>
    <row r="805" spans="3:15">
      <c r="C805" s="12"/>
      <c r="D805" s="12"/>
      <c r="E805" s="12"/>
      <c r="F805" s="12"/>
      <c r="G805" s="12"/>
      <c r="H805" s="12"/>
      <c r="I805" s="12"/>
      <c r="J805" s="12"/>
      <c r="K805" s="12"/>
      <c r="L805" s="12"/>
      <c r="M805" s="12"/>
      <c r="N805" s="12"/>
      <c r="O805" s="12"/>
    </row>
    <row r="806" spans="3:15">
      <c r="C806" s="12"/>
      <c r="D806" s="12"/>
      <c r="E806" s="12"/>
      <c r="F806" s="12"/>
      <c r="G806" s="12"/>
      <c r="H806" s="12"/>
      <c r="I806" s="12"/>
      <c r="J806" s="12"/>
      <c r="K806" s="12"/>
      <c r="L806" s="12"/>
      <c r="M806" s="12"/>
      <c r="N806" s="12"/>
      <c r="O806" s="12"/>
    </row>
    <row r="807" spans="3:15">
      <c r="C807" s="12"/>
      <c r="D807" s="12"/>
      <c r="E807" s="12"/>
      <c r="F807" s="12"/>
      <c r="G807" s="12"/>
      <c r="H807" s="12"/>
      <c r="I807" s="12"/>
      <c r="J807" s="12"/>
      <c r="K807" s="12"/>
      <c r="L807" s="12"/>
      <c r="M807" s="12"/>
      <c r="N807" s="12"/>
      <c r="O807" s="12"/>
    </row>
    <row r="808" spans="3:15">
      <c r="C808" s="12"/>
      <c r="D808" s="12"/>
      <c r="E808" s="12"/>
      <c r="F808" s="12"/>
      <c r="G808" s="12"/>
      <c r="H808" s="12"/>
      <c r="I808" s="12"/>
      <c r="J808" s="12"/>
      <c r="K808" s="12"/>
      <c r="L808" s="12"/>
      <c r="M808" s="12"/>
      <c r="N808" s="12"/>
      <c r="O808" s="12"/>
    </row>
    <row r="809" spans="3:15">
      <c r="C809" s="12"/>
      <c r="D809" s="12"/>
      <c r="E809" s="12"/>
      <c r="F809" s="12"/>
      <c r="G809" s="12"/>
      <c r="H809" s="12"/>
      <c r="I809" s="12"/>
      <c r="J809" s="12"/>
      <c r="K809" s="12"/>
      <c r="L809" s="12"/>
      <c r="M809" s="12"/>
      <c r="N809" s="12"/>
      <c r="O809" s="12"/>
    </row>
    <row r="810" spans="3:15">
      <c r="C810" s="12"/>
      <c r="D810" s="12"/>
      <c r="E810" s="12"/>
      <c r="F810" s="12"/>
      <c r="G810" s="12"/>
      <c r="H810" s="12"/>
      <c r="I810" s="12"/>
      <c r="J810" s="12"/>
      <c r="K810" s="12"/>
      <c r="L810" s="12"/>
      <c r="M810" s="12"/>
      <c r="N810" s="12"/>
      <c r="O810" s="12"/>
    </row>
    <row r="811" spans="3:15">
      <c r="C811" s="12"/>
      <c r="D811" s="12"/>
      <c r="E811" s="12"/>
      <c r="F811" s="12"/>
      <c r="G811" s="12"/>
      <c r="H811" s="12"/>
      <c r="I811" s="12"/>
      <c r="J811" s="12"/>
      <c r="K811" s="12"/>
      <c r="L811" s="12"/>
      <c r="M811" s="12"/>
      <c r="N811" s="12"/>
      <c r="O811" s="12"/>
    </row>
    <row r="812" spans="3:15">
      <c r="C812" s="12"/>
      <c r="D812" s="12"/>
      <c r="E812" s="12"/>
      <c r="F812" s="12"/>
      <c r="G812" s="12"/>
      <c r="H812" s="12"/>
      <c r="I812" s="12"/>
      <c r="J812" s="12"/>
      <c r="K812" s="12"/>
      <c r="L812" s="12"/>
      <c r="M812" s="12"/>
      <c r="N812" s="12"/>
      <c r="O812" s="12"/>
    </row>
    <row r="813" spans="3:15">
      <c r="C813" s="12"/>
      <c r="D813" s="12"/>
      <c r="E813" s="12"/>
      <c r="F813" s="12"/>
      <c r="G813" s="12"/>
      <c r="H813" s="12"/>
      <c r="I813" s="12"/>
      <c r="J813" s="12"/>
      <c r="K813" s="12"/>
      <c r="L813" s="12"/>
      <c r="M813" s="12"/>
      <c r="N813" s="12"/>
      <c r="O813" s="12"/>
    </row>
    <row r="814" spans="3:15">
      <c r="C814" s="12"/>
      <c r="D814" s="12"/>
      <c r="E814" s="12"/>
      <c r="F814" s="12"/>
      <c r="G814" s="12"/>
      <c r="H814" s="12"/>
      <c r="I814" s="12"/>
      <c r="J814" s="12"/>
      <c r="K814" s="12"/>
      <c r="L814" s="12"/>
      <c r="M814" s="12"/>
      <c r="N814" s="12"/>
      <c r="O814" s="12"/>
    </row>
    <row r="815" spans="3:15">
      <c r="C815" s="12"/>
      <c r="D815" s="12"/>
      <c r="E815" s="12"/>
      <c r="F815" s="12"/>
      <c r="G815" s="12"/>
      <c r="H815" s="12"/>
      <c r="I815" s="12"/>
      <c r="J815" s="12"/>
      <c r="K815" s="12"/>
      <c r="L815" s="12"/>
      <c r="M815" s="12"/>
      <c r="N815" s="12"/>
      <c r="O815" s="12"/>
    </row>
    <row r="816" spans="3:15">
      <c r="C816" s="12"/>
      <c r="D816" s="12"/>
      <c r="E816" s="12"/>
      <c r="F816" s="12"/>
      <c r="G816" s="12"/>
      <c r="H816" s="12"/>
      <c r="I816" s="12"/>
      <c r="J816" s="12"/>
      <c r="K816" s="12"/>
      <c r="L816" s="12"/>
      <c r="M816" s="12"/>
      <c r="N816" s="12"/>
      <c r="O816" s="12"/>
    </row>
    <row r="817" spans="3:15">
      <c r="C817" s="12"/>
      <c r="D817" s="12"/>
      <c r="E817" s="12"/>
      <c r="F817" s="12"/>
      <c r="G817" s="12"/>
      <c r="H817" s="12"/>
      <c r="I817" s="12"/>
      <c r="J817" s="12"/>
      <c r="K817" s="12"/>
      <c r="L817" s="12"/>
      <c r="M817" s="12"/>
      <c r="N817" s="12"/>
      <c r="O817" s="12"/>
    </row>
    <row r="818" spans="3:15">
      <c r="C818" s="12"/>
      <c r="D818" s="12"/>
      <c r="E818" s="12"/>
      <c r="F818" s="12"/>
      <c r="G818" s="12"/>
      <c r="H818" s="12"/>
      <c r="I818" s="12"/>
      <c r="J818" s="12"/>
      <c r="K818" s="12"/>
      <c r="L818" s="12"/>
      <c r="M818" s="12"/>
      <c r="N818" s="12"/>
      <c r="O818" s="12"/>
    </row>
    <row r="819" spans="3:15">
      <c r="C819" s="12"/>
      <c r="D819" s="12"/>
      <c r="E819" s="12"/>
      <c r="F819" s="12"/>
      <c r="G819" s="12"/>
      <c r="H819" s="12"/>
      <c r="I819" s="12"/>
      <c r="J819" s="12"/>
      <c r="K819" s="12"/>
      <c r="L819" s="12"/>
      <c r="M819" s="12"/>
      <c r="N819" s="12"/>
      <c r="O819" s="12"/>
    </row>
  </sheetData>
  <sortState ref="A22:O36">
    <sortCondition ref="A22:A36"/>
  </sortState>
  <hyperlinks>
    <hyperlink ref="A1" location="'Table of Contents'!A1" display="Table of Contents"/>
  </hyperlinks>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legacyDrawing r:id="rId2"/>
</worksheet>
</file>

<file path=xl/worksheets/sheet30.xml><?xml version="1.0" encoding="utf-8"?>
<worksheet xmlns="http://schemas.openxmlformats.org/spreadsheetml/2006/main" xmlns:r="http://schemas.openxmlformats.org/officeDocument/2006/relationships">
  <sheetPr codeName="Sheet18"/>
  <dimension ref="A1:N35"/>
  <sheetViews>
    <sheetView workbookViewId="0"/>
  </sheetViews>
  <sheetFormatPr defaultRowHeight="12.75"/>
  <cols>
    <col min="1" max="1" width="22.7109375" bestFit="1" customWidth="1"/>
    <col min="2" max="6" width="7.140625" customWidth="1"/>
    <col min="7" max="7" width="7.7109375" bestFit="1" customWidth="1"/>
    <col min="8" max="10" width="7.140625" customWidth="1"/>
    <col min="11" max="11" width="2.85546875" style="10" customWidth="1"/>
    <col min="12" max="13" width="7.140625" customWidth="1"/>
    <col min="14" max="14" width="7.7109375" bestFit="1" customWidth="1"/>
  </cols>
  <sheetData>
    <row r="1" spans="1:14">
      <c r="A1" s="5" t="s">
        <v>29</v>
      </c>
    </row>
    <row r="4" spans="1:14">
      <c r="K4"/>
    </row>
    <row r="5" spans="1:14">
      <c r="K5"/>
    </row>
    <row r="6" spans="1:14">
      <c r="K6"/>
    </row>
    <row r="7" spans="1:14">
      <c r="K7"/>
    </row>
    <row r="8" spans="1:14">
      <c r="K8"/>
    </row>
    <row r="9" spans="1:14">
      <c r="K9"/>
    </row>
    <row r="10" spans="1:14">
      <c r="K10"/>
    </row>
    <row r="11" spans="1:14" ht="13.5" thickBot="1"/>
    <row r="12" spans="1:14" ht="14.25" thickTop="1" thickBot="1">
      <c r="A12" s="75"/>
      <c r="B12" s="801" t="s">
        <v>250</v>
      </c>
      <c r="C12" s="802"/>
      <c r="D12" s="803"/>
      <c r="E12" s="802" t="s">
        <v>251</v>
      </c>
      <c r="F12" s="802"/>
      <c r="G12" s="802"/>
      <c r="H12" s="801" t="s">
        <v>252</v>
      </c>
      <c r="I12" s="802"/>
      <c r="J12" s="803"/>
      <c r="L12" s="804" t="s">
        <v>253</v>
      </c>
      <c r="M12" s="802"/>
      <c r="N12" s="803"/>
    </row>
    <row r="13" spans="1:14" ht="37.5" customHeight="1" thickBot="1">
      <c r="A13" s="75"/>
      <c r="B13" s="558" t="s">
        <v>244</v>
      </c>
      <c r="C13" s="559" t="s">
        <v>245</v>
      </c>
      <c r="D13" s="560" t="s">
        <v>246</v>
      </c>
      <c r="E13" s="563" t="s">
        <v>244</v>
      </c>
      <c r="F13" s="559" t="s">
        <v>245</v>
      </c>
      <c r="G13" s="566" t="s">
        <v>246</v>
      </c>
      <c r="H13" s="558" t="s">
        <v>244</v>
      </c>
      <c r="I13" s="559" t="s">
        <v>245</v>
      </c>
      <c r="J13" s="560" t="s">
        <v>246</v>
      </c>
      <c r="K13" s="87"/>
      <c r="L13" s="543" t="s">
        <v>244</v>
      </c>
      <c r="M13" s="544" t="s">
        <v>245</v>
      </c>
      <c r="N13" s="545" t="s">
        <v>246</v>
      </c>
    </row>
    <row r="14" spans="1:14" ht="16.5" thickBot="1">
      <c r="A14" s="541" t="s">
        <v>56</v>
      </c>
      <c r="B14" s="561">
        <f>SUM(B15:B34)</f>
        <v>164</v>
      </c>
      <c r="C14" s="562">
        <f t="shared" ref="C14:J14" si="0">SUM(C15:C34)</f>
        <v>178</v>
      </c>
      <c r="D14" s="565">
        <f t="shared" si="0"/>
        <v>1665</v>
      </c>
      <c r="E14" s="564">
        <f t="shared" si="0"/>
        <v>907</v>
      </c>
      <c r="F14" s="562">
        <f t="shared" si="0"/>
        <v>902</v>
      </c>
      <c r="G14" s="567">
        <f t="shared" si="0"/>
        <v>12261</v>
      </c>
      <c r="H14" s="561">
        <f t="shared" si="0"/>
        <v>1524</v>
      </c>
      <c r="I14" s="562">
        <f t="shared" si="0"/>
        <v>1742</v>
      </c>
      <c r="J14" s="565">
        <f t="shared" si="0"/>
        <v>3116</v>
      </c>
      <c r="K14" s="534"/>
      <c r="L14" s="546">
        <f>SUM(B14,E14,H14)</f>
        <v>2595</v>
      </c>
      <c r="M14" s="547">
        <f>SUM(C14,F14,I14)</f>
        <v>2822</v>
      </c>
      <c r="N14" s="548">
        <f>SUM(D14,G14,J14)</f>
        <v>17042</v>
      </c>
    </row>
    <row r="15" spans="1:14" ht="13.5" thickTop="1">
      <c r="A15" s="599" t="s">
        <v>23</v>
      </c>
      <c r="B15" s="600">
        <v>26</v>
      </c>
      <c r="C15" s="601">
        <v>28</v>
      </c>
      <c r="D15" s="602">
        <v>157</v>
      </c>
      <c r="E15" s="600">
        <v>41</v>
      </c>
      <c r="F15" s="601">
        <v>37</v>
      </c>
      <c r="G15" s="602">
        <v>1274</v>
      </c>
      <c r="H15" s="600">
        <v>141</v>
      </c>
      <c r="I15" s="601">
        <v>154</v>
      </c>
      <c r="J15" s="602">
        <v>616</v>
      </c>
      <c r="K15" s="534"/>
      <c r="L15" s="555">
        <f t="shared" ref="L15:L34" si="1">SUM(B15,E15,H15)</f>
        <v>208</v>
      </c>
      <c r="M15" s="556">
        <f t="shared" ref="M15:M34" si="2">SUM(C15,F15,I15)</f>
        <v>219</v>
      </c>
      <c r="N15" s="557">
        <f t="shared" ref="N15:N34" si="3">SUM(D15,G15,J15)</f>
        <v>2047</v>
      </c>
    </row>
    <row r="16" spans="1:14">
      <c r="A16" s="603" t="s">
        <v>24</v>
      </c>
      <c r="B16" s="604">
        <v>4</v>
      </c>
      <c r="C16" s="605">
        <v>2</v>
      </c>
      <c r="D16" s="606">
        <v>27</v>
      </c>
      <c r="E16" s="604">
        <v>15</v>
      </c>
      <c r="F16" s="605">
        <v>16</v>
      </c>
      <c r="G16" s="606">
        <v>185</v>
      </c>
      <c r="H16" s="604">
        <v>39</v>
      </c>
      <c r="I16" s="605">
        <v>11</v>
      </c>
      <c r="J16" s="606">
        <v>257</v>
      </c>
      <c r="K16" s="534"/>
      <c r="L16" s="549">
        <f t="shared" si="1"/>
        <v>58</v>
      </c>
      <c r="M16" s="550">
        <f t="shared" si="2"/>
        <v>29</v>
      </c>
      <c r="N16" s="551">
        <f t="shared" si="3"/>
        <v>469</v>
      </c>
    </row>
    <row r="17" spans="1:14">
      <c r="A17" s="603" t="s">
        <v>336</v>
      </c>
      <c r="B17" s="604"/>
      <c r="C17" s="605"/>
      <c r="D17" s="606"/>
      <c r="E17" s="604">
        <v>20</v>
      </c>
      <c r="F17" s="605">
        <v>23</v>
      </c>
      <c r="G17" s="606">
        <v>419</v>
      </c>
      <c r="H17" s="604">
        <v>66</v>
      </c>
      <c r="I17" s="605">
        <v>72</v>
      </c>
      <c r="J17" s="606">
        <v>112</v>
      </c>
      <c r="K17" s="534"/>
      <c r="L17" s="549">
        <f t="shared" si="1"/>
        <v>86</v>
      </c>
      <c r="M17" s="550">
        <f t="shared" si="2"/>
        <v>95</v>
      </c>
      <c r="N17" s="551">
        <f t="shared" si="3"/>
        <v>531</v>
      </c>
    </row>
    <row r="18" spans="1:14">
      <c r="A18" s="607" t="s">
        <v>365</v>
      </c>
      <c r="B18" s="604">
        <v>3</v>
      </c>
      <c r="C18" s="605">
        <v>3</v>
      </c>
      <c r="D18" s="606">
        <v>30</v>
      </c>
      <c r="E18" s="604">
        <v>20</v>
      </c>
      <c r="F18" s="605">
        <v>23</v>
      </c>
      <c r="G18" s="606">
        <v>91</v>
      </c>
      <c r="H18" s="604">
        <v>5</v>
      </c>
      <c r="I18" s="605">
        <v>9</v>
      </c>
      <c r="J18" s="606">
        <v>63</v>
      </c>
      <c r="K18" s="534"/>
      <c r="L18" s="549">
        <f t="shared" si="1"/>
        <v>28</v>
      </c>
      <c r="M18" s="550">
        <f t="shared" si="2"/>
        <v>35</v>
      </c>
      <c r="N18" s="551">
        <f t="shared" si="3"/>
        <v>184</v>
      </c>
    </row>
    <row r="19" spans="1:14">
      <c r="A19" s="608" t="s">
        <v>536</v>
      </c>
      <c r="B19" s="604"/>
      <c r="C19" s="605"/>
      <c r="D19" s="606"/>
      <c r="E19" s="604"/>
      <c r="F19" s="605"/>
      <c r="G19" s="606"/>
      <c r="H19" s="604"/>
      <c r="I19" s="605"/>
      <c r="J19" s="606"/>
      <c r="K19" s="534"/>
      <c r="L19" s="549">
        <f t="shared" si="1"/>
        <v>0</v>
      </c>
      <c r="M19" s="550">
        <f t="shared" si="2"/>
        <v>0</v>
      </c>
      <c r="N19" s="551">
        <f t="shared" si="3"/>
        <v>0</v>
      </c>
    </row>
    <row r="20" spans="1:14">
      <c r="A20" s="603" t="s">
        <v>335</v>
      </c>
      <c r="B20" s="604">
        <v>12</v>
      </c>
      <c r="C20" s="605">
        <v>20</v>
      </c>
      <c r="D20" s="606">
        <v>73</v>
      </c>
      <c r="E20" s="604">
        <v>87</v>
      </c>
      <c r="F20" s="605">
        <v>46</v>
      </c>
      <c r="G20" s="606">
        <v>1437</v>
      </c>
      <c r="H20" s="604">
        <v>241</v>
      </c>
      <c r="I20" s="605">
        <v>253</v>
      </c>
      <c r="J20" s="606">
        <v>410</v>
      </c>
      <c r="K20" s="534"/>
      <c r="L20" s="549">
        <f t="shared" si="1"/>
        <v>340</v>
      </c>
      <c r="M20" s="550">
        <f t="shared" si="2"/>
        <v>319</v>
      </c>
      <c r="N20" s="551">
        <f t="shared" si="3"/>
        <v>1920</v>
      </c>
    </row>
    <row r="21" spans="1:14">
      <c r="A21" s="603" t="s">
        <v>12</v>
      </c>
      <c r="B21" s="604"/>
      <c r="C21" s="605"/>
      <c r="D21" s="606"/>
      <c r="E21" s="604"/>
      <c r="F21" s="605"/>
      <c r="G21" s="606"/>
      <c r="H21" s="604"/>
      <c r="I21" s="605"/>
      <c r="J21" s="606"/>
      <c r="K21" s="534"/>
      <c r="L21" s="549">
        <f t="shared" si="1"/>
        <v>0</v>
      </c>
      <c r="M21" s="550">
        <f t="shared" si="2"/>
        <v>0</v>
      </c>
      <c r="N21" s="551">
        <f t="shared" si="3"/>
        <v>0</v>
      </c>
    </row>
    <row r="22" spans="1:14">
      <c r="A22" s="603" t="s">
        <v>333</v>
      </c>
      <c r="B22" s="604">
        <v>2</v>
      </c>
      <c r="C22" s="605">
        <v>3</v>
      </c>
      <c r="D22" s="606">
        <v>36</v>
      </c>
      <c r="E22" s="604">
        <v>72</v>
      </c>
      <c r="F22" s="605">
        <v>61</v>
      </c>
      <c r="G22" s="606">
        <v>532</v>
      </c>
      <c r="H22" s="604">
        <v>13</v>
      </c>
      <c r="I22" s="605">
        <v>14</v>
      </c>
      <c r="J22" s="606">
        <v>71</v>
      </c>
      <c r="K22" s="534"/>
      <c r="L22" s="549">
        <f t="shared" si="1"/>
        <v>87</v>
      </c>
      <c r="M22" s="550">
        <f t="shared" si="2"/>
        <v>78</v>
      </c>
      <c r="N22" s="551">
        <f t="shared" si="3"/>
        <v>639</v>
      </c>
    </row>
    <row r="23" spans="1:14">
      <c r="A23" s="603" t="s">
        <v>334</v>
      </c>
      <c r="B23" s="604">
        <v>1</v>
      </c>
      <c r="C23" s="605">
        <v>4</v>
      </c>
      <c r="D23" s="606">
        <v>24</v>
      </c>
      <c r="E23" s="604">
        <v>57</v>
      </c>
      <c r="F23" s="605">
        <v>67</v>
      </c>
      <c r="G23" s="606">
        <v>848</v>
      </c>
      <c r="H23" s="604">
        <v>48</v>
      </c>
      <c r="I23" s="605">
        <v>82</v>
      </c>
      <c r="J23" s="606">
        <v>48</v>
      </c>
      <c r="K23" s="534"/>
      <c r="L23" s="549">
        <f t="shared" si="1"/>
        <v>106</v>
      </c>
      <c r="M23" s="550">
        <f t="shared" si="2"/>
        <v>153</v>
      </c>
      <c r="N23" s="551">
        <f t="shared" si="3"/>
        <v>920</v>
      </c>
    </row>
    <row r="24" spans="1:14">
      <c r="A24" s="603" t="s">
        <v>10</v>
      </c>
      <c r="B24" s="604">
        <v>67</v>
      </c>
      <c r="C24" s="605">
        <v>62</v>
      </c>
      <c r="D24" s="606">
        <v>551</v>
      </c>
      <c r="E24" s="604">
        <v>125</v>
      </c>
      <c r="F24" s="605">
        <v>161</v>
      </c>
      <c r="G24" s="606">
        <v>1845</v>
      </c>
      <c r="H24" s="604">
        <v>248</v>
      </c>
      <c r="I24" s="605">
        <v>246</v>
      </c>
      <c r="J24" s="606">
        <v>401</v>
      </c>
      <c r="K24" s="534"/>
      <c r="L24" s="549">
        <f t="shared" si="1"/>
        <v>440</v>
      </c>
      <c r="M24" s="550">
        <f t="shared" si="2"/>
        <v>469</v>
      </c>
      <c r="N24" s="551">
        <f t="shared" si="3"/>
        <v>2797</v>
      </c>
    </row>
    <row r="25" spans="1:14" ht="15.75">
      <c r="A25" s="603" t="s">
        <v>331</v>
      </c>
      <c r="B25" s="604">
        <v>12</v>
      </c>
      <c r="C25" s="605">
        <v>18</v>
      </c>
      <c r="D25" s="606">
        <v>459</v>
      </c>
      <c r="E25" s="604">
        <v>149</v>
      </c>
      <c r="F25" s="605">
        <v>108</v>
      </c>
      <c r="G25" s="606">
        <v>2418</v>
      </c>
      <c r="H25" s="604">
        <v>39</v>
      </c>
      <c r="I25" s="605">
        <v>40</v>
      </c>
      <c r="J25" s="606">
        <v>32</v>
      </c>
      <c r="K25" s="542"/>
      <c r="L25" s="549">
        <f t="shared" si="1"/>
        <v>200</v>
      </c>
      <c r="M25" s="550">
        <f t="shared" si="2"/>
        <v>166</v>
      </c>
      <c r="N25" s="551">
        <f t="shared" si="3"/>
        <v>2909</v>
      </c>
    </row>
    <row r="26" spans="1:14">
      <c r="A26" s="603" t="s">
        <v>353</v>
      </c>
      <c r="B26" s="604"/>
      <c r="C26" s="605"/>
      <c r="D26" s="606"/>
      <c r="E26" s="604"/>
      <c r="F26" s="605"/>
      <c r="G26" s="606"/>
      <c r="H26" s="604"/>
      <c r="I26" s="605"/>
      <c r="J26" s="606"/>
      <c r="K26" s="534"/>
      <c r="L26" s="549">
        <f t="shared" si="1"/>
        <v>0</v>
      </c>
      <c r="M26" s="550">
        <f t="shared" si="2"/>
        <v>0</v>
      </c>
      <c r="N26" s="551">
        <f t="shared" si="3"/>
        <v>0</v>
      </c>
    </row>
    <row r="27" spans="1:14">
      <c r="A27" s="603" t="s">
        <v>361</v>
      </c>
      <c r="B27" s="604">
        <v>35</v>
      </c>
      <c r="C27" s="605">
        <v>35</v>
      </c>
      <c r="D27" s="606">
        <v>260</v>
      </c>
      <c r="E27" s="604">
        <v>304</v>
      </c>
      <c r="F27" s="605">
        <v>342</v>
      </c>
      <c r="G27" s="606">
        <v>3006</v>
      </c>
      <c r="H27" s="604">
        <v>634</v>
      </c>
      <c r="I27" s="605">
        <v>814</v>
      </c>
      <c r="J27" s="606">
        <v>962</v>
      </c>
      <c r="K27" s="534"/>
      <c r="L27" s="549">
        <f t="shared" si="1"/>
        <v>973</v>
      </c>
      <c r="M27" s="550">
        <f t="shared" si="2"/>
        <v>1191</v>
      </c>
      <c r="N27" s="551">
        <f t="shared" si="3"/>
        <v>4228</v>
      </c>
    </row>
    <row r="28" spans="1:14">
      <c r="A28" s="603" t="s">
        <v>363</v>
      </c>
      <c r="B28" s="604">
        <v>2</v>
      </c>
      <c r="C28" s="605">
        <v>3</v>
      </c>
      <c r="D28" s="606">
        <v>48</v>
      </c>
      <c r="E28" s="604">
        <v>17</v>
      </c>
      <c r="F28" s="605">
        <v>18</v>
      </c>
      <c r="G28" s="606">
        <v>206</v>
      </c>
      <c r="H28" s="604">
        <v>50</v>
      </c>
      <c r="I28" s="605">
        <v>47</v>
      </c>
      <c r="J28" s="606">
        <v>144</v>
      </c>
      <c r="K28" s="534"/>
      <c r="L28" s="549">
        <f t="shared" si="1"/>
        <v>69</v>
      </c>
      <c r="M28" s="550">
        <f t="shared" si="2"/>
        <v>68</v>
      </c>
      <c r="N28" s="551">
        <f t="shared" si="3"/>
        <v>398</v>
      </c>
    </row>
    <row r="29" spans="1:14">
      <c r="A29" s="603"/>
      <c r="B29" s="571"/>
      <c r="C29" s="609"/>
      <c r="D29" s="610"/>
      <c r="E29" s="611"/>
      <c r="F29" s="609"/>
      <c r="G29" s="612"/>
      <c r="H29" s="571"/>
      <c r="I29" s="609"/>
      <c r="J29" s="610"/>
      <c r="L29" s="549">
        <f t="shared" si="1"/>
        <v>0</v>
      </c>
      <c r="M29" s="550">
        <f t="shared" si="2"/>
        <v>0</v>
      </c>
      <c r="N29" s="551">
        <f t="shared" si="3"/>
        <v>0</v>
      </c>
    </row>
    <row r="30" spans="1:14">
      <c r="A30" s="603"/>
      <c r="B30" s="571"/>
      <c r="C30" s="609"/>
      <c r="D30" s="610"/>
      <c r="E30" s="611"/>
      <c r="F30" s="609"/>
      <c r="G30" s="612"/>
      <c r="H30" s="571"/>
      <c r="I30" s="609"/>
      <c r="J30" s="610"/>
      <c r="L30" s="549">
        <f t="shared" si="1"/>
        <v>0</v>
      </c>
      <c r="M30" s="550">
        <f t="shared" si="2"/>
        <v>0</v>
      </c>
      <c r="N30" s="551">
        <f t="shared" si="3"/>
        <v>0</v>
      </c>
    </row>
    <row r="31" spans="1:14">
      <c r="A31" s="603"/>
      <c r="B31" s="571"/>
      <c r="C31" s="609"/>
      <c r="D31" s="610"/>
      <c r="E31" s="611"/>
      <c r="F31" s="609"/>
      <c r="G31" s="612"/>
      <c r="H31" s="571"/>
      <c r="I31" s="609"/>
      <c r="J31" s="610"/>
      <c r="L31" s="549">
        <f t="shared" si="1"/>
        <v>0</v>
      </c>
      <c r="M31" s="550">
        <f t="shared" si="2"/>
        <v>0</v>
      </c>
      <c r="N31" s="551">
        <f t="shared" si="3"/>
        <v>0</v>
      </c>
    </row>
    <row r="32" spans="1:14">
      <c r="A32" s="603"/>
      <c r="B32" s="571"/>
      <c r="C32" s="609"/>
      <c r="D32" s="610"/>
      <c r="E32" s="611"/>
      <c r="F32" s="609"/>
      <c r="G32" s="612"/>
      <c r="H32" s="571"/>
      <c r="I32" s="609"/>
      <c r="J32" s="610"/>
      <c r="L32" s="549">
        <f t="shared" si="1"/>
        <v>0</v>
      </c>
      <c r="M32" s="550">
        <f t="shared" si="2"/>
        <v>0</v>
      </c>
      <c r="N32" s="551">
        <f t="shared" si="3"/>
        <v>0</v>
      </c>
    </row>
    <row r="33" spans="1:14">
      <c r="A33" s="603"/>
      <c r="B33" s="571"/>
      <c r="C33" s="609"/>
      <c r="D33" s="610"/>
      <c r="E33" s="611"/>
      <c r="F33" s="609"/>
      <c r="G33" s="612"/>
      <c r="H33" s="571"/>
      <c r="I33" s="609"/>
      <c r="J33" s="610"/>
      <c r="L33" s="549">
        <f t="shared" si="1"/>
        <v>0</v>
      </c>
      <c r="M33" s="550">
        <f t="shared" si="2"/>
        <v>0</v>
      </c>
      <c r="N33" s="551">
        <f t="shared" si="3"/>
        <v>0</v>
      </c>
    </row>
    <row r="34" spans="1:14" ht="13.5" thickBot="1">
      <c r="A34" s="613"/>
      <c r="B34" s="614"/>
      <c r="C34" s="615"/>
      <c r="D34" s="616"/>
      <c r="E34" s="617"/>
      <c r="F34" s="615"/>
      <c r="G34" s="618"/>
      <c r="H34" s="614"/>
      <c r="I34" s="615"/>
      <c r="J34" s="616"/>
      <c r="L34" s="552">
        <f t="shared" si="1"/>
        <v>0</v>
      </c>
      <c r="M34" s="553">
        <f t="shared" si="2"/>
        <v>0</v>
      </c>
      <c r="N34" s="554">
        <f t="shared" si="3"/>
        <v>0</v>
      </c>
    </row>
    <row r="35" spans="1:14" ht="13.5" thickTop="1"/>
  </sheetData>
  <sheetProtection sheet="1" objects="1" scenarios="1"/>
  <sortState ref="A24:J35">
    <sortCondition ref="A24"/>
  </sortState>
  <mergeCells count="4">
    <mergeCell ref="B12:D12"/>
    <mergeCell ref="E12:G12"/>
    <mergeCell ref="H12:J12"/>
    <mergeCell ref="L12:N12"/>
  </mergeCells>
  <hyperlinks>
    <hyperlink ref="A1" location="'Table of Contents'!A1" display="Table of Contents"/>
  </hyperlinks>
  <pageMargins left="0.25" right="0.25" top="0.75" bottom="0.75" header="0.3" footer="0.3"/>
  <pageSetup orientation="landscape" r:id="rId1"/>
  <headerFooter>
    <oddFooter>&amp;L&amp;5&amp;Z&amp;F
Created: 9/29/2006 10:44:00 PM
Last Saved: 2/22/2008 9:07:29 AM
Last Printed: 2/22/2008 9:10:13 AM&amp;R&amp;5&amp;P - &amp;N
Title :&lt;Not Set&gt;
Subject: &lt;Not Set&gt;</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28</vt:i4>
      </vt:variant>
    </vt:vector>
  </HeadingPairs>
  <TitlesOfParts>
    <vt:vector size="58" baseType="lpstr">
      <vt:lpstr>Table of Contents</vt:lpstr>
      <vt:lpstr>Scorecard - Individual Team</vt:lpstr>
      <vt:lpstr>Scorecard - All Teams</vt:lpstr>
      <vt:lpstr>Scorecard - Previous Period</vt:lpstr>
      <vt:lpstr>Budget Rollup</vt:lpstr>
      <vt:lpstr>Survey Rollup</vt:lpstr>
      <vt:lpstr>Survey Mapping</vt:lpstr>
      <vt:lpstr>Partner Survey - All Teams</vt:lpstr>
      <vt:lpstr>Business Survey - All Teams</vt:lpstr>
      <vt:lpstr>IT Survey - All Teams</vt:lpstr>
      <vt:lpstr>Organization</vt:lpstr>
      <vt:lpstr>Lookups</vt:lpstr>
      <vt:lpstr>Teams</vt:lpstr>
      <vt:lpstr>Defined Names</vt:lpstr>
      <vt:lpstr>Partner Survey Questions</vt:lpstr>
      <vt:lpstr>Partner Survey Data</vt:lpstr>
      <vt:lpstr>Business Survey Questions</vt:lpstr>
      <vt:lpstr>Business Survey Data</vt:lpstr>
      <vt:lpstr>IT Survey Questions</vt:lpstr>
      <vt:lpstr>IT Survey Data</vt:lpstr>
      <vt:lpstr>eBusiness OT Data</vt:lpstr>
      <vt:lpstr>New Business Workflow OT Data</vt:lpstr>
      <vt:lpstr>Producer Admin OT Data</vt:lpstr>
      <vt:lpstr>Producer CRM OT Data</vt:lpstr>
      <vt:lpstr>Product Admin OT Data</vt:lpstr>
      <vt:lpstr>Sales OT Data</vt:lpstr>
      <vt:lpstr>Service OT Data</vt:lpstr>
      <vt:lpstr>On-Time Delivery Data</vt:lpstr>
      <vt:lpstr>Budget Variance Data</vt:lpstr>
      <vt:lpstr>ITR_Data</vt:lpstr>
      <vt:lpstr>FollowUp_Questions_Location</vt:lpstr>
      <vt:lpstr>ITR_Data_Backlog_Location</vt:lpstr>
      <vt:lpstr>ITR_Data_Closed_Location</vt:lpstr>
      <vt:lpstr>ITR_Data_Open_Location</vt:lpstr>
      <vt:lpstr>ITR_Data_Team_Location</vt:lpstr>
      <vt:lpstr>Previous_Period_Lookup</vt:lpstr>
      <vt:lpstr>Previous_Period_Team_Vector</vt:lpstr>
      <vt:lpstr>Previous_Period_Value_Vector</vt:lpstr>
      <vt:lpstr>Primary_Questions_Location</vt:lpstr>
      <vt:lpstr>'Business Survey - All Teams'!Print_Area</vt:lpstr>
      <vt:lpstr>'IT Survey - All Teams'!Print_Area</vt:lpstr>
      <vt:lpstr>'Partner Survey - All Teams'!Print_Area</vt:lpstr>
      <vt:lpstr>'Scorecard - All Teams'!Print_Area</vt:lpstr>
      <vt:lpstr>'Scorecard - Individual Team'!Print_Area</vt:lpstr>
      <vt:lpstr>'Scorecard - Previous Period'!Print_Area</vt:lpstr>
      <vt:lpstr>Questions_Location</vt:lpstr>
      <vt:lpstr>Row_Width_Location</vt:lpstr>
      <vt:lpstr>Statistics_Location</vt:lpstr>
      <vt:lpstr>Survey_Period</vt:lpstr>
      <vt:lpstr>Team_Manager_Lookup</vt:lpstr>
      <vt:lpstr>Teams!Team_Managers</vt:lpstr>
      <vt:lpstr>Teams!Team_Managers_Extensions</vt:lpstr>
      <vt:lpstr>Team_Name</vt:lpstr>
      <vt:lpstr>Team_Name_Lookup</vt:lpstr>
      <vt:lpstr>Team_Names</vt:lpstr>
      <vt:lpstr>TeamName_To_Cell_Array</vt:lpstr>
      <vt:lpstr>TeamName_To_Column_Array</vt:lpstr>
      <vt:lpstr>Yes_No_Lookup</vt:lpstr>
    </vt:vector>
  </TitlesOfParts>
  <Company>VNC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crhodes</dc:creator>
  <cp:lastModifiedBy>crhodes</cp:lastModifiedBy>
  <cp:lastPrinted>2008-03-06T23:51:23Z</cp:lastPrinted>
  <dcterms:created xsi:type="dcterms:W3CDTF">2006-09-30T06:44:00Z</dcterms:created>
  <dcterms:modified xsi:type="dcterms:W3CDTF">2008-03-10T17:27:08Z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HasCustomFooter">
    <vt:bool>true</vt:bool>
  </property>
</Properties>
</file>